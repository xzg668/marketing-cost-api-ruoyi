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20"/>
  </bookViews>
  <sheets>
    <sheet name="2026.10.1-" sheetId="1" r:id="rId1"/>
  </sheets>
  <definedNames>
    <definedName name="_xlnm._FilterDatabase" localSheetId="0" hidden="1">'2026.10.1-'!#REF!</definedName>
    <definedName name="_xlnm.Print_Area" localSheetId="0">'2026.10.1-'!#REF!</definedName>
    <definedName name="_xlnm.Print_Titles" localSheetId="0">'2026.10.1-'!$1:$2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11101516</author>
  </authors>
  <commentList>
    <comment ref="E17" authorId="0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加工费审批调整则公式调整</t>
        </r>
      </text>
    </comment>
  </commentList>
</comments>
</file>

<file path=xl/sharedStrings.xml><?xml version="1.0" encoding="utf-8"?>
<sst xmlns="http://schemas.openxmlformats.org/spreadsheetml/2006/main" count="78" uniqueCount="55">
  <si>
    <t>报价基价表</t>
  </si>
  <si>
    <t>基价名称</t>
  </si>
  <si>
    <t>基价代号</t>
  </si>
  <si>
    <t>计量单位</t>
  </si>
  <si>
    <t>上月均价
（含税）</t>
  </si>
  <si>
    <t>联动基价调整
-90000万元/吨</t>
  </si>
  <si>
    <t>联动基价调整
-100000万元/吨</t>
  </si>
  <si>
    <t>联动基价调整
-110000万元/吨</t>
  </si>
  <si>
    <t>联动基价调整
-120000万元/吨</t>
  </si>
  <si>
    <t>1#电解铜</t>
  </si>
  <si>
    <t>1#Cu</t>
  </si>
  <si>
    <t>元/公斤</t>
  </si>
  <si>
    <t>1#锌</t>
  </si>
  <si>
    <t>1#Zn</t>
  </si>
  <si>
    <t>A00铝</t>
  </si>
  <si>
    <t>A00</t>
  </si>
  <si>
    <t>1#白银</t>
  </si>
  <si>
    <t>1#Ag</t>
  </si>
  <si>
    <t>期货交易所电解铜收盘价</t>
  </si>
  <si>
    <t>Cu</t>
  </si>
  <si>
    <t>1#锡</t>
  </si>
  <si>
    <t>1#Sn</t>
  </si>
  <si>
    <t>美国柜装黄铜</t>
  </si>
  <si>
    <t>H65黄铜边料</t>
  </si>
  <si>
    <t>黄金AU9999</t>
  </si>
  <si>
    <t>元/克</t>
  </si>
  <si>
    <t>冷轧无取向硅钢 50WW800(含税)</t>
  </si>
  <si>
    <t>1#镍板</t>
  </si>
  <si>
    <t>1#Ni</t>
  </si>
  <si>
    <t>元/吨</t>
  </si>
  <si>
    <t>磷铜合金</t>
  </si>
  <si>
    <t>Pcu</t>
  </si>
  <si>
    <t>1#电解锰</t>
  </si>
  <si>
    <t>1#Mn</t>
  </si>
  <si>
    <t>入库月上月磁粉价格</t>
  </si>
  <si>
    <t>NEOLET-6HR</t>
  </si>
  <si>
    <t>氧化钕</t>
  </si>
  <si>
    <t>人民币汇率中间价-月初</t>
  </si>
  <si>
    <t xml:space="preserve">币种 </t>
  </si>
  <si>
    <t>币值</t>
  </si>
  <si>
    <t>币种名称</t>
  </si>
  <si>
    <t>汇率基准</t>
  </si>
  <si>
    <t>备注</t>
  </si>
  <si>
    <t>人民币</t>
  </si>
  <si>
    <t>比索</t>
  </si>
  <si>
    <t>1比索=0.374644人民币</t>
  </si>
  <si>
    <t>美元</t>
  </si>
  <si>
    <t>1美元=6.7367人民币</t>
  </si>
  <si>
    <t>欧元</t>
  </si>
  <si>
    <t>1欧元=7.5404人民币</t>
  </si>
  <si>
    <t>日元</t>
  </si>
  <si>
    <t>1日元=0.042642人民币</t>
  </si>
  <si>
    <t>越南盾</t>
  </si>
  <si>
    <t>1越南盾=0.000039美元</t>
  </si>
  <si>
    <t>1元=3806.17越南盾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</si>
</sst>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0_ "/>
    <numFmt numFmtId="179" formatCode="_ * #,##0.000_ ;_ * \-#,##0.000_ ;_ * &quot;-&quot;??.0_ ;_ @_ "/>
    <numFmt numFmtId="180" formatCode="0.000_);[Red]\(0.000\)"/>
    <numFmt numFmtId="181" formatCode="0.000000_ "/>
    <numFmt numFmtId="182" formatCode="0.00000000_ "/>
  </numFmts>
  <fonts count="28"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indexed="8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/>
      <top style="thin">
        <color auto="1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2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6" borderId="27" applyNumberFormat="0" applyAlignment="0" applyProtection="0">
      <alignment vertical="center"/>
    </xf>
    <xf numFmtId="0" fontId="17" fillId="6" borderId="26" applyNumberFormat="0" applyAlignment="0" applyProtection="0">
      <alignment vertical="center"/>
    </xf>
    <xf numFmtId="0" fontId="18" fillId="7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/>
  </cellStyleXfs>
  <cellXfs count="68">
    <xf numFmtId="0" fontId="0" fillId="0" borderId="0" xfId="0"/>
    <xf numFmtId="0" fontId="1" fillId="0" borderId="0" xfId="49" applyFont="1" applyFill="1"/>
    <xf numFmtId="0" fontId="1" fillId="0" borderId="0" xfId="49" applyFont="1" applyFill="1" applyBorder="1"/>
    <xf numFmtId="0" fontId="1" fillId="0" borderId="0" xfId="49" applyFont="1"/>
    <xf numFmtId="0" fontId="2" fillId="0" borderId="0" xfId="49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176" fontId="2" fillId="0" borderId="3" xfId="49" applyNumberFormat="1" applyFont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 wrapText="1"/>
    </xf>
    <xf numFmtId="0" fontId="2" fillId="0" borderId="5" xfId="49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left" vertical="center" wrapText="1"/>
    </xf>
    <xf numFmtId="0" fontId="1" fillId="0" borderId="8" xfId="49" applyFont="1" applyBorder="1"/>
    <xf numFmtId="178" fontId="5" fillId="2" borderId="8" xfId="0" applyNumberFormat="1" applyFont="1" applyFill="1" applyBorder="1" applyAlignment="1">
      <alignment horizontal="center" vertical="center" wrapText="1"/>
    </xf>
    <xf numFmtId="10" fontId="4" fillId="2" borderId="9" xfId="3" applyNumberFormat="1" applyFont="1" applyFill="1" applyBorder="1" applyAlignment="1">
      <alignment horizontal="center" vertical="center" wrapText="1"/>
    </xf>
    <xf numFmtId="43" fontId="1" fillId="0" borderId="7" xfId="49" applyNumberFormat="1" applyFont="1" applyFill="1" applyBorder="1" applyAlignment="1"/>
    <xf numFmtId="0" fontId="1" fillId="0" borderId="10" xfId="49" applyFont="1" applyBorder="1"/>
    <xf numFmtId="0" fontId="1" fillId="0" borderId="11" xfId="49" applyFont="1" applyBorder="1"/>
    <xf numFmtId="10" fontId="4" fillId="2" borderId="6" xfId="3" applyNumberFormat="1" applyFont="1" applyFill="1" applyBorder="1" applyAlignment="1">
      <alignment horizontal="center" vertical="center" wrapText="1"/>
    </xf>
    <xf numFmtId="179" fontId="4" fillId="2" borderId="9" xfId="3" applyNumberFormat="1" applyFont="1" applyFill="1" applyBorder="1" applyAlignment="1">
      <alignment horizontal="center" vertical="center" wrapText="1"/>
    </xf>
    <xf numFmtId="179" fontId="1" fillId="3" borderId="7" xfId="49" applyNumberFormat="1" applyFont="1" applyFill="1" applyBorder="1" applyAlignment="1"/>
    <xf numFmtId="0" fontId="1" fillId="0" borderId="9" xfId="49" applyFont="1" applyBorder="1"/>
    <xf numFmtId="179" fontId="1" fillId="3" borderId="10" xfId="49" applyNumberFormat="1" applyFont="1" applyFill="1" applyBorder="1" applyAlignment="1"/>
    <xf numFmtId="179" fontId="1" fillId="3" borderId="11" xfId="49" applyNumberFormat="1" applyFont="1" applyFill="1" applyBorder="1" applyAlignment="1"/>
    <xf numFmtId="0" fontId="1" fillId="0" borderId="6" xfId="49" applyFont="1" applyBorder="1"/>
    <xf numFmtId="177" fontId="5" fillId="2" borderId="7" xfId="0" applyNumberFormat="1" applyFont="1" applyFill="1" applyBorder="1" applyAlignment="1">
      <alignment horizontal="left" vertical="center" wrapText="1"/>
    </xf>
    <xf numFmtId="176" fontId="5" fillId="2" borderId="9" xfId="0" applyNumberFormat="1" applyFont="1" applyFill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 wrapText="1"/>
    </xf>
    <xf numFmtId="43" fontId="1" fillId="3" borderId="7" xfId="49" applyNumberFormat="1" applyFont="1" applyFill="1" applyBorder="1" applyAlignment="1"/>
    <xf numFmtId="0" fontId="1" fillId="3" borderId="10" xfId="49" applyFont="1" applyFill="1" applyBorder="1"/>
    <xf numFmtId="179" fontId="1" fillId="0" borderId="7" xfId="49" applyNumberFormat="1" applyFont="1" applyFill="1" applyBorder="1" applyAlignment="1"/>
    <xf numFmtId="177" fontId="5" fillId="2" borderId="6" xfId="0" applyNumberFormat="1" applyFont="1" applyFill="1" applyBorder="1" applyAlignment="1">
      <alignment horizontal="center" vertical="center" wrapText="1"/>
    </xf>
    <xf numFmtId="0" fontId="1" fillId="0" borderId="7" xfId="49" applyFont="1" applyBorder="1"/>
    <xf numFmtId="176" fontId="1" fillId="0" borderId="9" xfId="49" applyNumberFormat="1" applyFont="1" applyFill="1" applyBorder="1" applyAlignment="1"/>
    <xf numFmtId="0" fontId="1" fillId="0" borderId="6" xfId="49" applyNumberFormat="1" applyFont="1" applyFill="1" applyBorder="1" applyAlignment="1"/>
    <xf numFmtId="0" fontId="1" fillId="0" borderId="7" xfId="49" applyNumberFormat="1" applyFont="1" applyFill="1" applyBorder="1" applyAlignment="1">
      <alignment horizontal="left"/>
    </xf>
    <xf numFmtId="180" fontId="1" fillId="0" borderId="7" xfId="49" applyNumberFormat="1" applyFont="1" applyFill="1" applyBorder="1" applyAlignment="1"/>
    <xf numFmtId="0" fontId="1" fillId="0" borderId="7" xfId="49" applyNumberFormat="1" applyFont="1" applyFill="1" applyBorder="1" applyAlignment="1"/>
    <xf numFmtId="177" fontId="5" fillId="0" borderId="7" xfId="0" applyNumberFormat="1" applyFont="1" applyFill="1" applyBorder="1" applyAlignment="1">
      <alignment horizontal="left" vertical="center" wrapText="1"/>
    </xf>
    <xf numFmtId="176" fontId="5" fillId="0" borderId="9" xfId="0" applyNumberFormat="1" applyFont="1" applyFill="1" applyBorder="1" applyAlignment="1">
      <alignment horizontal="center" vertical="center" wrapText="1"/>
    </xf>
    <xf numFmtId="177" fontId="6" fillId="2" borderId="7" xfId="0" applyNumberFormat="1" applyFont="1" applyFill="1" applyBorder="1" applyAlignment="1">
      <alignment horizontal="left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0" fontId="1" fillId="0" borderId="12" xfId="49" applyFont="1" applyBorder="1"/>
    <xf numFmtId="0" fontId="1" fillId="0" borderId="13" xfId="49" applyFont="1" applyBorder="1" applyAlignment="1">
      <alignment horizontal="left"/>
    </xf>
    <xf numFmtId="0" fontId="1" fillId="0" borderId="14" xfId="49" applyFont="1" applyBorder="1"/>
    <xf numFmtId="179" fontId="1" fillId="3" borderId="15" xfId="49" applyNumberFormat="1" applyFont="1" applyFill="1" applyBorder="1"/>
    <xf numFmtId="0" fontId="1" fillId="0" borderId="16" xfId="49" applyFont="1" applyBorder="1"/>
    <xf numFmtId="0" fontId="1" fillId="0" borderId="17" xfId="49" applyNumberFormat="1" applyFont="1" applyFill="1" applyBorder="1" applyAlignment="1"/>
    <xf numFmtId="0" fontId="1" fillId="0" borderId="18" xfId="49" applyFont="1" applyBorder="1"/>
    <xf numFmtId="0" fontId="1" fillId="0" borderId="15" xfId="49" applyFont="1" applyBorder="1"/>
    <xf numFmtId="0" fontId="1" fillId="0" borderId="19" xfId="49" applyFont="1" applyBorder="1"/>
    <xf numFmtId="0" fontId="2" fillId="0" borderId="0" xfId="49" applyFont="1" applyAlignment="1">
      <alignment horizontal="center" vertical="center"/>
    </xf>
    <xf numFmtId="0" fontId="1" fillId="0" borderId="4" xfId="49" applyFont="1" applyBorder="1" applyAlignment="1">
      <alignment horizontal="center" vertical="center" wrapText="1"/>
    </xf>
    <xf numFmtId="0" fontId="1" fillId="0" borderId="20" xfId="49" applyFont="1" applyBorder="1" applyAlignment="1">
      <alignment horizontal="center" vertical="center" wrapText="1"/>
    </xf>
    <xf numFmtId="0" fontId="1" fillId="0" borderId="5" xfId="49" applyFont="1" applyBorder="1" applyAlignment="1">
      <alignment horizontal="center" vertical="center" wrapText="1"/>
    </xf>
    <xf numFmtId="0" fontId="1" fillId="0" borderId="9" xfId="49" applyFont="1" applyBorder="1" applyAlignment="1">
      <alignment horizontal="center" vertical="center" wrapText="1"/>
    </xf>
    <xf numFmtId="0" fontId="1" fillId="0" borderId="21" xfId="49" applyFont="1" applyBorder="1" applyAlignment="1">
      <alignment horizontal="center" vertical="center" wrapText="1"/>
    </xf>
    <xf numFmtId="181" fontId="1" fillId="0" borderId="21" xfId="49" applyNumberFormat="1" applyFont="1" applyBorder="1" applyAlignment="1">
      <alignment horizontal="center" vertical="center" wrapText="1"/>
    </xf>
    <xf numFmtId="0" fontId="1" fillId="0" borderId="9" xfId="49" applyFont="1" applyFill="1" applyBorder="1" applyAlignment="1">
      <alignment horizontal="center" vertical="center" wrapText="1"/>
    </xf>
    <xf numFmtId="0" fontId="1" fillId="0" borderId="21" xfId="49" applyFont="1" applyFill="1" applyBorder="1" applyAlignment="1">
      <alignment horizontal="center" vertical="center" wrapText="1"/>
    </xf>
    <xf numFmtId="0" fontId="1" fillId="0" borderId="7" xfId="49" applyFont="1" applyFill="1" applyBorder="1"/>
    <xf numFmtId="0" fontId="1" fillId="0" borderId="16" xfId="49" applyFont="1" applyFill="1" applyBorder="1" applyAlignment="1">
      <alignment horizontal="center" vertical="center" wrapText="1"/>
    </xf>
    <xf numFmtId="0" fontId="1" fillId="0" borderId="22" xfId="49" applyFont="1" applyFill="1" applyBorder="1" applyAlignment="1">
      <alignment horizontal="center" vertical="center" wrapText="1"/>
    </xf>
    <xf numFmtId="0" fontId="1" fillId="0" borderId="22" xfId="49" applyFont="1" applyBorder="1" applyAlignment="1">
      <alignment horizontal="center" vertical="center" wrapText="1"/>
    </xf>
    <xf numFmtId="182" fontId="1" fillId="0" borderId="22" xfId="49" applyNumberFormat="1" applyFont="1" applyFill="1" applyBorder="1" applyAlignment="1">
      <alignment horizontal="center" vertical="center" wrapText="1"/>
    </xf>
    <xf numFmtId="0" fontId="1" fillId="0" borderId="17" xfId="49" applyFont="1" applyBorder="1"/>
    <xf numFmtId="0" fontId="1" fillId="0" borderId="0" xfId="49" applyFont="1" applyFill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  <cellStyle name="常规 10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M102"/>
  <sheetViews>
    <sheetView tabSelected="1" zoomScale="120" zoomScaleNormal="120" workbookViewId="0">
      <pane xSplit="2" ySplit="2" topLeftCell="C3" activePane="bottomRight" state="frozen"/>
      <selection/>
      <selection pane="topRight"/>
      <selection pane="bottomLeft"/>
      <selection pane="bottomRight" activeCell="E14" sqref="E14"/>
    </sheetView>
  </sheetViews>
  <sheetFormatPr defaultColWidth="9" defaultRowHeight="15" customHeight="1"/>
  <cols>
    <col min="1" max="1" width="5.51785714285714" style="3" customWidth="1"/>
    <col min="2" max="2" width="12.2946428571429" style="3" customWidth="1"/>
    <col min="3" max="3" width="11.0446428571429" style="3" customWidth="1"/>
    <col min="4" max="4" width="9.58035714285714" style="3" customWidth="1"/>
    <col min="5" max="5" width="13.4375" style="3" customWidth="1"/>
    <col min="6" max="6" width="10.3125" style="3" customWidth="1"/>
    <col min="7" max="7" width="18.1160714285714" style="3" customWidth="1"/>
    <col min="8" max="8" width="9.47321428571429" style="3" customWidth="1"/>
    <col min="9" max="9" width="9.375" style="3" customWidth="1"/>
    <col min="10" max="10" width="11.125" style="3"/>
    <col min="11" max="11" width="10.2053571428571" style="3" customWidth="1"/>
    <col min="12" max="12" width="9.25" style="3"/>
    <col min="13" max="13" width="11.125" style="3"/>
    <col min="14" max="16384" width="9" style="3"/>
  </cols>
  <sheetData>
    <row r="1" ht="20" customHeight="1" spans="2:13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42" customHeight="1" spans="2:13"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/>
      <c r="H2" s="9" t="s">
        <v>6</v>
      </c>
      <c r="I2" s="10"/>
      <c r="J2" s="9" t="s">
        <v>7</v>
      </c>
      <c r="K2" s="10"/>
      <c r="L2" s="9" t="s">
        <v>8</v>
      </c>
      <c r="M2" s="10"/>
    </row>
    <row r="3" ht="20" customHeight="1" spans="2:13">
      <c r="B3" s="11" t="s">
        <v>9</v>
      </c>
      <c r="C3" s="12" t="s">
        <v>10</v>
      </c>
      <c r="D3" s="13" t="s">
        <v>11</v>
      </c>
      <c r="E3" s="14">
        <v>110.506</v>
      </c>
      <c r="F3" s="15">
        <f>(G3-E3)/E3</f>
        <v>-0.185564584728431</v>
      </c>
      <c r="G3" s="16">
        <v>90</v>
      </c>
      <c r="H3" s="15">
        <f>(I3-E3)/E3</f>
        <v>-0.0950717608093678</v>
      </c>
      <c r="I3" s="17">
        <v>100</v>
      </c>
      <c r="J3" s="15">
        <f>(K3-E3)/E3</f>
        <v>-0.0045789368903046</v>
      </c>
      <c r="K3" s="18">
        <v>110</v>
      </c>
      <c r="L3" s="19">
        <f>(M3-E3)/E3</f>
        <v>0.0859138870287586</v>
      </c>
      <c r="M3" s="18">
        <v>120</v>
      </c>
    </row>
    <row r="4" ht="20" customHeight="1" spans="2:13">
      <c r="B4" s="11" t="s">
        <v>12</v>
      </c>
      <c r="C4" s="12" t="s">
        <v>13</v>
      </c>
      <c r="D4" s="13" t="s">
        <v>11</v>
      </c>
      <c r="E4" s="14">
        <v>26.566</v>
      </c>
      <c r="F4" s="20"/>
      <c r="G4" s="21">
        <f>E4*(1+$F$3)</f>
        <v>21.6362912421045</v>
      </c>
      <c r="H4" s="22"/>
      <c r="I4" s="23">
        <f>E4*(1+$H$3)</f>
        <v>24.0403236023383</v>
      </c>
      <c r="J4" s="22"/>
      <c r="K4" s="24">
        <f t="shared" ref="K4:K10" si="0">E4*(1+$J$3)</f>
        <v>26.4443559625722</v>
      </c>
      <c r="L4" s="25"/>
      <c r="M4" s="24">
        <f t="shared" ref="M4:M10" si="1">E4*(1+$L$3)</f>
        <v>28.848388322806</v>
      </c>
    </row>
    <row r="5" ht="20" customHeight="1" spans="2:13">
      <c r="B5" s="11" t="s">
        <v>14</v>
      </c>
      <c r="C5" s="26" t="s">
        <v>15</v>
      </c>
      <c r="D5" s="13" t="s">
        <v>11</v>
      </c>
      <c r="E5" s="14">
        <v>24.26</v>
      </c>
      <c r="F5" s="27"/>
      <c r="G5" s="16"/>
      <c r="H5" s="22"/>
      <c r="I5" s="17"/>
      <c r="J5" s="22"/>
      <c r="K5" s="18"/>
      <c r="L5" s="25"/>
      <c r="M5" s="18"/>
    </row>
    <row r="6" ht="20" customHeight="1" spans="2:13">
      <c r="B6" s="11" t="s">
        <v>16</v>
      </c>
      <c r="C6" s="26" t="s">
        <v>17</v>
      </c>
      <c r="D6" s="13" t="s">
        <v>11</v>
      </c>
      <c r="E6" s="14">
        <v>15772.86</v>
      </c>
      <c r="F6" s="27"/>
      <c r="G6" s="16"/>
      <c r="H6" s="22"/>
      <c r="I6" s="17"/>
      <c r="J6" s="22"/>
      <c r="K6" s="18"/>
      <c r="L6" s="25"/>
      <c r="M6" s="18"/>
    </row>
    <row r="7" ht="20" customHeight="1" spans="2:13">
      <c r="B7" s="11" t="s">
        <v>18</v>
      </c>
      <c r="C7" s="12" t="s">
        <v>19</v>
      </c>
      <c r="D7" s="13" t="s">
        <v>11</v>
      </c>
      <c r="E7" s="14">
        <v>110.506</v>
      </c>
      <c r="F7" s="28"/>
      <c r="G7" s="29">
        <f>G3</f>
        <v>90</v>
      </c>
      <c r="H7" s="22"/>
      <c r="I7" s="30">
        <v>100</v>
      </c>
      <c r="J7" s="22"/>
      <c r="K7" s="24">
        <f t="shared" si="0"/>
        <v>110</v>
      </c>
      <c r="L7" s="25"/>
      <c r="M7" s="24">
        <f t="shared" si="1"/>
        <v>120</v>
      </c>
    </row>
    <row r="8" ht="20" customHeight="1" spans="2:13">
      <c r="B8" s="11" t="s">
        <v>20</v>
      </c>
      <c r="C8" s="26" t="s">
        <v>21</v>
      </c>
      <c r="D8" s="13" t="s">
        <v>11</v>
      </c>
      <c r="E8" s="14">
        <v>411.464</v>
      </c>
      <c r="F8" s="27"/>
      <c r="G8" s="31"/>
      <c r="H8" s="22"/>
      <c r="I8" s="17"/>
      <c r="J8" s="22"/>
      <c r="K8" s="18"/>
      <c r="L8" s="25"/>
      <c r="M8" s="18"/>
    </row>
    <row r="9" ht="20" customHeight="1" spans="2:13">
      <c r="B9" s="32" t="s">
        <v>22</v>
      </c>
      <c r="C9" s="26" t="s">
        <v>22</v>
      </c>
      <c r="D9" s="13" t="s">
        <v>11</v>
      </c>
      <c r="E9" s="14">
        <v>64.662</v>
      </c>
      <c r="F9" s="27"/>
      <c r="G9" s="21">
        <f>E9*(1+$F$3)</f>
        <v>52.6630228222902</v>
      </c>
      <c r="H9" s="22"/>
      <c r="I9" s="23">
        <f>G9*(1+$H$3)</f>
        <v>47.6562565130311</v>
      </c>
      <c r="J9" s="22"/>
      <c r="K9" s="24">
        <f t="shared" si="0"/>
        <v>64.3659167827991</v>
      </c>
      <c r="L9" s="25"/>
      <c r="M9" s="24">
        <f t="shared" si="1"/>
        <v>70.2173637630536</v>
      </c>
    </row>
    <row r="10" ht="20" customHeight="1" spans="2:13">
      <c r="B10" s="32" t="s">
        <v>23</v>
      </c>
      <c r="C10" s="26" t="s">
        <v>23</v>
      </c>
      <c r="D10" s="13" t="s">
        <v>11</v>
      </c>
      <c r="E10" s="14">
        <v>67.462</v>
      </c>
      <c r="F10" s="27"/>
      <c r="G10" s="21">
        <f>E10*(1+$F$3)</f>
        <v>54.9434419850506</v>
      </c>
      <c r="H10" s="22"/>
      <c r="I10" s="23">
        <f>G10*(1+$H$3)</f>
        <v>49.7198722106045</v>
      </c>
      <c r="J10" s="22"/>
      <c r="K10" s="24">
        <f t="shared" si="0"/>
        <v>67.1530957595063</v>
      </c>
      <c r="L10" s="25"/>
      <c r="M10" s="24">
        <f t="shared" si="1"/>
        <v>73.2579226467341</v>
      </c>
    </row>
    <row r="11" ht="20" customHeight="1" spans="2:13">
      <c r="B11" s="25" t="s">
        <v>24</v>
      </c>
      <c r="C11" s="33" t="s">
        <v>24</v>
      </c>
      <c r="D11" s="13" t="s">
        <v>25</v>
      </c>
      <c r="E11" s="14">
        <v>938.91</v>
      </c>
      <c r="F11" s="34"/>
      <c r="G11" s="33"/>
      <c r="H11" s="22"/>
      <c r="I11" s="17"/>
      <c r="J11" s="22"/>
      <c r="K11" s="18"/>
      <c r="L11" s="25"/>
      <c r="M11" s="18"/>
    </row>
    <row r="12" ht="20" customHeight="1" spans="2:13">
      <c r="B12" s="35" t="s">
        <v>26</v>
      </c>
      <c r="C12" s="36" t="s">
        <v>26</v>
      </c>
      <c r="D12" s="13" t="s">
        <v>11</v>
      </c>
      <c r="E12" s="14">
        <v>4.267</v>
      </c>
      <c r="F12" s="34"/>
      <c r="G12" s="37"/>
      <c r="H12" s="22"/>
      <c r="I12" s="17"/>
      <c r="J12" s="22"/>
      <c r="K12" s="18"/>
      <c r="L12" s="25"/>
      <c r="M12" s="18"/>
    </row>
    <row r="13" ht="20" customHeight="1" spans="2:13">
      <c r="B13" s="11" t="s">
        <v>27</v>
      </c>
      <c r="C13" s="26" t="s">
        <v>28</v>
      </c>
      <c r="D13" s="13" t="s">
        <v>29</v>
      </c>
      <c r="E13" s="14">
        <v>126876</v>
      </c>
      <c r="F13" s="27"/>
      <c r="G13" s="38"/>
      <c r="H13" s="22"/>
      <c r="I13" s="17"/>
      <c r="J13" s="22"/>
      <c r="K13" s="18"/>
      <c r="L13" s="25"/>
      <c r="M13" s="18"/>
    </row>
    <row r="14" ht="20" customHeight="1" spans="2:13">
      <c r="B14" s="11" t="s">
        <v>30</v>
      </c>
      <c r="C14" s="39" t="s">
        <v>31</v>
      </c>
      <c r="D14" s="13" t="s">
        <v>11</v>
      </c>
      <c r="E14" s="14">
        <v>115.979</v>
      </c>
      <c r="F14" s="40"/>
      <c r="G14" s="38"/>
      <c r="H14" s="22"/>
      <c r="I14" s="17"/>
      <c r="J14" s="22"/>
      <c r="K14" s="18"/>
      <c r="L14" s="25"/>
      <c r="M14" s="18"/>
    </row>
    <row r="15" ht="20" customHeight="1" spans="2:13">
      <c r="B15" s="11" t="s">
        <v>32</v>
      </c>
      <c r="C15" s="39" t="s">
        <v>33</v>
      </c>
      <c r="D15" s="13" t="s">
        <v>11</v>
      </c>
      <c r="E15" s="14">
        <v>19</v>
      </c>
      <c r="F15" s="40"/>
      <c r="G15" s="38"/>
      <c r="H15" s="22"/>
      <c r="I15" s="17"/>
      <c r="J15" s="22"/>
      <c r="K15" s="18"/>
      <c r="L15" s="25"/>
      <c r="M15" s="18"/>
    </row>
    <row r="16" ht="20" customHeight="1" spans="2:13">
      <c r="B16" s="25" t="s">
        <v>34</v>
      </c>
      <c r="C16" s="41" t="s">
        <v>35</v>
      </c>
      <c r="D16" s="13" t="s">
        <v>11</v>
      </c>
      <c r="E16" s="14">
        <v>783.864</v>
      </c>
      <c r="F16" s="42"/>
      <c r="G16" s="38"/>
      <c r="H16" s="22"/>
      <c r="I16" s="17"/>
      <c r="J16" s="22"/>
      <c r="K16" s="18"/>
      <c r="L16" s="25"/>
      <c r="M16" s="18"/>
    </row>
    <row r="17" ht="20" customHeight="1" spans="2:13">
      <c r="B17" s="43" t="s">
        <v>36</v>
      </c>
      <c r="C17" s="44"/>
      <c r="D17" s="45" t="s">
        <v>11</v>
      </c>
      <c r="E17" s="46">
        <f>ROUND(0.35*E16+89.835,3)</f>
        <v>364.187</v>
      </c>
      <c r="F17" s="47"/>
      <c r="G17" s="48"/>
      <c r="H17" s="49"/>
      <c r="I17" s="50"/>
      <c r="J17" s="49"/>
      <c r="K17" s="51"/>
      <c r="L17" s="43"/>
      <c r="M17" s="51"/>
    </row>
    <row r="18" ht="20" customHeight="1"/>
    <row r="19" ht="20" customHeight="1" spans="2:13">
      <c r="B19" s="52" t="s">
        <v>37</v>
      </c>
      <c r="C19" s="52"/>
      <c r="D19" s="52"/>
      <c r="E19" s="52"/>
      <c r="F19" s="52"/>
      <c r="G19" s="52"/>
    </row>
    <row r="20" ht="20" customHeight="1" spans="2:13">
      <c r="B20" s="53" t="s">
        <v>38</v>
      </c>
      <c r="C20" s="54" t="s">
        <v>39</v>
      </c>
      <c r="D20" s="54" t="s">
        <v>40</v>
      </c>
      <c r="E20" s="54" t="s">
        <v>39</v>
      </c>
      <c r="F20" s="54" t="s">
        <v>41</v>
      </c>
      <c r="G20" s="55" t="s">
        <v>42</v>
      </c>
    </row>
    <row r="21" ht="20" customHeight="1" spans="2:13">
      <c r="B21" s="56" t="s">
        <v>43</v>
      </c>
      <c r="C21" s="57">
        <v>100</v>
      </c>
      <c r="D21" s="57" t="s">
        <v>44</v>
      </c>
      <c r="E21" s="57">
        <v>266.92</v>
      </c>
      <c r="F21" s="58">
        <f>C21/E21</f>
        <v>0.37464408811629</v>
      </c>
      <c r="G21" s="33" t="s">
        <v>45</v>
      </c>
    </row>
    <row r="22" ht="20" customHeight="1" spans="2:13">
      <c r="B22" s="56" t="s">
        <v>46</v>
      </c>
      <c r="C22" s="57">
        <v>100</v>
      </c>
      <c r="D22" s="57" t="s">
        <v>43</v>
      </c>
      <c r="E22" s="57">
        <v>673.67</v>
      </c>
      <c r="F22" s="58">
        <f>E22/C22</f>
        <v>6.7367</v>
      </c>
      <c r="G22" s="33" t="s">
        <v>47</v>
      </c>
    </row>
    <row r="23" ht="20" customHeight="1" spans="2:13">
      <c r="B23" s="56" t="s">
        <v>48</v>
      </c>
      <c r="C23" s="57">
        <v>100</v>
      </c>
      <c r="D23" s="57" t="s">
        <v>43</v>
      </c>
      <c r="E23" s="57">
        <v>754.04</v>
      </c>
      <c r="F23" s="58">
        <f>E23/C23</f>
        <v>7.5404</v>
      </c>
      <c r="G23" s="33" t="s">
        <v>49</v>
      </c>
    </row>
    <row r="24" ht="20" customHeight="1" spans="2:13">
      <c r="B24" s="56" t="s">
        <v>50</v>
      </c>
      <c r="C24" s="57">
        <v>100</v>
      </c>
      <c r="D24" s="57" t="s">
        <v>43</v>
      </c>
      <c r="E24" s="57">
        <v>4.2642</v>
      </c>
      <c r="F24" s="58">
        <f>E24/C24</f>
        <v>0.042642</v>
      </c>
      <c r="G24" s="33" t="s">
        <v>51</v>
      </c>
    </row>
    <row r="25" ht="20" customHeight="1" spans="2:13">
      <c r="B25" s="59" t="s">
        <v>52</v>
      </c>
      <c r="C25" s="60">
        <v>1</v>
      </c>
      <c r="D25" s="60" t="s">
        <v>46</v>
      </c>
      <c r="E25" s="60">
        <f>0.000039</f>
        <v>3.9e-5</v>
      </c>
      <c r="F25" s="60">
        <f>E25</f>
        <v>3.9e-5</v>
      </c>
      <c r="G25" s="61" t="s">
        <v>53</v>
      </c>
    </row>
    <row r="26" ht="20" customHeight="1" spans="2:13">
      <c r="B26" s="62" t="s">
        <v>52</v>
      </c>
      <c r="C26" s="63">
        <v>1</v>
      </c>
      <c r="D26" s="64" t="s">
        <v>43</v>
      </c>
      <c r="E26" s="65">
        <f>E25*F22</f>
        <v>0.0002627313</v>
      </c>
      <c r="F26" s="65">
        <f>E25*F22</f>
        <v>0.0002627313</v>
      </c>
      <c r="G26" s="66" t="s">
        <v>54</v>
      </c>
    </row>
    <row r="27" ht="21" customHeight="1"/>
    <row r="28" ht="26" customHeight="1"/>
    <row r="29" ht="31" customHeight="1"/>
    <row r="30" ht="27" customHeight="1"/>
    <row r="31" ht="29" customHeight="1"/>
    <row r="32" s="1" customFormat="1" ht="17.1" customHeight="1" spans="2:13">
      <c r="B32" s="67"/>
      <c r="C32" s="67"/>
      <c r="D32" s="67"/>
      <c r="E32" s="67"/>
      <c r="F32" s="67"/>
    </row>
    <row r="33" s="1" customFormat="1" ht="18" customHeight="1"/>
    <row r="34" s="1" customFormat="1" ht="18" customHeight="1"/>
    <row r="35" s="1" customFormat="1" ht="25" customHeight="1"/>
    <row r="36" s="1" customFormat="1" ht="25" customHeight="1"/>
    <row r="37" s="1" customFormat="1" ht="26.25" customHeight="1"/>
    <row r="38" s="1" customFormat="1" ht="23.25" customHeight="1"/>
    <row r="39" s="1" customFormat="1" ht="22.5" customHeight="1"/>
    <row r="40" s="1" customFormat="1" ht="59" customHeight="1"/>
    <row r="41" s="1" customFormat="1" ht="18" customHeight="1"/>
    <row r="42" s="1" customFormat="1" ht="18" customHeight="1" spans="2:7">
      <c r="B42" s="3"/>
      <c r="C42" s="3"/>
      <c r="D42" s="3"/>
      <c r="E42" s="3"/>
      <c r="F42" s="3"/>
      <c r="G42" s="3"/>
    </row>
    <row r="43" ht="14.85" customHeight="1"/>
    <row r="44" ht="14.85" customHeight="1"/>
    <row r="45" ht="26" customHeight="1"/>
    <row r="46" ht="37" customHeight="1" spans="2:7">
      <c r="B46" s="1"/>
      <c r="C46" s="1"/>
      <c r="D46" s="1"/>
      <c r="E46" s="1"/>
      <c r="F46" s="1"/>
      <c r="G46" s="1"/>
    </row>
    <row r="47" s="1" customFormat="1" ht="20.1" customHeight="1"/>
    <row r="48" s="1" customFormat="1" ht="34" customHeight="1"/>
    <row r="49" s="1" customFormat="1" ht="20.1" customHeight="1"/>
    <row r="50" s="1" customFormat="1" ht="20.1" customHeight="1"/>
    <row r="51" s="1" customFormat="1" ht="25" customHeight="1"/>
    <row r="52" s="1" customFormat="1" ht="27" customHeight="1" spans="2:7">
      <c r="B52" s="2"/>
      <c r="C52" s="2"/>
      <c r="D52" s="2"/>
      <c r="E52" s="2"/>
      <c r="F52" s="2"/>
      <c r="G52" s="2"/>
    </row>
    <row r="53" s="2" customFormat="1" ht="27" customHeight="1"/>
    <row r="54" s="2" customFormat="1" ht="39" customHeight="1" spans="2:7">
      <c r="B54" s="1"/>
      <c r="C54" s="1"/>
      <c r="D54" s="1"/>
      <c r="E54" s="1"/>
      <c r="F54" s="1"/>
      <c r="G54" s="1"/>
    </row>
    <row r="55" s="1" customFormat="1" ht="30" customHeight="1"/>
    <row r="56" s="1" customFormat="1" ht="20.1" customHeight="1"/>
    <row r="57" s="1" customFormat="1" ht="20.1" customHeight="1"/>
    <row r="58" s="1" customFormat="1" ht="20.1" customHeight="1"/>
    <row r="59" s="1" customFormat="1" ht="20.1" customHeight="1"/>
    <row r="60" s="1" customFormat="1" ht="20.1" customHeight="1"/>
    <row r="61" s="1" customFormat="1" ht="20.1" customHeight="1"/>
    <row r="62" s="1" customFormat="1" ht="23" customHeight="1"/>
    <row r="63" s="1" customFormat="1" ht="27" customHeight="1"/>
    <row r="64" s="1" customFormat="1" ht="27" customHeight="1"/>
    <row r="65" s="1" customFormat="1" ht="27" customHeight="1"/>
    <row r="66" s="1" customFormat="1" ht="27" customHeight="1"/>
    <row r="67" s="1" customFormat="1" ht="27" customHeight="1"/>
    <row r="68" s="1" customFormat="1" customHeight="1"/>
    <row r="69" s="1" customFormat="1" customHeight="1"/>
    <row r="70" s="1" customFormat="1" customHeight="1"/>
    <row r="71" s="1" customFormat="1" ht="17" customHeight="1"/>
    <row r="72" s="1" customFormat="1" customHeight="1"/>
    <row r="73" s="1" customFormat="1" customHeight="1"/>
    <row r="74" s="1" customFormat="1" customHeight="1"/>
    <row r="75" s="1" customFormat="1" ht="42" customHeight="1"/>
    <row r="76" s="1" customFormat="1" ht="43" customHeight="1"/>
    <row r="77" s="1" customFormat="1" ht="39" customHeight="1"/>
    <row r="78" s="1" customFormat="1" ht="52" customHeight="1"/>
    <row r="79" s="1" customFormat="1" ht="40" customHeight="1"/>
    <row r="80" s="1" customFormat="1" ht="39" customHeight="1"/>
    <row r="81" s="1" customFormat="1" customHeight="1"/>
    <row r="82" s="1" customFormat="1" customHeight="1"/>
    <row r="83" s="1" customFormat="1" customHeight="1"/>
    <row r="84" s="1" customFormat="1" customHeight="1"/>
    <row r="85" s="1" customFormat="1" customHeight="1"/>
    <row r="86" s="1" customFormat="1" customHeight="1"/>
    <row r="87" s="1" customFormat="1" customHeight="1"/>
    <row r="88" s="1" customFormat="1" customHeight="1"/>
    <row r="89" s="1" customFormat="1" customHeight="1"/>
    <row r="90" s="1" customFormat="1" customHeight="1"/>
    <row r="91" s="1" customFormat="1" customHeight="1"/>
    <row r="92" s="1" customFormat="1" customHeight="1"/>
    <row r="93" s="1" customFormat="1" customHeight="1"/>
    <row r="94" s="1" customFormat="1" customHeight="1"/>
    <row r="95" s="1" customFormat="1" customHeight="1"/>
    <row r="96" s="1" customFormat="1" customHeight="1"/>
    <row r="97" s="1" customFormat="1" customHeight="1"/>
    <row r="98" s="1" customFormat="1" customHeight="1"/>
    <row r="99" s="1" customFormat="1" customHeight="1"/>
    <row r="100" s="1" customFormat="1" customHeight="1"/>
    <row r="101" s="1" customFormat="1" customHeight="1"/>
    <row r="102" s="1" customFormat="1" customHeight="1" spans="2:7">
      <c r="B102" s="3"/>
      <c r="C102" s="3"/>
      <c r="D102" s="3"/>
      <c r="E102" s="3"/>
      <c r="F102" s="3"/>
      <c r="G102" s="3"/>
    </row>
  </sheetData>
  <mergeCells count="6">
    <mergeCell ref="B1:M1"/>
    <mergeCell ref="F2:G2"/>
    <mergeCell ref="H2:I2"/>
    <mergeCell ref="J2:K2"/>
    <mergeCell ref="L2:M2"/>
    <mergeCell ref="B19:G19"/>
  </mergeCells>
  <printOptions horizontalCentered="1"/>
  <pageMargins left="0.156944444444444" right="0.156944444444444" top="0" bottom="0" header="0.156944444444444" footer="0.156944444444444"/>
  <pageSetup paperSize="9" scale="90" orientation="portrait" horizontalDpi="600" verticalDpi="6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2026.10.1-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11101516</dc:creator>
  <cp:lastModifiedBy>习成</cp:lastModifiedBy>
  <dcterms:created xsi:type="dcterms:W3CDTF">2026-10-07T22:10:00Z</dcterms:created>
  <dcterms:modified xsi:type="dcterms:W3CDTF">2026-10-12T04:00:07Z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64388A4448384CCF8DB0D61B65EC12D5_11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