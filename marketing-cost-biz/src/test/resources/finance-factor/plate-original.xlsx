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72.16.99.8\商用财务部\2 销售报价\1 报价系统\3 报价系统开发资料提供 2026.1.28\24 10月调整价联动表 及影响因素表-10.8\"/>
    </mc:Choice>
  </mc:AlternateContent>
  <bookViews>
    <workbookView windowWidth="28800" windowHeight="12900" activeTab="1"/>
  </bookViews>
  <sheets>
    <sheet name="2026.10.1-" sheetId="1" r:id="rId1"/>
    <sheet name="板换" sheetId="2" r:id="rId2"/>
    <sheet name="Sheet2" sheetId="3" r:id="rId3"/>
  </sheets>
  <definedNames>
    <definedName name="_xlnm._FilterDatabase" localSheetId="0" hidden="1">'2026.10.1-'!#REF!</definedName>
    <definedName name="_xlnm.Print_Area" localSheetId="0">'2026.10.1-'!#REF!</definedName>
    <definedName name="_xlnm.Print_Titles" localSheetId="0">'2026.10.1-'!$1:$2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11101516</author>
  </authors>
  <commentList>
    <comment ref="E17" authorId="0">
      <text>
        <r>
          <rPr>
            <b/>
            <sz val="9"/>
            <rFont val="宋体"/>
            <charset val="134"/>
          </rPr>
          <t>11101516:</t>
        </r>
        <r>
          <rPr>
            <sz val="9"/>
            <rFont val="宋体"/>
            <charset val="134"/>
          </rPr>
          <t xml:space="preserve">
加工费审批调整则公式调整</t>
        </r>
      </text>
    </comment>
  </commentList>
</comments>
</file>

<file path=xl/sharedStrings.xml><?xml version="1.0" encoding="utf-8"?>
<sst xmlns="http://schemas.openxmlformats.org/spreadsheetml/2006/main" count="122" uniqueCount="80">
  <si>
    <t>报价基价表</t>
  </si>
  <si>
    <t>基价名称</t>
  </si>
  <si>
    <t>基价代号</t>
  </si>
  <si>
    <t>计量单位</t>
  </si>
  <si>
    <t>上月均价
（含税）</t>
  </si>
  <si>
    <t>联动基价调整
-90000万元/吨</t>
  </si>
  <si>
    <t>联动基价调整
-100000万元/吨</t>
  </si>
  <si>
    <t>联动基价调整
-110000万元/吨</t>
  </si>
  <si>
    <t>联动基价调整
-120000万元/吨</t>
  </si>
  <si>
    <t>1#电解铜</t>
  </si>
  <si>
    <t>1#Cu</t>
  </si>
  <si>
    <t>元/公斤</t>
  </si>
  <si>
    <t>1#锌</t>
  </si>
  <si>
    <t>1#Zn</t>
  </si>
  <si>
    <t>A00铝</t>
  </si>
  <si>
    <t>A00</t>
  </si>
  <si>
    <t>1#白银</t>
  </si>
  <si>
    <t>1#Ag</t>
  </si>
  <si>
    <t>期货交易所电解铜收盘价</t>
  </si>
  <si>
    <t>Cu</t>
  </si>
  <si>
    <t>1#锡</t>
  </si>
  <si>
    <t>1#Sn</t>
  </si>
  <si>
    <t>美国柜装黄铜</t>
  </si>
  <si>
    <t>H65黄铜边料</t>
  </si>
  <si>
    <t>黄金AU9999</t>
  </si>
  <si>
    <t>元/克</t>
  </si>
  <si>
    <t>冷轧无取向硅钢 50WW800(含税)</t>
  </si>
  <si>
    <t>1#镍板</t>
  </si>
  <si>
    <t>1#Ni</t>
  </si>
  <si>
    <t>元/吨</t>
  </si>
  <si>
    <t>磷铜合金</t>
  </si>
  <si>
    <t>Pcu</t>
  </si>
  <si>
    <t>1#电解锰</t>
  </si>
  <si>
    <t>1#Mn</t>
  </si>
  <si>
    <t>入库月上月磁粉价格</t>
  </si>
  <si>
    <t>NEOLET-6HR</t>
  </si>
  <si>
    <t>氧化钕</t>
  </si>
  <si>
    <t>人民币汇率中间价-月初</t>
  </si>
  <si>
    <t xml:space="preserve">币种 </t>
  </si>
  <si>
    <t>币值</t>
  </si>
  <si>
    <t>币种名称</t>
  </si>
  <si>
    <t>汇率基准</t>
  </si>
  <si>
    <t>备注</t>
  </si>
  <si>
    <t>人民币</t>
  </si>
  <si>
    <t>比索</t>
  </si>
  <si>
    <t>1比索=0.374644人民币</t>
  </si>
  <si>
    <t>美元</t>
  </si>
  <si>
    <t>1美元=6.7367人民币</t>
  </si>
  <si>
    <t>欧元</t>
  </si>
  <si>
    <t>1欧元=7.5404人民币</t>
  </si>
  <si>
    <t>日元</t>
  </si>
  <si>
    <t>1日元=0.042642人民币</t>
  </si>
  <si>
    <t>越南盾</t>
  </si>
  <si>
    <t>1越南盾=0.000039美元</t>
  </si>
  <si>
    <t>1元=3806.17越南盾</t>
  </si>
  <si>
    <t>价表影响因素名称</t>
  </si>
  <si>
    <t>简称</t>
  </si>
  <si>
    <t>取价来源</t>
  </si>
  <si>
    <t>价格（上月均价）</t>
  </si>
  <si>
    <t>（90000元/吨）
非招标</t>
  </si>
  <si>
    <t>（90000元/吨）
招标</t>
  </si>
  <si>
    <t>（90000元/吨）
客户指定</t>
  </si>
  <si>
    <t>单位</t>
  </si>
  <si>
    <t>入库月上月我要不锈钢网站张家港浦项月均价304/2B</t>
  </si>
  <si>
    <t>304/2B/1219</t>
  </si>
  <si>
    <t>月均价</t>
  </si>
  <si>
    <t>根据报价单获取</t>
  </si>
  <si>
    <t>千克</t>
  </si>
  <si>
    <t>入库月上月我要不锈钢网站张家港浦项316L/2B</t>
  </si>
  <si>
    <t>316L/2B</t>
  </si>
  <si>
    <t>入库月上月我要不锈钢网站无锡张家港浦项316L/2B 1.0*1219*C月均价</t>
  </si>
  <si>
    <t>316L/2B 1.0*1219*C</t>
  </si>
  <si>
    <t>入库月上月我要不锈钢网站无锡张家港浦项304/2B 2.0*1219*C月均价</t>
  </si>
  <si>
    <t>304/2B 2.0*1219*C</t>
  </si>
  <si>
    <t>上月16日至本月15日中华商务网长江现货市场1#电解铜含税平均价格</t>
  </si>
  <si>
    <t>平均价</t>
  </si>
  <si>
    <t>公斤</t>
  </si>
  <si>
    <t>上月16日至本月15日中华商务网长江现货市场1#电解锌含税平均价格</t>
  </si>
  <si>
    <t>上月16日至本月15日中华商务网华通铂银交易市场1#白银含税平均价格</t>
  </si>
  <si>
    <t>上月16日-本月15日中华商务网长江现货市场1#锡含税平均价格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</si>
</sst>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.000_ "/>
    <numFmt numFmtId="179" formatCode="_ * #,##0.000_ ;_ * \-#,##0.000_ ;_ * &quot;-&quot;??.0_ ;_ @_ "/>
    <numFmt numFmtId="180" formatCode="0.000_);[Red]\(0.000\)"/>
    <numFmt numFmtId="181" formatCode="0.000000_ "/>
    <numFmt numFmtId="182" formatCode="0.00000000_ "/>
  </numFmts>
  <fonts count="34">
    <font>
      <sz val="12"/>
      <name val="宋体"/>
      <charset val="134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ajor"/>
    </font>
    <font>
      <b/>
      <sz val="11"/>
      <color theme="1"/>
      <name val="宋体"/>
      <charset val="134"/>
      <scheme val="minor"/>
    </font>
    <font>
      <sz val="12"/>
      <color rgb="FFFF0000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8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indexed="8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/>
      <top style="thin">
        <color auto="1"/>
      </top>
      <bottom style="medium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" borderId="2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26" applyNumberFormat="0" applyAlignment="0" applyProtection="0">
      <alignment vertical="center"/>
    </xf>
    <xf numFmtId="0" fontId="22" fillId="7" borderId="27" applyNumberFormat="0" applyAlignment="0" applyProtection="0">
      <alignment vertical="center"/>
    </xf>
    <xf numFmtId="0" fontId="23" fillId="7" borderId="26" applyNumberFormat="0" applyAlignment="0" applyProtection="0">
      <alignment vertical="center"/>
    </xf>
    <xf numFmtId="0" fontId="24" fillId="8" borderId="28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2" fillId="0" borderId="0"/>
    <xf numFmtId="0" fontId="12" fillId="0" borderId="0"/>
    <xf numFmtId="43" fontId="12" fillId="0" borderId="0" applyFont="0" applyFill="0" applyBorder="0" applyAlignment="0" applyProtection="0"/>
  </cellStyleXfs>
  <cellXfs count="6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5" fillId="0" borderId="0" xfId="50" applyFont="1"/>
    <xf numFmtId="0" fontId="6" fillId="0" borderId="0" xfId="5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3" xfId="50" applyFont="1" applyBorder="1" applyAlignment="1">
      <alignment horizontal="center" vertical="center"/>
    </xf>
    <xf numFmtId="0" fontId="6" fillId="0" borderId="4" xfId="50" applyFont="1" applyBorder="1" applyAlignment="1">
      <alignment horizontal="center" vertical="center"/>
    </xf>
    <xf numFmtId="176" fontId="6" fillId="0" borderId="4" xfId="50" applyNumberFormat="1" applyFont="1" applyBorder="1" applyAlignment="1">
      <alignment horizontal="center" vertical="center" wrapText="1"/>
    </xf>
    <xf numFmtId="0" fontId="6" fillId="0" borderId="5" xfId="50" applyFont="1" applyBorder="1" applyAlignment="1">
      <alignment horizontal="center" vertical="center" wrapText="1"/>
    </xf>
    <xf numFmtId="0" fontId="6" fillId="0" borderId="6" xfId="5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77" fontId="8" fillId="3" borderId="8" xfId="0" applyNumberFormat="1" applyFont="1" applyFill="1" applyBorder="1" applyAlignment="1">
      <alignment horizontal="left" vertical="center" wrapText="1"/>
    </xf>
    <xf numFmtId="0" fontId="5" fillId="0" borderId="9" xfId="50" applyFont="1" applyBorder="1"/>
    <xf numFmtId="178" fontId="9" fillId="3" borderId="9" xfId="0" applyNumberFormat="1" applyFont="1" applyFill="1" applyBorder="1" applyAlignment="1">
      <alignment horizontal="center" vertical="center" wrapText="1"/>
    </xf>
    <xf numFmtId="10" fontId="8" fillId="3" borderId="10" xfId="3" applyNumberFormat="1" applyFont="1" applyFill="1" applyBorder="1" applyAlignment="1">
      <alignment horizontal="center" vertical="center" wrapText="1"/>
    </xf>
    <xf numFmtId="43" fontId="5" fillId="0" borderId="8" xfId="50" applyNumberFormat="1" applyFont="1" applyBorder="1"/>
    <xf numFmtId="0" fontId="5" fillId="0" borderId="11" xfId="50" applyFont="1" applyBorder="1"/>
    <xf numFmtId="0" fontId="5" fillId="0" borderId="12" xfId="50" applyFont="1" applyBorder="1"/>
    <xf numFmtId="10" fontId="8" fillId="3" borderId="7" xfId="3" applyNumberFormat="1" applyFont="1" applyFill="1" applyBorder="1" applyAlignment="1">
      <alignment horizontal="center" vertical="center" wrapText="1"/>
    </xf>
    <xf numFmtId="179" fontId="8" fillId="3" borderId="10" xfId="3" applyNumberFormat="1" applyFont="1" applyFill="1" applyBorder="1" applyAlignment="1">
      <alignment horizontal="center" vertical="center" wrapText="1"/>
    </xf>
    <xf numFmtId="179" fontId="5" fillId="4" borderId="8" xfId="50" applyNumberFormat="1" applyFont="1" applyFill="1" applyBorder="1"/>
    <xf numFmtId="0" fontId="5" fillId="0" borderId="10" xfId="50" applyFont="1" applyBorder="1"/>
    <xf numFmtId="179" fontId="5" fillId="4" borderId="11" xfId="50" applyNumberFormat="1" applyFont="1" applyFill="1" applyBorder="1"/>
    <xf numFmtId="179" fontId="5" fillId="4" borderId="12" xfId="50" applyNumberFormat="1" applyFont="1" applyFill="1" applyBorder="1"/>
    <xf numFmtId="0" fontId="5" fillId="0" borderId="7" xfId="50" applyFont="1" applyBorder="1"/>
    <xf numFmtId="177" fontId="9" fillId="3" borderId="8" xfId="0" applyNumberFormat="1" applyFont="1" applyFill="1" applyBorder="1" applyAlignment="1">
      <alignment horizontal="left" vertical="center" wrapText="1"/>
    </xf>
    <xf numFmtId="176" fontId="9" fillId="3" borderId="10" xfId="0" applyNumberFormat="1" applyFont="1" applyFill="1" applyBorder="1" applyAlignment="1">
      <alignment horizontal="center" vertical="center" wrapText="1"/>
    </xf>
    <xf numFmtId="176" fontId="8" fillId="3" borderId="10" xfId="0" applyNumberFormat="1" applyFont="1" applyFill="1" applyBorder="1" applyAlignment="1">
      <alignment horizontal="center" vertical="center" wrapText="1"/>
    </xf>
    <xf numFmtId="43" fontId="5" fillId="4" borderId="8" xfId="50" applyNumberFormat="1" applyFont="1" applyFill="1" applyBorder="1"/>
    <xf numFmtId="0" fontId="5" fillId="4" borderId="11" xfId="50" applyFont="1" applyFill="1" applyBorder="1"/>
    <xf numFmtId="179" fontId="5" fillId="0" borderId="8" xfId="50" applyNumberFormat="1" applyFont="1" applyBorder="1"/>
    <xf numFmtId="177" fontId="9" fillId="3" borderId="7" xfId="0" applyNumberFormat="1" applyFont="1" applyFill="1" applyBorder="1" applyAlignment="1">
      <alignment horizontal="center" vertical="center" wrapText="1"/>
    </xf>
    <xf numFmtId="0" fontId="5" fillId="0" borderId="8" xfId="50" applyFont="1" applyBorder="1"/>
    <xf numFmtId="176" fontId="5" fillId="0" borderId="10" xfId="50" applyNumberFormat="1" applyFont="1" applyBorder="1"/>
    <xf numFmtId="0" fontId="5" fillId="0" borderId="8" xfId="50" applyFont="1" applyBorder="1" applyAlignment="1">
      <alignment horizontal="left"/>
    </xf>
    <xf numFmtId="180" fontId="5" fillId="0" borderId="8" xfId="50" applyNumberFormat="1" applyFont="1" applyBorder="1"/>
    <xf numFmtId="177" fontId="9" fillId="0" borderId="8" xfId="0" applyNumberFormat="1" applyFont="1" applyBorder="1" applyAlignment="1">
      <alignment horizontal="left" vertical="center" wrapText="1"/>
    </xf>
    <xf numFmtId="176" fontId="9" fillId="0" borderId="10" xfId="0" applyNumberFormat="1" applyFont="1" applyBorder="1" applyAlignment="1">
      <alignment horizontal="center" vertical="center" wrapText="1"/>
    </xf>
    <xf numFmtId="177" fontId="10" fillId="3" borderId="8" xfId="0" applyNumberFormat="1" applyFont="1" applyFill="1" applyBorder="1" applyAlignment="1">
      <alignment horizontal="left" vertical="center" wrapText="1"/>
    </xf>
    <xf numFmtId="176" fontId="10" fillId="3" borderId="10" xfId="0" applyNumberFormat="1" applyFont="1" applyFill="1" applyBorder="1" applyAlignment="1">
      <alignment horizontal="center" vertical="center" wrapText="1"/>
    </xf>
    <xf numFmtId="0" fontId="5" fillId="0" borderId="13" xfId="50" applyFont="1" applyBorder="1"/>
    <xf numFmtId="0" fontId="5" fillId="0" borderId="14" xfId="50" applyFont="1" applyBorder="1" applyAlignment="1">
      <alignment horizontal="left"/>
    </xf>
    <xf numFmtId="0" fontId="5" fillId="0" borderId="15" xfId="50" applyFont="1" applyBorder="1"/>
    <xf numFmtId="179" fontId="5" fillId="4" borderId="16" xfId="50" applyNumberFormat="1" applyFont="1" applyFill="1" applyBorder="1"/>
    <xf numFmtId="0" fontId="5" fillId="0" borderId="17" xfId="50" applyFont="1" applyBorder="1"/>
    <xf numFmtId="0" fontId="5" fillId="0" borderId="18" xfId="50" applyFont="1" applyBorder="1"/>
    <xf numFmtId="0" fontId="5" fillId="0" borderId="19" xfId="50" applyFont="1" applyBorder="1"/>
    <xf numFmtId="0" fontId="5" fillId="0" borderId="16" xfId="50" applyFont="1" applyBorder="1"/>
    <xf numFmtId="0" fontId="5" fillId="0" borderId="20" xfId="50" applyFont="1" applyBorder="1"/>
    <xf numFmtId="0" fontId="6" fillId="0" borderId="0" xfId="50" applyFont="1" applyAlignment="1">
      <alignment horizontal="center" vertical="center"/>
    </xf>
    <xf numFmtId="0" fontId="5" fillId="0" borderId="5" xfId="50" applyFont="1" applyBorder="1" applyAlignment="1">
      <alignment horizontal="center" vertical="center" wrapText="1"/>
    </xf>
    <xf numFmtId="0" fontId="5" fillId="0" borderId="21" xfId="50" applyFont="1" applyBorder="1" applyAlignment="1">
      <alignment horizontal="center" vertical="center" wrapText="1"/>
    </xf>
    <xf numFmtId="0" fontId="5" fillId="0" borderId="6" xfId="50" applyFont="1" applyBorder="1" applyAlignment="1">
      <alignment horizontal="center" vertical="center" wrapText="1"/>
    </xf>
    <xf numFmtId="0" fontId="5" fillId="0" borderId="10" xfId="50" applyFont="1" applyBorder="1" applyAlignment="1">
      <alignment horizontal="center" vertical="center" wrapText="1"/>
    </xf>
    <xf numFmtId="0" fontId="5" fillId="0" borderId="1" xfId="50" applyFont="1" applyBorder="1" applyAlignment="1">
      <alignment horizontal="center" vertical="center" wrapText="1"/>
    </xf>
    <xf numFmtId="181" fontId="5" fillId="0" borderId="1" xfId="50" applyNumberFormat="1" applyFont="1" applyBorder="1" applyAlignment="1">
      <alignment horizontal="center" vertical="center" wrapText="1"/>
    </xf>
    <xf numFmtId="0" fontId="5" fillId="0" borderId="17" xfId="50" applyFont="1" applyBorder="1" applyAlignment="1">
      <alignment horizontal="center" vertical="center" wrapText="1"/>
    </xf>
    <xf numFmtId="0" fontId="5" fillId="0" borderId="22" xfId="50" applyFont="1" applyBorder="1" applyAlignment="1">
      <alignment horizontal="center" vertical="center" wrapText="1"/>
    </xf>
    <xf numFmtId="182" fontId="5" fillId="0" borderId="22" xfId="50" applyNumberFormat="1" applyFont="1" applyBorder="1" applyAlignment="1">
      <alignment horizontal="center" vertical="center" wrapText="1"/>
    </xf>
    <xf numFmtId="0" fontId="5" fillId="0" borderId="0" xfId="50" applyFont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千位分隔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C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581660</xdr:colOff>
      <xdr:row>10</xdr:row>
      <xdr:rowOff>66675</xdr:rowOff>
    </xdr:from>
    <xdr:to>
      <xdr:col>17</xdr:col>
      <xdr:colOff>67310</xdr:colOff>
      <xdr:row>13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1660" y="3079750"/>
          <a:ext cx="17887950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591820</xdr:colOff>
      <xdr:row>19</xdr:row>
      <xdr:rowOff>142875</xdr:rowOff>
    </xdr:from>
    <xdr:to>
      <xdr:col>8</xdr:col>
      <xdr:colOff>648970</xdr:colOff>
      <xdr:row>42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1820" y="4784725"/>
          <a:ext cx="12287250" cy="413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590550</xdr:colOff>
      <xdr:row>15</xdr:row>
      <xdr:rowOff>0</xdr:rowOff>
    </xdr:from>
    <xdr:to>
      <xdr:col>17</xdr:col>
      <xdr:colOff>161925</xdr:colOff>
      <xdr:row>18</xdr:row>
      <xdr:rowOff>28575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90550" y="3917950"/>
          <a:ext cx="17973675" cy="571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1:M80"/>
  <sheetViews>
    <sheetView zoomScale="120" zoomScaleNormal="120" workbookViewId="0">
      <pane xSplit="2" ySplit="2" topLeftCell="C3" activePane="bottomRight" state="frozen"/>
      <selection/>
      <selection pane="topRight"/>
      <selection pane="bottomLeft"/>
      <selection pane="bottomRight" activeCell="I4" sqref="I4:I10"/>
    </sheetView>
  </sheetViews>
  <sheetFormatPr defaultColWidth="9" defaultRowHeight="15" customHeight="1"/>
  <cols>
    <col min="1" max="1" width="5.5" style="9" customWidth="1"/>
    <col min="2" max="2" width="12.25" style="9" customWidth="1"/>
    <col min="3" max="3" width="11" style="9" customWidth="1"/>
    <col min="4" max="4" width="9.58333333333333" style="9" customWidth="1"/>
    <col min="5" max="5" width="13.4166666666667" style="9" customWidth="1"/>
    <col min="6" max="6" width="10.3333333333333" style="9" customWidth="1"/>
    <col min="7" max="7" width="18.0833333333333" style="9" customWidth="1"/>
    <col min="8" max="8" width="9.5" style="9" customWidth="1"/>
    <col min="9" max="9" width="9.33333333333333" style="9" customWidth="1"/>
    <col min="10" max="10" width="11.0833333333333" style="9"/>
    <col min="11" max="11" width="10.1666666666667" style="9" customWidth="1"/>
    <col min="12" max="12" width="9.25" style="9"/>
    <col min="13" max="13" width="11.0833333333333" style="9"/>
    <col min="14" max="16384" width="9" style="9"/>
  </cols>
  <sheetData>
    <row r="1" ht="20" customHeight="1" spans="2:13"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ht="42" customHeight="1" spans="2:13">
      <c r="B2" s="11" t="s">
        <v>1</v>
      </c>
      <c r="C2" s="12" t="s">
        <v>2</v>
      </c>
      <c r="D2" s="13" t="s">
        <v>3</v>
      </c>
      <c r="E2" s="14" t="s">
        <v>4</v>
      </c>
      <c r="F2" s="15" t="s">
        <v>5</v>
      </c>
      <c r="G2" s="16"/>
      <c r="H2" s="15" t="s">
        <v>6</v>
      </c>
      <c r="I2" s="16"/>
      <c r="J2" s="15" t="s">
        <v>7</v>
      </c>
      <c r="K2" s="16"/>
      <c r="L2" s="15" t="s">
        <v>8</v>
      </c>
      <c r="M2" s="16"/>
    </row>
    <row r="3" ht="20" customHeight="1" spans="2:13">
      <c r="B3" s="17" t="s">
        <v>9</v>
      </c>
      <c r="C3" s="18" t="s">
        <v>10</v>
      </c>
      <c r="D3" s="19" t="s">
        <v>11</v>
      </c>
      <c r="E3" s="20">
        <v>110.506</v>
      </c>
      <c r="F3" s="21">
        <f>(G3-E3)/E3</f>
        <v>-0.185564584728431</v>
      </c>
      <c r="G3" s="22">
        <v>90</v>
      </c>
      <c r="H3" s="21">
        <f>(I3-E3)/E3</f>
        <v>-0.0950717608093678</v>
      </c>
      <c r="I3" s="23">
        <v>100</v>
      </c>
      <c r="J3" s="21">
        <f>(K3-E3)/E3</f>
        <v>-0.0045789368903046</v>
      </c>
      <c r="K3" s="24">
        <v>110</v>
      </c>
      <c r="L3" s="25">
        <f>(M3-E3)/E3</f>
        <v>0.0859138870287586</v>
      </c>
      <c r="M3" s="24">
        <v>120</v>
      </c>
    </row>
    <row r="4" ht="20" customHeight="1" spans="2:13">
      <c r="B4" s="17" t="s">
        <v>12</v>
      </c>
      <c r="C4" s="18" t="s">
        <v>13</v>
      </c>
      <c r="D4" s="19" t="s">
        <v>11</v>
      </c>
      <c r="E4" s="20">
        <v>26.566</v>
      </c>
      <c r="F4" s="26"/>
      <c r="G4" s="27">
        <f>E4*(1+$F$3)</f>
        <v>21.6362912421045</v>
      </c>
      <c r="H4" s="28"/>
      <c r="I4" s="29">
        <f>E4*(1+$H$3)</f>
        <v>24.0403236023383</v>
      </c>
      <c r="J4" s="28"/>
      <c r="K4" s="30">
        <f t="shared" ref="K4:K10" si="0">E4*(1+$J$3)</f>
        <v>26.4443559625722</v>
      </c>
      <c r="L4" s="31"/>
      <c r="M4" s="30">
        <f t="shared" ref="M4:M10" si="1">E4*(1+$L$3)</f>
        <v>28.848388322806</v>
      </c>
    </row>
    <row r="5" ht="20" customHeight="1" spans="2:13">
      <c r="B5" s="17" t="s">
        <v>14</v>
      </c>
      <c r="C5" s="32" t="s">
        <v>15</v>
      </c>
      <c r="D5" s="19" t="s">
        <v>11</v>
      </c>
      <c r="E5" s="20">
        <v>24.26</v>
      </c>
      <c r="F5" s="33"/>
      <c r="G5" s="22"/>
      <c r="H5" s="28"/>
      <c r="I5" s="23"/>
      <c r="J5" s="28"/>
      <c r="K5" s="24"/>
      <c r="L5" s="31"/>
      <c r="M5" s="24"/>
    </row>
    <row r="6" ht="20" customHeight="1" spans="2:13">
      <c r="B6" s="17" t="s">
        <v>16</v>
      </c>
      <c r="C6" s="32" t="s">
        <v>17</v>
      </c>
      <c r="D6" s="19" t="s">
        <v>11</v>
      </c>
      <c r="E6" s="20">
        <v>15772.86</v>
      </c>
      <c r="F6" s="33"/>
      <c r="G6" s="22"/>
      <c r="H6" s="28"/>
      <c r="I6" s="23"/>
      <c r="J6" s="28"/>
      <c r="K6" s="24"/>
      <c r="L6" s="31"/>
      <c r="M6" s="24"/>
    </row>
    <row r="7" ht="20" customHeight="1" spans="2:13">
      <c r="B7" s="17" t="s">
        <v>18</v>
      </c>
      <c r="C7" s="18" t="s">
        <v>19</v>
      </c>
      <c r="D7" s="19" t="s">
        <v>11</v>
      </c>
      <c r="E7" s="20">
        <v>110.506</v>
      </c>
      <c r="F7" s="34"/>
      <c r="G7" s="35">
        <f>G3</f>
        <v>90</v>
      </c>
      <c r="H7" s="28"/>
      <c r="I7" s="36">
        <v>100</v>
      </c>
      <c r="J7" s="28"/>
      <c r="K7" s="30">
        <f t="shared" si="0"/>
        <v>110</v>
      </c>
      <c r="L7" s="31"/>
      <c r="M7" s="30">
        <f t="shared" si="1"/>
        <v>120</v>
      </c>
    </row>
    <row r="8" ht="20" customHeight="1" spans="2:13">
      <c r="B8" s="17" t="s">
        <v>20</v>
      </c>
      <c r="C8" s="32" t="s">
        <v>21</v>
      </c>
      <c r="D8" s="19" t="s">
        <v>11</v>
      </c>
      <c r="E8" s="20">
        <v>411.464</v>
      </c>
      <c r="F8" s="33"/>
      <c r="G8" s="37"/>
      <c r="H8" s="28"/>
      <c r="I8" s="23"/>
      <c r="J8" s="28"/>
      <c r="K8" s="24"/>
      <c r="L8" s="31"/>
      <c r="M8" s="24"/>
    </row>
    <row r="9" ht="20" customHeight="1" spans="2:13">
      <c r="B9" s="38" t="s">
        <v>22</v>
      </c>
      <c r="C9" s="32" t="s">
        <v>22</v>
      </c>
      <c r="D9" s="19" t="s">
        <v>11</v>
      </c>
      <c r="E9" s="20">
        <v>64.662</v>
      </c>
      <c r="F9" s="33"/>
      <c r="G9" s="27">
        <f>E9*(1+$F$3)</f>
        <v>52.6630228222902</v>
      </c>
      <c r="H9" s="28"/>
      <c r="I9" s="29">
        <f>G9*(1+$H$3)</f>
        <v>47.6562565130311</v>
      </c>
      <c r="J9" s="28"/>
      <c r="K9" s="30">
        <f t="shared" si="0"/>
        <v>64.3659167827991</v>
      </c>
      <c r="L9" s="31"/>
      <c r="M9" s="30">
        <f t="shared" si="1"/>
        <v>70.2173637630536</v>
      </c>
    </row>
    <row r="10" ht="20" customHeight="1" spans="2:13">
      <c r="B10" s="38" t="s">
        <v>23</v>
      </c>
      <c r="C10" s="32" t="s">
        <v>23</v>
      </c>
      <c r="D10" s="19" t="s">
        <v>11</v>
      </c>
      <c r="E10" s="20">
        <v>67.462</v>
      </c>
      <c r="F10" s="33"/>
      <c r="G10" s="27">
        <f>E10*(1+$F$3)</f>
        <v>54.9434419850506</v>
      </c>
      <c r="H10" s="28"/>
      <c r="I10" s="29">
        <f>G10*(1+$H$3)</f>
        <v>49.7198722106045</v>
      </c>
      <c r="J10" s="28"/>
      <c r="K10" s="30">
        <f t="shared" si="0"/>
        <v>67.1530957595063</v>
      </c>
      <c r="L10" s="31"/>
      <c r="M10" s="30">
        <f t="shared" si="1"/>
        <v>73.2579226467341</v>
      </c>
    </row>
    <row r="11" ht="20" customHeight="1" spans="2:13">
      <c r="B11" s="31" t="s">
        <v>24</v>
      </c>
      <c r="C11" s="39" t="s">
        <v>24</v>
      </c>
      <c r="D11" s="19" t="s">
        <v>25</v>
      </c>
      <c r="E11" s="20">
        <v>938.91</v>
      </c>
      <c r="F11" s="40"/>
      <c r="G11" s="39"/>
      <c r="H11" s="28"/>
      <c r="I11" s="23"/>
      <c r="J11" s="28"/>
      <c r="K11" s="24"/>
      <c r="L11" s="31"/>
      <c r="M11" s="24"/>
    </row>
    <row r="12" ht="20" customHeight="1" spans="2:13">
      <c r="B12" s="31" t="s">
        <v>26</v>
      </c>
      <c r="C12" s="41" t="s">
        <v>26</v>
      </c>
      <c r="D12" s="19" t="s">
        <v>11</v>
      </c>
      <c r="E12" s="20">
        <v>4.267</v>
      </c>
      <c r="F12" s="40"/>
      <c r="G12" s="42"/>
      <c r="H12" s="28"/>
      <c r="I12" s="23"/>
      <c r="J12" s="28"/>
      <c r="K12" s="24"/>
      <c r="L12" s="31"/>
      <c r="M12" s="24"/>
    </row>
    <row r="13" ht="20" customHeight="1" spans="2:13">
      <c r="B13" s="17" t="s">
        <v>27</v>
      </c>
      <c r="C13" s="32" t="s">
        <v>28</v>
      </c>
      <c r="D13" s="19" t="s">
        <v>29</v>
      </c>
      <c r="E13" s="20">
        <v>126876</v>
      </c>
      <c r="F13" s="33"/>
      <c r="G13" s="39"/>
      <c r="H13" s="28"/>
      <c r="I13" s="23"/>
      <c r="J13" s="28"/>
      <c r="K13" s="24"/>
      <c r="L13" s="31"/>
      <c r="M13" s="24"/>
    </row>
    <row r="14" ht="20" customHeight="1" spans="2:13">
      <c r="B14" s="17" t="s">
        <v>30</v>
      </c>
      <c r="C14" s="43" t="s">
        <v>31</v>
      </c>
      <c r="D14" s="19" t="s">
        <v>11</v>
      </c>
      <c r="E14" s="20">
        <v>115.979</v>
      </c>
      <c r="F14" s="44"/>
      <c r="G14" s="39"/>
      <c r="H14" s="28"/>
      <c r="I14" s="23"/>
      <c r="J14" s="28"/>
      <c r="K14" s="24"/>
      <c r="L14" s="31"/>
      <c r="M14" s="24"/>
    </row>
    <row r="15" ht="20" customHeight="1" spans="2:13">
      <c r="B15" s="17" t="s">
        <v>32</v>
      </c>
      <c r="C15" s="43" t="s">
        <v>33</v>
      </c>
      <c r="D15" s="19" t="s">
        <v>11</v>
      </c>
      <c r="E15" s="20">
        <v>19</v>
      </c>
      <c r="F15" s="44"/>
      <c r="G15" s="39"/>
      <c r="H15" s="28"/>
      <c r="I15" s="23"/>
      <c r="J15" s="28"/>
      <c r="K15" s="24"/>
      <c r="L15" s="31"/>
      <c r="M15" s="24"/>
    </row>
    <row r="16" ht="20" customHeight="1" spans="2:13">
      <c r="B16" s="31" t="s">
        <v>34</v>
      </c>
      <c r="C16" s="45" t="s">
        <v>35</v>
      </c>
      <c r="D16" s="19" t="s">
        <v>11</v>
      </c>
      <c r="E16" s="20">
        <v>783.864</v>
      </c>
      <c r="F16" s="46"/>
      <c r="G16" s="39"/>
      <c r="H16" s="28"/>
      <c r="I16" s="23"/>
      <c r="J16" s="28"/>
      <c r="K16" s="24"/>
      <c r="L16" s="31"/>
      <c r="M16" s="24"/>
    </row>
    <row r="17" ht="20" customHeight="1" spans="2:13">
      <c r="B17" s="47" t="s">
        <v>36</v>
      </c>
      <c r="C17" s="48"/>
      <c r="D17" s="49" t="s">
        <v>11</v>
      </c>
      <c r="E17" s="50">
        <f>ROUND(0.35*E16+89.835,3)</f>
        <v>364.187</v>
      </c>
      <c r="F17" s="51"/>
      <c r="G17" s="52"/>
      <c r="H17" s="53"/>
      <c r="I17" s="54"/>
      <c r="J17" s="53"/>
      <c r="K17" s="55"/>
      <c r="L17" s="47"/>
      <c r="M17" s="55"/>
    </row>
    <row r="18" ht="20" customHeight="1"/>
    <row r="19" ht="20" customHeight="1" spans="2:13">
      <c r="B19" s="56" t="s">
        <v>37</v>
      </c>
      <c r="C19" s="56"/>
      <c r="D19" s="56"/>
      <c r="E19" s="56"/>
      <c r="F19" s="56"/>
      <c r="G19" s="56"/>
    </row>
    <row r="20" ht="20" customHeight="1" spans="2:13">
      <c r="B20" s="57" t="s">
        <v>38</v>
      </c>
      <c r="C20" s="58" t="s">
        <v>39</v>
      </c>
      <c r="D20" s="58" t="s">
        <v>40</v>
      </c>
      <c r="E20" s="58" t="s">
        <v>39</v>
      </c>
      <c r="F20" s="58" t="s">
        <v>41</v>
      </c>
      <c r="G20" s="59" t="s">
        <v>42</v>
      </c>
    </row>
    <row r="21" ht="20" customHeight="1" spans="2:13">
      <c r="B21" s="60" t="s">
        <v>43</v>
      </c>
      <c r="C21" s="61">
        <v>100</v>
      </c>
      <c r="D21" s="61" t="s">
        <v>44</v>
      </c>
      <c r="E21" s="61">
        <v>266.92</v>
      </c>
      <c r="F21" s="62">
        <f>C21/E21</f>
        <v>0.37464408811629</v>
      </c>
      <c r="G21" s="39" t="s">
        <v>45</v>
      </c>
    </row>
    <row r="22" ht="20" customHeight="1" spans="2:13">
      <c r="B22" s="60" t="s">
        <v>46</v>
      </c>
      <c r="C22" s="61">
        <v>100</v>
      </c>
      <c r="D22" s="61" t="s">
        <v>43</v>
      </c>
      <c r="E22" s="61">
        <v>673.67</v>
      </c>
      <c r="F22" s="62">
        <f>E22/C22</f>
        <v>6.7367</v>
      </c>
      <c r="G22" s="39" t="s">
        <v>47</v>
      </c>
    </row>
    <row r="23" ht="20" customHeight="1" spans="2:13">
      <c r="B23" s="60" t="s">
        <v>48</v>
      </c>
      <c r="C23" s="61">
        <v>100</v>
      </c>
      <c r="D23" s="61" t="s">
        <v>43</v>
      </c>
      <c r="E23" s="61">
        <v>754.04</v>
      </c>
      <c r="F23" s="62">
        <f>E23/C23</f>
        <v>7.5404</v>
      </c>
      <c r="G23" s="39" t="s">
        <v>49</v>
      </c>
    </row>
    <row r="24" ht="20" customHeight="1" spans="2:13">
      <c r="B24" s="60" t="s">
        <v>50</v>
      </c>
      <c r="C24" s="61">
        <v>100</v>
      </c>
      <c r="D24" s="61" t="s">
        <v>43</v>
      </c>
      <c r="E24" s="61">
        <v>4.2642</v>
      </c>
      <c r="F24" s="62">
        <f>E24/C24</f>
        <v>0.042642</v>
      </c>
      <c r="G24" s="39" t="s">
        <v>51</v>
      </c>
    </row>
    <row r="25" ht="20" customHeight="1" spans="2:13">
      <c r="B25" s="60" t="s">
        <v>52</v>
      </c>
      <c r="C25" s="61">
        <v>1</v>
      </c>
      <c r="D25" s="61" t="s">
        <v>46</v>
      </c>
      <c r="E25" s="61">
        <f>0.000039</f>
        <v>3.9e-5</v>
      </c>
      <c r="F25" s="61">
        <f>E25</f>
        <v>3.9e-5</v>
      </c>
      <c r="G25" s="39" t="s">
        <v>53</v>
      </c>
    </row>
    <row r="26" ht="20" customHeight="1" spans="2:13">
      <c r="B26" s="63" t="s">
        <v>52</v>
      </c>
      <c r="C26" s="64">
        <v>1</v>
      </c>
      <c r="D26" s="64" t="s">
        <v>43</v>
      </c>
      <c r="E26" s="65">
        <f>E25*F22</f>
        <v>0.0002627313</v>
      </c>
      <c r="F26" s="65">
        <f>E25*F22</f>
        <v>0.0002627313</v>
      </c>
      <c r="G26" s="52" t="s">
        <v>54</v>
      </c>
    </row>
    <row r="27" ht="21" customHeight="1"/>
    <row r="28" ht="26" customHeight="1"/>
    <row r="29" ht="31" customHeight="1"/>
    <row r="30" ht="27" customHeight="1"/>
    <row r="31" ht="29" customHeight="1"/>
    <row r="32" ht="17.15" customHeight="1" spans="2:13">
      <c r="B32" s="66"/>
      <c r="C32" s="66"/>
      <c r="D32" s="66"/>
      <c r="E32" s="66"/>
      <c r="F32" s="66"/>
    </row>
    <row r="33" ht="18" customHeight="1"/>
    <row r="34" ht="18" customHeight="1"/>
    <row r="35" ht="25" customHeight="1"/>
    <row r="36" ht="25" customHeight="1"/>
    <row r="37" ht="26.25" customHeight="1"/>
    <row r="38" ht="23.25" customHeight="1"/>
    <row r="39" ht="22.5" customHeight="1"/>
    <row r="40" ht="59" customHeight="1"/>
    <row r="41" ht="18" customHeight="1"/>
    <row r="42" ht="18" customHeight="1"/>
    <row r="43" ht="14.9" customHeight="1"/>
    <row r="44" ht="14.9" customHeight="1"/>
    <row r="45" ht="26" customHeight="1"/>
    <row r="46" ht="37" customHeight="1"/>
    <row r="47" ht="20.15" customHeight="1"/>
    <row r="48" ht="34" customHeight="1"/>
    <row r="49" ht="20.15" customHeight="1"/>
    <row r="50" ht="20.15" customHeight="1"/>
    <row r="51" ht="25" customHeight="1"/>
    <row r="52" ht="27" customHeight="1"/>
    <row r="53" ht="27" customHeight="1"/>
    <row r="54" ht="39" customHeight="1"/>
    <row r="55" ht="30" customHeight="1"/>
    <row r="56" ht="20.15" customHeight="1"/>
    <row r="57" ht="20.15" customHeight="1"/>
    <row r="58" ht="20.15" customHeight="1"/>
    <row r="59" ht="20.15" customHeight="1"/>
    <row r="60" ht="20.15" customHeight="1"/>
    <row r="61" ht="20.15" customHeight="1"/>
    <row r="62" ht="23" customHeight="1"/>
    <row r="63" ht="27" customHeight="1"/>
    <row r="64" ht="27" customHeight="1"/>
    <row r="65" ht="27" customHeight="1"/>
    <row r="66" ht="27" customHeight="1"/>
    <row r="67" ht="27" customHeight="1"/>
    <row r="71" ht="17" customHeight="1"/>
    <row r="75" ht="42" customHeight="1"/>
    <row r="76" ht="43" customHeight="1"/>
    <row r="77" ht="39" customHeight="1"/>
    <row r="78" ht="52" customHeight="1"/>
    <row r="79" ht="40" customHeight="1"/>
    <row r="80" ht="39" customHeight="1"/>
  </sheetData>
  <mergeCells count="6">
    <mergeCell ref="B1:M1"/>
    <mergeCell ref="F2:G2"/>
    <mergeCell ref="H2:I2"/>
    <mergeCell ref="J2:K2"/>
    <mergeCell ref="L2:M2"/>
    <mergeCell ref="B19:G19"/>
  </mergeCells>
  <printOptions horizontalCentered="1"/>
  <pageMargins left="0.156944444444444" right="0.156944444444444" top="0" bottom="0" header="0.156944444444444" footer="0.156944444444444"/>
  <pageSetup paperSize="9" scale="90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K6" sqref="K6"/>
    </sheetView>
  </sheetViews>
  <sheetFormatPr defaultColWidth="9" defaultRowHeight="14.25" outlineLevelCol="7"/>
  <cols>
    <col min="1" max="1" width="61.625" customWidth="1"/>
    <col min="2" max="2" width="19.375" customWidth="1"/>
    <col min="3" max="3" width="10.5" customWidth="1"/>
    <col min="4" max="4" width="11.5" customWidth="1"/>
    <col min="5" max="5" width="15.625" customWidth="1"/>
    <col min="6" max="6" width="15.25" customWidth="1"/>
    <col min="7" max="7" width="17.625" customWidth="1"/>
  </cols>
  <sheetData>
    <row r="1" ht="42" customHeight="1" spans="1:8">
      <c r="A1" s="1" t="s">
        <v>55</v>
      </c>
      <c r="B1" s="1" t="s">
        <v>56</v>
      </c>
      <c r="C1" s="1" t="s">
        <v>57</v>
      </c>
      <c r="D1" s="1" t="s">
        <v>58</v>
      </c>
      <c r="E1" s="2" t="s">
        <v>59</v>
      </c>
      <c r="F1" s="2" t="s">
        <v>60</v>
      </c>
      <c r="G1" s="2" t="s">
        <v>61</v>
      </c>
      <c r="H1" s="3" t="s">
        <v>62</v>
      </c>
    </row>
    <row r="2" ht="41" customHeight="1" spans="1:8">
      <c r="A2" s="4" t="s">
        <v>63</v>
      </c>
      <c r="B2" s="4" t="s">
        <v>64</v>
      </c>
      <c r="C2" s="4" t="s">
        <v>65</v>
      </c>
      <c r="D2" s="5">
        <v>14.877</v>
      </c>
      <c r="E2" s="6">
        <v>20000</v>
      </c>
      <c r="F2" s="7">
        <v>15000</v>
      </c>
      <c r="G2" s="6" t="s">
        <v>66</v>
      </c>
      <c r="H2" s="4" t="s">
        <v>67</v>
      </c>
    </row>
    <row r="3" ht="20" customHeight="1" spans="1:8">
      <c r="A3" s="4" t="s">
        <v>68</v>
      </c>
      <c r="B3" s="4" t="s">
        <v>69</v>
      </c>
      <c r="C3" s="4" t="s">
        <v>65</v>
      </c>
      <c r="D3" s="5">
        <v>29.809</v>
      </c>
      <c r="E3" s="6">
        <v>32500</v>
      </c>
      <c r="F3" s="6">
        <v>32500</v>
      </c>
      <c r="G3" s="6" t="s">
        <v>66</v>
      </c>
      <c r="H3" s="4" t="s">
        <v>67</v>
      </c>
    </row>
    <row r="4" ht="20" customHeight="1" spans="1:8">
      <c r="A4" s="4" t="s">
        <v>70</v>
      </c>
      <c r="B4" s="4" t="s">
        <v>71</v>
      </c>
      <c r="C4" s="4" t="s">
        <v>65</v>
      </c>
      <c r="D4" s="5">
        <v>30.009</v>
      </c>
      <c r="E4" s="6">
        <v>32500</v>
      </c>
      <c r="F4" s="6">
        <v>32500</v>
      </c>
      <c r="G4" s="6" t="s">
        <v>66</v>
      </c>
      <c r="H4" s="4" t="s">
        <v>67</v>
      </c>
    </row>
    <row r="5" ht="20" customHeight="1" spans="1:8">
      <c r="A5" s="4" t="s">
        <v>72</v>
      </c>
      <c r="B5" s="4" t="s">
        <v>73</v>
      </c>
      <c r="C5" s="4" t="s">
        <v>65</v>
      </c>
      <c r="D5" s="5">
        <v>14.877</v>
      </c>
      <c r="E5" s="6">
        <v>20000</v>
      </c>
      <c r="F5" s="7">
        <v>15000</v>
      </c>
      <c r="G5" s="6" t="s">
        <v>66</v>
      </c>
      <c r="H5" s="4" t="s">
        <v>67</v>
      </c>
    </row>
    <row r="6" ht="20" customHeight="1" spans="1:8">
      <c r="A6" s="4" t="s">
        <v>74</v>
      </c>
      <c r="B6" s="4" t="s">
        <v>10</v>
      </c>
      <c r="C6" s="4" t="s">
        <v>75</v>
      </c>
      <c r="D6" s="5">
        <v>109.41</v>
      </c>
      <c r="E6" s="8">
        <v>90</v>
      </c>
      <c r="F6" s="8">
        <f t="shared" ref="F6:F9" si="0">E6</f>
        <v>90</v>
      </c>
      <c r="G6" s="8">
        <f t="shared" ref="G6:G9" si="1">F6</f>
        <v>90</v>
      </c>
      <c r="H6" s="4" t="s">
        <v>76</v>
      </c>
    </row>
    <row r="7" ht="20" customHeight="1" spans="1:8">
      <c r="A7" s="4" t="s">
        <v>77</v>
      </c>
      <c r="B7" s="4" t="s">
        <v>13</v>
      </c>
      <c r="C7" s="4" t="s">
        <v>75</v>
      </c>
      <c r="D7" s="5">
        <v>26.264</v>
      </c>
      <c r="E7" s="8">
        <v>21.636</v>
      </c>
      <c r="F7" s="8">
        <f t="shared" si="0"/>
        <v>21.636</v>
      </c>
      <c r="G7" s="8">
        <f t="shared" si="1"/>
        <v>21.636</v>
      </c>
      <c r="H7" s="4" t="s">
        <v>76</v>
      </c>
    </row>
    <row r="8" ht="20" customHeight="1" spans="1:8">
      <c r="A8" s="4" t="s">
        <v>78</v>
      </c>
      <c r="B8" s="4" t="s">
        <v>17</v>
      </c>
      <c r="C8" s="4" t="s">
        <v>75</v>
      </c>
      <c r="D8" s="5">
        <v>16157.09</v>
      </c>
      <c r="E8" s="8">
        <v>15772.86</v>
      </c>
      <c r="F8" s="8">
        <f t="shared" si="0"/>
        <v>15772.86</v>
      </c>
      <c r="G8" s="8">
        <f t="shared" si="1"/>
        <v>15772.86</v>
      </c>
      <c r="H8" s="4" t="s">
        <v>76</v>
      </c>
    </row>
    <row r="9" ht="20" customHeight="1" spans="1:8">
      <c r="A9" s="4" t="s">
        <v>79</v>
      </c>
      <c r="B9" s="4" t="s">
        <v>21</v>
      </c>
      <c r="C9" s="4" t="s">
        <v>75</v>
      </c>
      <c r="D9" s="5">
        <v>419.693</v>
      </c>
      <c r="E9" s="8">
        <v>411.464</v>
      </c>
      <c r="F9" s="8">
        <f t="shared" si="0"/>
        <v>411.464</v>
      </c>
      <c r="G9" s="8">
        <f t="shared" si="1"/>
        <v>411.464</v>
      </c>
      <c r="H9" s="4" t="s">
        <v>76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2026.10.1-</vt:lpstr>
      <vt:lpstr>板换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11101516</dc:creator>
  <cp:lastModifiedBy>三叶草</cp:lastModifiedBy>
  <dcterms:created xsi:type="dcterms:W3CDTF">2026-10-08T06:10:00Z</dcterms:created>
  <dcterms:modified xsi:type="dcterms:W3CDTF">2026-10-12T09:25:43Z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64388A4448384CCF8DB0D61B65EC12D5_11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  <property fmtid="{D5CDD505-2E9C-101B-9397-08002B2CF9AE}" pid="5" name="CWM4d1b8110c61f11f18000611800006118">
    <vt:lpwstr>CWMxGgQKdtNoB4oHvEqF26DBu2ESqfZZhfIMhH1QRosA/URp+zCfXiRwp0Vij2lZ2TfrABy0Bq7uWC5ZBcsUJiuHg==</vt:lpwstr>
  </property>
</Properties>
</file>