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72.16.99.8\商用财务部\2 销售报价\1 报价系统\3 报价系统开发资料提供 2026.1.28\报价系统资料提供-CMS\CMS系统数据\"/>
    </mc:Choice>
  </mc:AlternateContent>
  <bookViews>
    <workbookView windowWidth="28800" windowHeight="12900" firstSheet="1" activeTab="1"/>
  </bookViews>
  <sheets>
    <sheet name="原表" sheetId="1" state="hidden" r:id="rId1"/>
    <sheet name="废料清单" sheetId="2" r:id="rId2"/>
    <sheet name="2026.10.1-" sheetId="3" r:id="rId3"/>
  </sheets>
  <definedNames>
    <definedName name="_xlnm._FilterDatabase" localSheetId="0" hidden="1">原表!$A$2:$AF$1029</definedName>
    <definedName name="_xlnm._FilterDatabase" localSheetId="1" hidden="1">废料清单!$A$1:$D$13</definedName>
    <definedName name="_xlnm._FilterDatabase" localSheetId="2" hidden="1">'2026.10.1-'!$A$2:$R$69</definedName>
    <definedName name="_xlnm.Print_Area" localSheetId="2">'2026.10.1-'!$A$2:$H$54</definedName>
    <definedName name="_xlnm.Print_Titles" localSheetId="2">'2026.10.1-'!$3:$4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11102909</author>
    <author>王佩倩</author>
    <author>潘晓红（成本管理部）</author>
    <author>11101516</author>
    <author>02664709</author>
    <author>12000014</author>
  </authors>
  <commentList>
    <comment ref="C9" authorId="0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2018.05.02</t>
        </r>
        <r>
          <rPr>
            <sz val="9"/>
            <rFont val="宋体"/>
            <charset val="134"/>
          </rPr>
          <t>江西三花联动公式</t>
        </r>
        <r>
          <rPr>
            <sz val="1"/>
            <color indexed="0"/>
            <rFont val="宋体"/>
            <charset val="134"/>
          </rPr>
          <t xml:space="preserve"> </t>
        </r>
        <r>
          <rPr>
            <sz val="9"/>
            <rFont val="宋体"/>
            <charset val="134"/>
          </rPr>
          <t>棒料加工费</t>
        </r>
        <r>
          <rPr>
            <sz val="9"/>
            <rFont val="Tahoma"/>
            <charset val="134"/>
          </rPr>
          <t>800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吨，英豪</t>
        </r>
        <r>
          <rPr>
            <sz val="9"/>
            <rFont val="Tahoma"/>
            <charset val="134"/>
          </rPr>
          <t>700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</t>
        </r>
      </text>
    </comment>
    <comment ref="B1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江西三花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英豪外</t>
        </r>
      </text>
    </comment>
    <comment ref="C10" authorId="0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C3771A 2018.12.31
2019.4.15
2020.5 2020052001
SY-JGTZ-2021041602
2023022403
SC-SC-001-20241118-002
SC-SC-001-20250120-018
SC-SC-018-20260107-016</t>
        </r>
      </text>
    </comment>
    <comment ref="D10" authorId="0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C3771A 2018.12.31
2019.4.15
2020.5 2020052001
SY-JGTZ-2021041602
2023022403
SC-SC-001-20241118-002
SC-SC-001-20250120-018
SC-SC-018-20260107-016</t>
        </r>
      </text>
    </comment>
    <comment ref="B12" authorId="0">
      <text>
        <r>
          <rPr>
            <b/>
            <sz val="9"/>
            <rFont val="Tahoma"/>
            <charset val="134"/>
          </rPr>
          <t>2018.3.24</t>
        </r>
        <r>
          <rPr>
            <b/>
            <sz val="9"/>
            <rFont val="宋体"/>
            <charset val="134"/>
          </rPr>
          <t>批</t>
        </r>
        <r>
          <rPr>
            <b/>
            <sz val="9"/>
            <rFont val="Tahoma"/>
            <charset val="134"/>
          </rPr>
          <t>20194.15
2023022403</t>
        </r>
      </text>
    </comment>
    <comment ref="C12" authorId="0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2018.12.31
2019.4.15
2020.5 2020052001
SY-JGTZ-2021041602
2023022403
SC-SC-001-20241118-002</t>
        </r>
      </text>
    </comment>
    <comment ref="C13" authorId="1">
      <text>
        <r>
          <rPr>
            <sz val="9"/>
            <rFont val="宋体"/>
            <charset val="134"/>
          </rPr>
          <t>2022.5.31根据联动表中加工费调整2024011802
SC-SC-018-20260107-016</t>
        </r>
      </text>
    </comment>
    <comment ref="D13" authorId="1">
      <text>
        <r>
          <rPr>
            <sz val="9"/>
            <rFont val="宋体"/>
            <charset val="134"/>
          </rPr>
          <t>2022.5.31根据联动表中加工费调整2024011802
SC-SC-018-20260107-016</t>
        </r>
      </text>
    </comment>
    <comment ref="B14" authorId="2">
      <text>
        <r>
          <rPr>
            <b/>
            <sz val="9"/>
            <rFont val="宋体"/>
            <charset val="134"/>
          </rPr>
          <t>王佩倩:</t>
        </r>
        <r>
          <rPr>
            <sz val="9"/>
            <rFont val="宋体"/>
            <charset val="134"/>
          </rPr>
          <t xml:space="preserve">
2020.4.30已核对公式</t>
        </r>
      </text>
    </comment>
    <comment ref="C14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2024011802</t>
        </r>
      </text>
    </comment>
    <comment ref="C15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SC-SC-018-20260824-016</t>
        </r>
      </text>
    </comment>
    <comment ref="F15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不含税</t>
        </r>
      </text>
    </comment>
    <comment ref="B17" authorId="2">
      <text>
        <r>
          <rPr>
            <b/>
            <sz val="9"/>
            <rFont val="宋体"/>
            <charset val="134"/>
          </rPr>
          <t>王佩倩:</t>
        </r>
        <r>
          <rPr>
            <sz val="9"/>
            <rFont val="宋体"/>
            <charset val="134"/>
          </rPr>
          <t xml:space="preserve">
2020.4.30已核对公式</t>
        </r>
      </text>
    </comment>
    <comment ref="G17" authorId="0">
      <text>
        <r>
          <rPr>
            <sz val="9"/>
            <rFont val="宋体"/>
            <charset val="134"/>
          </rPr>
          <t>月联动
SC-SC-001-20241105-013
SC-SC-018-20260104-024</t>
        </r>
      </text>
    </comment>
    <comment ref="H17" authorId="0">
      <text>
        <r>
          <rPr>
            <sz val="9"/>
            <rFont val="宋体"/>
            <charset val="134"/>
          </rPr>
          <t>月联动
SC-SC-001-20241105-013
SC-SC-018-20260104-024</t>
        </r>
      </text>
    </comment>
    <comment ref="G18" authorId="0">
      <text>
        <r>
          <rPr>
            <sz val="9"/>
            <rFont val="宋体"/>
            <charset val="134"/>
          </rPr>
          <t>月联动
SC-SC-018-20250621-005
SC-SC-018-20260608-008</t>
        </r>
      </text>
    </comment>
    <comment ref="C19" authorId="5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2018.05.02</t>
        </r>
        <r>
          <rPr>
            <sz val="9"/>
            <rFont val="宋体"/>
            <charset val="134"/>
          </rPr>
          <t>江西三花联动公式</t>
        </r>
        <r>
          <rPr>
            <sz val="1"/>
            <color indexed="0"/>
            <rFont val="宋体"/>
            <charset val="134"/>
          </rPr>
          <t xml:space="preserve"> </t>
        </r>
        <r>
          <rPr>
            <sz val="9"/>
            <rFont val="宋体"/>
            <charset val="134"/>
          </rPr>
          <t>棒料加工费</t>
        </r>
        <r>
          <rPr>
            <sz val="9"/>
            <rFont val="Tahoma"/>
            <charset val="134"/>
          </rPr>
          <t>800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吨，英豪</t>
        </r>
        <r>
          <rPr>
            <sz val="9"/>
            <rFont val="Tahoma"/>
            <charset val="134"/>
          </rPr>
          <t>700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</t>
        </r>
      </text>
    </comment>
    <comment ref="D19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SC-SC-001-20250120-018</t>
        </r>
      </text>
    </comment>
    <comment ref="G19" authorId="0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2018.12.31
2019.4.15
2020.5 2020052001
SY-JGTZ-2021041602
2023022403
SC-SC-001-20241118-002</t>
        </r>
      </text>
    </comment>
    <comment ref="H19" authorId="0">
      <text>
        <r>
          <rPr>
            <sz val="9"/>
            <rFont val="Tahoma"/>
            <charset val="134"/>
          </rPr>
          <t xml:space="preserve">
2019111302 </t>
        </r>
        <r>
          <rPr>
            <sz val="9"/>
            <rFont val="宋体"/>
            <charset val="134"/>
          </rPr>
          <t>海亮为不含税</t>
        </r>
        <r>
          <rPr>
            <sz val="9"/>
            <rFont val="Tahoma"/>
            <charset val="134"/>
          </rPr>
          <t>3.097</t>
        </r>
        <r>
          <rPr>
            <sz val="9"/>
            <rFont val="宋体"/>
            <charset val="134"/>
          </rPr>
          <t>（比例</t>
        </r>
        <r>
          <rPr>
            <sz val="9"/>
            <rFont val="Tahoma"/>
            <charset val="134"/>
          </rPr>
          <t>35%</t>
        </r>
        <r>
          <rPr>
            <sz val="9"/>
            <rFont val="宋体"/>
            <charset val="134"/>
          </rPr>
          <t>）
2020041401
2020061701
龙阳65%
SC-SC-018-20260107-027</t>
        </r>
      </text>
    </comment>
    <comment ref="Y19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加工费审批调整则公式调整</t>
        </r>
      </text>
    </comment>
    <comment ref="B20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2024011802</t>
        </r>
      </text>
    </comment>
    <comment ref="C20" authorId="3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SC-SC-018-20260824-016</t>
        </r>
      </text>
    </comment>
    <comment ref="G20" authorId="0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</text>
    </comment>
    <comment ref="D21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SC-SC-001-20250221-001</t>
        </r>
      </text>
    </comment>
    <comment ref="H21" authorId="5">
      <text>
        <r>
          <rPr>
            <b/>
            <sz val="9"/>
            <rFont val="Tahoma"/>
            <charset val="134"/>
          </rPr>
          <t>02664709: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上于（同城）</t>
        </r>
        <r>
          <rPr>
            <sz val="9"/>
            <rFont val="Tahoma"/>
            <charset val="134"/>
          </rPr>
          <t>55%</t>
        </r>
        <r>
          <rPr>
            <sz val="9"/>
            <rFont val="宋体"/>
            <charset val="134"/>
          </rPr>
          <t>，海</t>
        </r>
        <r>
          <rPr>
            <sz val="9"/>
            <rFont val="Tahoma"/>
            <charset val="134"/>
          </rPr>
          <t>30%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>2019041502
2019102801 
2019111302</t>
        </r>
        <r>
          <rPr>
            <sz val="9"/>
            <rFont val="宋体"/>
            <charset val="134"/>
          </rPr>
          <t>海亮</t>
        </r>
        <r>
          <rPr>
            <sz val="9"/>
            <rFont val="Tahoma"/>
            <charset val="134"/>
          </rPr>
          <t>3.716</t>
        </r>
        <r>
          <rPr>
            <sz val="9"/>
            <rFont val="宋体"/>
            <charset val="134"/>
          </rPr>
          <t>不含税
2021102502加工费4.45-5.05
2022011802
SC-SC-018-20260421-007</t>
        </r>
      </text>
    </comment>
    <comment ref="D23" authorId="0">
      <text>
        <r>
          <rPr>
            <sz val="9"/>
            <rFont val="宋体"/>
            <charset val="134"/>
          </rPr>
          <t xml:space="preserve">月联动
SC-SC-018-20250621-005
SC-SC-018-20260608-008
</t>
        </r>
      </text>
    </comment>
    <comment ref="H23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SC-SC-018-20260604-029</t>
        </r>
      </text>
    </comment>
    <comment ref="D25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2024011802
SC-SC-001-20250120-018</t>
        </r>
      </text>
    </comment>
    <comment ref="H25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20250709-010</t>
        </r>
      </text>
    </comment>
    <comment ref="D26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2024011802
SC-SC-001-20250120-018
SC-SC-018-20260819-007</t>
        </r>
      </text>
    </comment>
    <comment ref="D27" authorId="0">
      <text>
        <r>
          <rPr>
            <sz val="9"/>
            <rFont val="Tahoma"/>
            <charset val="134"/>
          </rPr>
          <t>SC-SC-001-20260703-004</t>
        </r>
      </text>
    </comment>
    <comment ref="H27" authorId="6">
      <text>
        <r>
          <rPr>
            <b/>
            <sz val="9"/>
            <rFont val="宋体"/>
            <charset val="134"/>
          </rPr>
          <t>12000014:</t>
        </r>
        <r>
          <rPr>
            <sz val="9"/>
            <rFont val="宋体"/>
            <charset val="134"/>
          </rPr>
          <t xml:space="preserve">
2023020301</t>
        </r>
      </text>
    </comment>
    <comment ref="D28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C3604BDS Φ11
C3604BDS φ14×2500</t>
        </r>
      </text>
    </comment>
    <comment ref="D31" authorId="6">
      <text>
        <r>
          <rPr>
            <b/>
            <sz val="9"/>
            <rFont val="宋体"/>
            <charset val="134"/>
          </rPr>
          <t>12000014:</t>
        </r>
        <r>
          <rPr>
            <sz val="9"/>
            <rFont val="宋体"/>
            <charset val="134"/>
          </rPr>
          <t xml:space="preserve">
2023022403
SC-SC-001-20250120-018
</t>
        </r>
      </text>
    </comment>
    <comment ref="D32" authorId="6">
      <text>
        <r>
          <rPr>
            <b/>
            <sz val="9"/>
            <rFont val="宋体"/>
            <charset val="134"/>
          </rPr>
          <t>12000014:</t>
        </r>
        <r>
          <rPr>
            <sz val="9"/>
            <rFont val="宋体"/>
            <charset val="134"/>
          </rPr>
          <t xml:space="preserve">
2023022403
SC-SC-001-20250120-018
</t>
        </r>
      </text>
    </comment>
    <comment ref="D34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2019072207</t>
        </r>
      </text>
    </comment>
    <comment ref="C35" authorId="3">
      <text>
        <r>
          <rPr>
            <sz val="9"/>
            <rFont val="宋体"/>
            <charset val="134"/>
          </rPr>
          <t>月联动
SC-SC-018-20250621-005
SC-SC-018-20260608-008</t>
        </r>
      </text>
    </comment>
    <comment ref="D35" authorId="3">
      <text>
        <r>
          <rPr>
            <sz val="9"/>
            <rFont val="Tahoma"/>
            <charset val="134"/>
          </rPr>
          <t>SC-SC-018-20251119-025</t>
        </r>
      </text>
    </comment>
    <comment ref="G35" authorId="0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宋体"/>
            <charset val="134"/>
          </rPr>
          <t xml:space="preserve">
上于（同城）</t>
        </r>
        <r>
          <rPr>
            <sz val="9"/>
            <rFont val="Tahoma"/>
            <charset val="134"/>
          </rPr>
          <t>35%</t>
        </r>
        <r>
          <rPr>
            <sz val="9"/>
            <rFont val="宋体"/>
            <charset val="134"/>
          </rPr>
          <t>，海亮</t>
        </r>
        <r>
          <rPr>
            <sz val="9"/>
            <rFont val="Tahoma"/>
            <charset val="134"/>
          </rPr>
          <t>65% 2019.4.</t>
        </r>
        <r>
          <rPr>
            <sz val="9"/>
            <rFont val="宋体"/>
            <charset val="134"/>
          </rPr>
          <t xml:space="preserve">联动
</t>
        </r>
        <r>
          <rPr>
            <sz val="9"/>
            <rFont val="Tahoma"/>
            <charset val="134"/>
          </rPr>
          <t>2019041502
2019102801 
2019111302</t>
        </r>
        <r>
          <rPr>
            <sz val="9"/>
            <rFont val="宋体"/>
            <charset val="134"/>
          </rPr>
          <t>海亮</t>
        </r>
        <r>
          <rPr>
            <sz val="9"/>
            <rFont val="Tahoma"/>
            <charset val="134"/>
          </rPr>
          <t>3.716</t>
        </r>
        <r>
          <rPr>
            <sz val="9"/>
            <rFont val="宋体"/>
            <charset val="134"/>
          </rPr>
          <t xml:space="preserve">不含税
</t>
        </r>
        <r>
          <rPr>
            <sz val="9"/>
            <rFont val="Tahoma"/>
            <charset val="134"/>
          </rPr>
          <t xml:space="preserve">2021年四季度供货比例同城65%
2021102502  </t>
        </r>
        <r>
          <rPr>
            <sz val="9"/>
            <rFont val="宋体"/>
            <charset val="134"/>
          </rPr>
          <t>加工费</t>
        </r>
        <r>
          <rPr>
            <sz val="9"/>
            <rFont val="Tahoma"/>
            <charset val="134"/>
          </rPr>
          <t>5-5.6
2022011802</t>
        </r>
      </text>
    </comment>
    <comment ref="H35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2019072207</t>
        </r>
      </text>
    </comment>
    <comment ref="C36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02664709:
上于（同城）60%，海400%
2019041502
2019102801 
2019111302海亮3.716不含税
2021102502加工费4.45-5.05
2022011802
SY-JGTZ-2022080201
SC-SC-018-20260421-007</t>
        </r>
      </text>
    </comment>
    <comment ref="D36" authorId="3">
      <text>
        <r>
          <rPr>
            <sz val="9"/>
            <rFont val="Tahoma"/>
            <charset val="134"/>
          </rPr>
          <t>SC-SC-018-20251119-025</t>
        </r>
      </text>
    </comment>
    <comment ref="G36" authorId="3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SC-SC-018-20260623-021</t>
        </r>
      </text>
    </comment>
    <comment ref="C37" authorId="3">
      <text>
        <r>
          <rPr>
            <sz val="9"/>
            <rFont val="宋体"/>
            <charset val="134"/>
          </rPr>
          <t>海亮</t>
        </r>
        <r>
          <rPr>
            <sz val="9"/>
            <rFont val="Tahoma"/>
            <charset val="134"/>
          </rPr>
          <t>100%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>2019041502
2019102801 
2019111302</t>
        </r>
        <r>
          <rPr>
            <sz val="9"/>
            <rFont val="宋体"/>
            <charset val="134"/>
          </rPr>
          <t>海亮</t>
        </r>
        <r>
          <rPr>
            <sz val="9"/>
            <rFont val="Tahoma"/>
            <charset val="134"/>
          </rPr>
          <t>3.716</t>
        </r>
        <r>
          <rPr>
            <sz val="9"/>
            <rFont val="宋体"/>
            <charset val="134"/>
          </rPr>
          <t>不含税
2021102502加工费4.45-5.05
2022011802
2024011205</t>
        </r>
      </text>
    </comment>
    <comment ref="D37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SC-SC-001-20240511-016</t>
        </r>
      </text>
    </comment>
    <comment ref="G37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2022090911
SC-SC-018-20260321-011
清单见批单 100%</t>
        </r>
      </text>
    </comment>
    <comment ref="H37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SC-SC-001-20240510-012</t>
        </r>
      </text>
    </comment>
    <comment ref="C39" authorId="5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SC-SC-001-20240511-016</t>
        </r>
      </text>
    </comment>
    <comment ref="D39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SC-SC-001-20241219-009
SC-SC-001-20250922-003
</t>
        </r>
      </text>
    </comment>
    <comment ref="H39" authorId="3">
      <text>
        <r>
          <rPr>
            <sz val="9"/>
            <rFont val="Tahoma"/>
            <charset val="134"/>
          </rPr>
          <t>2SC-SC-001-20260706-007</t>
        </r>
      </text>
    </comment>
    <comment ref="D40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2022121507
223071405
SC-SC-001-20250109-017SC-SC-001-20251231-00
SC-SC-001-20260703-SC-SC-001-20260703-004SC-SC-001-20260703-004</t>
        </r>
      </text>
    </comment>
    <comment ref="H40" authorId="3">
      <text>
        <r>
          <rPr>
            <sz val="9"/>
            <rFont val="Tahoma"/>
            <charset val="134"/>
          </rPr>
          <t>SC-SC-001-20241219-009
SC-SC-001-20241228-008</t>
        </r>
      </text>
    </comment>
    <comment ref="D41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2022121902
2023080506
2023121801
SC-SC-001-20240821-007SC-SC-001-20260407-004</t>
        </r>
      </text>
    </comment>
    <comment ref="H41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2022121507
SC-SC-001-20250507-012
SC-SC-001-20251022-001</t>
        </r>
      </text>
    </comment>
    <comment ref="D42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SC-SC-001-20251227-005</t>
        </r>
      </text>
    </comment>
    <comment ref="H42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SC-SC-001-20260706-007</t>
        </r>
      </text>
    </comment>
    <comment ref="D43" authorId="3">
      <text>
        <r>
          <rPr>
            <sz val="9"/>
            <rFont val="Tahoma"/>
            <charset val="134"/>
          </rPr>
          <t>SC-SC-001-20260727-003</t>
        </r>
      </text>
    </comment>
    <comment ref="H43" authorId="3">
      <text>
        <r>
          <rPr>
            <sz val="9"/>
            <rFont val="Tahoma"/>
            <charset val="134"/>
          </rPr>
          <t>SC-SC-001-20251016-002
SC-SC-001-20260109-00
SC-SC-001-20260407-001
SC-SC-001-20260706-007</t>
        </r>
      </text>
    </comment>
    <comment ref="D44" authorId="3">
      <text>
        <r>
          <rPr>
            <sz val="9"/>
            <rFont val="Tahoma"/>
            <charset val="134"/>
          </rPr>
          <t xml:space="preserve">SC-SC-001-20260706-007
</t>
        </r>
      </text>
    </comment>
    <comment ref="H44" authorId="3">
      <text>
        <r>
          <rPr>
            <sz val="9"/>
            <rFont val="Tahoma"/>
            <charset val="134"/>
          </rPr>
          <t xml:space="preserve">SC-SC-001-20251016-002SC-SC-001-20260407-001
SC-SC-001-20260706-007
</t>
        </r>
      </text>
    </comment>
    <comment ref="D45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潘晓红（成本管理部）</t>
        </r>
        <r>
          <rPr>
            <sz val="9"/>
            <rFont val="Tahoma"/>
            <charset val="134"/>
          </rPr>
          <t>:
20230414004
2023070303
2023101004
2023121801
2024040811
SC-SC-001-20241013-001
SC-SC-001-20250104-003
SC-SC-001-20250403-016
SC-SC-001-20251016-002
SC-SC-001-20260407-001</t>
        </r>
      </text>
    </comment>
    <comment ref="G45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2023061503
</t>
        </r>
      </text>
    </comment>
    <comment ref="H45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2023061503
</t>
        </r>
      </text>
    </comment>
    <comment ref="C46" authorId="3">
      <text>
        <r>
          <rPr>
            <sz val="9"/>
            <rFont val="Tahoma"/>
            <charset val="134"/>
          </rPr>
          <t xml:space="preserve">SC-SC-001-20260706-007
</t>
        </r>
      </text>
    </comment>
    <comment ref="D46" authorId="3">
      <text>
        <r>
          <rPr>
            <sz val="9"/>
            <rFont val="Tahoma"/>
            <charset val="134"/>
          </rPr>
          <t xml:space="preserve">SC-SC-001-20260706-007
</t>
        </r>
      </text>
    </comment>
    <comment ref="G46" authorId="3">
      <text>
        <r>
          <rPr>
            <sz val="9"/>
            <rFont val="Tahoma"/>
            <charset val="134"/>
          </rPr>
          <t xml:space="preserve">SC-SC-001-20260706-007
</t>
        </r>
      </text>
    </comment>
    <comment ref="H46" authorId="3">
      <text>
        <r>
          <rPr>
            <sz val="9"/>
            <rFont val="Tahoma"/>
            <charset val="134"/>
          </rPr>
          <t xml:space="preserve">SC-SC-001-20260706-007
</t>
        </r>
      </text>
    </comment>
    <comment ref="B47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SC-SC-001-20241013-001</t>
        </r>
      </text>
    </comment>
    <comment ref="C47" authorId="3">
      <text>
        <r>
          <rPr>
            <sz val="9"/>
            <rFont val="Tahoma"/>
            <charset val="134"/>
          </rPr>
          <t xml:space="preserve">SC-SC-001-20260706-007
</t>
        </r>
      </text>
    </comment>
    <comment ref="D47" authorId="3">
      <text>
        <r>
          <rPr>
            <sz val="9"/>
            <rFont val="Tahoma"/>
            <charset val="134"/>
          </rPr>
          <t xml:space="preserve">SC-SC-001-20260706-007
</t>
        </r>
      </text>
    </comment>
    <comment ref="G47" authorId="3">
      <text>
        <r>
          <rPr>
            <sz val="9"/>
            <rFont val="Tahoma"/>
            <charset val="134"/>
          </rPr>
          <t>SC-SC-001-20260727-003</t>
        </r>
      </text>
    </comment>
    <comment ref="H47" authorId="3">
      <text>
        <r>
          <rPr>
            <sz val="9"/>
            <rFont val="Tahoma"/>
            <charset val="134"/>
          </rPr>
          <t>SC-SC-001-20260727-003</t>
        </r>
      </text>
    </comment>
    <comment ref="C48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SC-SC-001-20260703-004</t>
        </r>
      </text>
    </comment>
    <comment ref="D48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SC-SC-001-20260703-004</t>
        </r>
      </text>
    </comment>
    <comment ref="F48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20250731-001</t>
        </r>
      </text>
    </comment>
    <comment ref="G48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SC-SC-001-20240510-012
SC-SC-001-20250819-006
</t>
        </r>
      </text>
    </comment>
    <comment ref="H48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SC-SC-001-20240510-012
SC-SC-001-20250819-006
</t>
        </r>
      </text>
    </comment>
    <comment ref="C49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SC-SC-001-20240902-020
</t>
        </r>
      </text>
    </comment>
    <comment ref="D49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SC-SC-001-20240902-020
</t>
        </r>
      </text>
    </comment>
    <comment ref="G49" authorId="3">
      <text>
        <r>
          <rPr>
            <b/>
            <sz val="9"/>
            <rFont val="宋体"/>
            <charset val="134"/>
          </rPr>
          <t xml:space="preserve">2024030102
</t>
        </r>
      </text>
    </comment>
    <comment ref="H49" authorId="3">
      <text>
        <r>
          <rPr>
            <b/>
            <sz val="9"/>
            <rFont val="宋体"/>
            <charset val="134"/>
          </rPr>
          <t xml:space="preserve">2024030102
</t>
        </r>
      </text>
    </comment>
    <comment ref="B50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SC-SC-001-20240920-008</t>
        </r>
      </text>
    </comment>
    <comment ref="C50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SC-SC-018-20251126-023 限本批 原来11元</t>
        </r>
      </text>
    </comment>
    <comment ref="D50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SC-SC-018-20251126-023 限本批 原来11元</t>
        </r>
      </text>
    </comment>
    <comment ref="G50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SC-SC-001-20240531-012</t>
        </r>
      </text>
    </comment>
    <comment ref="H50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SC-SC-001-20240531-012</t>
        </r>
      </text>
    </comment>
    <comment ref="F51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SC-SC-001-20250208-013</t>
        </r>
      </text>
    </comment>
    <comment ref="G51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20250722-003</t>
        </r>
      </text>
    </comment>
    <comment ref="H51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20250722-003</t>
        </r>
      </text>
    </comment>
    <comment ref="B52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SC-SC-001-20241013-001</t>
        </r>
      </text>
    </comment>
    <comment ref="C52" authorId="3">
      <text>
        <r>
          <rPr>
            <sz val="9"/>
            <rFont val="Tahoma"/>
            <charset val="134"/>
          </rPr>
          <t xml:space="preserve">SC-SC-001-20260706-007
</t>
        </r>
      </text>
    </comment>
    <comment ref="D52" authorId="3">
      <text>
        <r>
          <rPr>
            <sz val="9"/>
            <rFont val="Tahoma"/>
            <charset val="134"/>
          </rPr>
          <t xml:space="preserve">SC-SC-001-20260706-007
</t>
        </r>
      </text>
    </comment>
    <comment ref="F52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SC-SC-001-20250208-013</t>
        </r>
      </text>
    </comment>
    <comment ref="G52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SC-SC-018-20260602-014</t>
        </r>
      </text>
    </comment>
    <comment ref="H52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SC-SC-018-20260602-014</t>
        </r>
      </text>
    </comment>
    <comment ref="C53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2024011501
SC-SC-001-20240515-030
SC-SC-001-20240607-012
SC-SC-018-20260107-025</t>
        </r>
      </text>
    </comment>
    <comment ref="D53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2024011501
SC-SC-001-20240515-030
SC-SC-001-20240607-012
SC-SC-018-20260107-025</t>
        </r>
      </text>
    </comment>
    <comment ref="F53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SC-SC-001-20250208-015</t>
        </r>
      </text>
    </comment>
    <comment ref="C54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2024011501
SC-SC-001-20240515-030
SC-SC-001-20240607-012</t>
        </r>
      </text>
    </comment>
    <comment ref="D54" authorId="3">
      <text>
        <r>
          <rPr>
            <b/>
            <sz val="9"/>
            <rFont val="宋体"/>
            <charset val="134"/>
          </rPr>
          <t>潘晓红（成本管理部）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2024011501
SC-SC-001-20240515-030
SC-SC-001-20240607-012</t>
        </r>
      </text>
    </comment>
    <comment ref="F54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SC-SC-001-20250208-015</t>
        </r>
      </text>
    </comment>
    <comment ref="C55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SC-SC-001-20250214-015
SC-SC-001-20250225-004</t>
        </r>
      </text>
    </comment>
    <comment ref="D55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SC-SC-001-20250214-015
SC-SC-001-20250225-004</t>
        </r>
      </text>
    </comment>
    <comment ref="G55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SC-SC-018-20250604-007</t>
        </r>
      </text>
    </comment>
    <comment ref="H55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SC-SC-018-20250604-007</t>
        </r>
      </text>
    </comment>
    <comment ref="C56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SC-SC-001-20250320-019</t>
        </r>
      </text>
    </comment>
    <comment ref="D56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SC-SC-001-20250320-019</t>
        </r>
      </text>
    </comment>
    <comment ref="G56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SC-SC-018-20250624-004</t>
        </r>
      </text>
    </comment>
    <comment ref="H56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SC-SC-018-20250624-004</t>
        </r>
      </text>
    </comment>
    <comment ref="C57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SC-SC-001-20250320-019
SC-SC-001-20250320-019</t>
        </r>
      </text>
    </comment>
    <comment ref="D57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SC-SC-001-20250320-019
SC-SC-001-20250320-019</t>
        </r>
      </text>
    </comment>
    <comment ref="G57" authorId="4">
      <text>
        <r>
          <rPr>
            <b/>
            <sz val="9"/>
            <rFont val="宋体"/>
            <charset val="134"/>
          </rPr>
          <t xml:space="preserve">20250630-001
</t>
        </r>
        <r>
          <rPr>
            <sz val="9"/>
            <rFont val="宋体"/>
            <charset val="134"/>
          </rPr>
          <t xml:space="preserve">SC-SC-018-20250728-006
SC-SC-018-20250728-006
</t>
        </r>
      </text>
    </comment>
    <comment ref="H57" authorId="4">
      <text>
        <r>
          <rPr>
            <b/>
            <sz val="9"/>
            <rFont val="宋体"/>
            <charset val="134"/>
          </rPr>
          <t xml:space="preserve">20250630-001
</t>
        </r>
        <r>
          <rPr>
            <sz val="9"/>
            <rFont val="宋体"/>
            <charset val="134"/>
          </rPr>
          <t xml:space="preserve">SC-SC-018-20250728-006
SC-SC-018-20250728-006
</t>
        </r>
      </text>
    </comment>
    <comment ref="C58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SC-SC-001-20250320-019
SC-SC-001-20250320-019</t>
        </r>
      </text>
    </comment>
    <comment ref="D58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SC-SC-001-20250320-019
SC-SC-001-20250320-019</t>
        </r>
      </text>
    </comment>
    <comment ref="G58" authorId="4">
      <text>
        <r>
          <rPr>
            <b/>
            <sz val="9"/>
            <rFont val="宋体"/>
            <charset val="134"/>
          </rPr>
          <t>20250630-002</t>
        </r>
      </text>
    </comment>
    <comment ref="H58" authorId="4">
      <text>
        <r>
          <rPr>
            <b/>
            <sz val="9"/>
            <rFont val="宋体"/>
            <charset val="134"/>
          </rPr>
          <t>20250630-002</t>
        </r>
      </text>
    </comment>
    <comment ref="C59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SC-SC-018-20250624-004</t>
        </r>
      </text>
    </comment>
    <comment ref="D59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SC-SC-018-20250624-004</t>
        </r>
      </text>
    </comment>
    <comment ref="G59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20250722-029</t>
        </r>
      </text>
    </comment>
    <comment ref="H59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20250722-029</t>
        </r>
      </text>
    </comment>
    <comment ref="B60" authorId="5">
      <text>
        <r>
          <rPr>
            <b/>
            <sz val="9"/>
            <rFont val="宋体"/>
            <charset val="134"/>
          </rPr>
          <t>02664709:</t>
        </r>
        <r>
          <rPr>
            <sz val="9"/>
            <rFont val="宋体"/>
            <charset val="134"/>
          </rPr>
          <t xml:space="preserve">
SC-SC-001-20250208-015</t>
        </r>
      </text>
    </comment>
    <comment ref="C60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20250722-003</t>
        </r>
      </text>
    </comment>
    <comment ref="D60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20250722-003</t>
        </r>
      </text>
    </comment>
    <comment ref="G60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20250722-003</t>
        </r>
      </text>
    </comment>
    <comment ref="H60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20250722-003</t>
        </r>
      </text>
    </comment>
    <comment ref="C61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20250722-003</t>
        </r>
      </text>
    </comment>
    <comment ref="D61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20250722-003</t>
        </r>
      </text>
    </comment>
    <comment ref="G61" authorId="5">
      <text>
        <r>
          <rPr>
            <b/>
            <sz val="9"/>
            <rFont val="宋体"/>
            <charset val="134"/>
          </rPr>
          <t>20250722-003</t>
        </r>
      </text>
    </comment>
    <comment ref="H61" authorId="5">
      <text>
        <r>
          <rPr>
            <b/>
            <sz val="9"/>
            <rFont val="宋体"/>
            <charset val="134"/>
          </rPr>
          <t>20250722-003</t>
        </r>
      </text>
    </comment>
    <comment ref="G62" authorId="5">
      <text>
        <r>
          <rPr>
            <b/>
            <sz val="9"/>
            <rFont val="宋体"/>
            <charset val="134"/>
          </rPr>
          <t>20250722-003</t>
        </r>
      </text>
    </comment>
    <comment ref="H62" authorId="5">
      <text>
        <r>
          <rPr>
            <b/>
            <sz val="9"/>
            <rFont val="宋体"/>
            <charset val="134"/>
          </rPr>
          <t>20250722-003</t>
        </r>
      </text>
    </comment>
    <comment ref="C63" authorId="3">
      <text>
        <r>
          <rPr>
            <b/>
            <sz val="9"/>
            <rFont val="宋体"/>
            <charset val="134"/>
          </rPr>
          <t>2024011104</t>
        </r>
      </text>
    </comment>
    <comment ref="D63" authorId="3">
      <text>
        <r>
          <rPr>
            <b/>
            <sz val="9"/>
            <rFont val="宋体"/>
            <charset val="134"/>
          </rPr>
          <t>2024011104</t>
        </r>
      </text>
    </comment>
    <comment ref="G63" authorId="4">
      <text>
        <r>
          <rPr>
            <sz val="9"/>
            <rFont val="宋体"/>
            <charset val="134"/>
          </rPr>
          <t>SC-SC-001-20260825-002</t>
        </r>
      </text>
    </comment>
    <comment ref="H63" authorId="4">
      <text>
        <r>
          <rPr>
            <sz val="9"/>
            <rFont val="宋体"/>
            <charset val="134"/>
          </rPr>
          <t>SC-SC-001-20260825-002</t>
        </r>
      </text>
    </comment>
    <comment ref="C64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SC-SC-018-20250730-022
SC-SC-018-20250917-021</t>
        </r>
      </text>
    </comment>
    <comment ref="D64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SC-SC-018-20250730-022
SC-SC-018-20250917-021</t>
        </r>
      </text>
    </comment>
    <comment ref="C65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SC-SC-018-20251124-019</t>
        </r>
      </text>
    </comment>
    <comment ref="D65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SC-SC-018-20251124-019</t>
        </r>
      </text>
    </comment>
    <comment ref="C66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SC-SC-018-20260602-016</t>
        </r>
      </text>
    </comment>
    <comment ref="D66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SC-SC-018-20260602-016</t>
        </r>
      </text>
    </comment>
    <comment ref="C67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SC-SC-018-20260623-021</t>
        </r>
      </text>
    </comment>
    <comment ref="D67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SC-SC-018-20260623-021</t>
        </r>
      </text>
    </comment>
    <comment ref="C68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SC-SC-018-20260623-021</t>
        </r>
      </text>
    </comment>
    <comment ref="D68" authorId="4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SC-SC-018-20260623-021</t>
        </r>
      </text>
    </comment>
  </commentList>
</comments>
</file>

<file path=xl/sharedStrings.xml><?xml version="1.0" encoding="utf-8"?>
<sst xmlns="http://schemas.openxmlformats.org/spreadsheetml/2006/main" count="33289" uniqueCount="5726">
  <si>
    <t>materialCode</t>
  </si>
  <si>
    <t>materialName</t>
  </si>
  <si>
    <t>materialSpecifications</t>
  </si>
  <si>
    <t>materialModel</t>
  </si>
  <si>
    <t>materialUnit</t>
  </si>
  <si>
    <t>recycleMaterialCode</t>
  </si>
  <si>
    <t>recycleMaterialName</t>
  </si>
  <si>
    <t>recycleMaterialSpecification</t>
  </si>
  <si>
    <t>recycleMaterialModel</t>
  </si>
  <si>
    <t>recycleMaterialUnit</t>
  </si>
  <si>
    <t>RecycleMaterialInfoVersion</t>
  </si>
  <si>
    <t>costGroupName</t>
  </si>
  <si>
    <t>creater</t>
  </si>
  <si>
    <t>createdDeptId</t>
  </si>
  <si>
    <t>owner</t>
  </si>
  <si>
    <t>ownerDeptId</t>
  </si>
  <si>
    <t>createdTime</t>
  </si>
  <si>
    <t>modifier</t>
  </si>
  <si>
    <t>modifiedTime</t>
  </si>
  <si>
    <t>sequenceNo</t>
  </si>
  <si>
    <t>id</t>
  </si>
  <si>
    <t>name</t>
  </si>
  <si>
    <t>workflowInstanceId</t>
  </si>
  <si>
    <t>sequenceStatus</t>
  </si>
  <si>
    <t>linkDetailId</t>
  </si>
  <si>
    <t>approvalPerson</t>
  </si>
  <si>
    <t>syncTime</t>
  </si>
  <si>
    <t>approvalTime</t>
  </si>
  <si>
    <t>costGroupCode</t>
  </si>
  <si>
    <t>costGroup</t>
  </si>
  <si>
    <t>effectiveDate</t>
  </si>
  <si>
    <t>postingPeriod</t>
  </si>
  <si>
    <t>物料料号</t>
  </si>
  <si>
    <t>物料品名</t>
  </si>
  <si>
    <t>物料规格</t>
  </si>
  <si>
    <t>物料型号</t>
  </si>
  <si>
    <t>物料单位</t>
  </si>
  <si>
    <t>回收料号</t>
  </si>
  <si>
    <t>回收料品名</t>
  </si>
  <si>
    <t>回收料规格</t>
  </si>
  <si>
    <t>回收料型号</t>
  </si>
  <si>
    <t>回收料单位</t>
  </si>
  <si>
    <t>同步版本</t>
  </si>
  <si>
    <t>成本组名称</t>
  </si>
  <si>
    <t>创建人</t>
  </si>
  <si>
    <t>创建人部门</t>
  </si>
  <si>
    <t>拥有者</t>
  </si>
  <si>
    <t>拥有者部门</t>
  </si>
  <si>
    <t>创建时间</t>
  </si>
  <si>
    <t>修改人</t>
  </si>
  <si>
    <t>修改时间</t>
  </si>
  <si>
    <t>单据号</t>
  </si>
  <si>
    <t>数据标题</t>
  </si>
  <si>
    <t>流程实例ID</t>
  </si>
  <si>
    <t>单据状态</t>
  </si>
  <si>
    <t>关联明细id</t>
  </si>
  <si>
    <t>审核人</t>
  </si>
  <si>
    <t>同步时间</t>
  </si>
  <si>
    <t>审核时间</t>
  </si>
  <si>
    <t>成本组编码</t>
  </si>
  <si>
    <t>成本组关联Id</t>
  </si>
  <si>
    <t>生效时间</t>
  </si>
  <si>
    <t>期间</t>
  </si>
  <si>
    <t>9810000083006</t>
  </si>
  <si>
    <t>不锈钢无缝钢管</t>
  </si>
  <si>
    <t>SUS304(B)_Φ45*11</t>
  </si>
  <si>
    <t/>
  </si>
  <si>
    <t>千克</t>
  </si>
  <si>
    <t>301990444</t>
  </si>
  <si>
    <t>废不锈钢沫和丝网（仅限301、303、304）</t>
  </si>
  <si>
    <t>仅限SUS301、SUS303、SUS304</t>
  </si>
  <si>
    <t>1</t>
  </si>
  <si>
    <t>商用大明市生产基地</t>
  </si>
  <si>
    <t>admin</t>
  </si>
  <si>
    <t>2026-10-13 08:20:02</t>
  </si>
  <si>
    <t>3bf1400591864f9c818d6f6b24a3511c</t>
  </si>
  <si>
    <t>26a17c8808794b8bacb75d9f6d80a3c9</t>
  </si>
  <si>
    <t>郑晨阳的原材料对应回收废料信息-单据2026-10-13 08:20:02</t>
  </si>
  <si>
    <t>已完成</t>
  </si>
  <si>
    <t>6bbeeab5b877417e988ea92db017e34f</t>
  </si>
  <si>
    <t>郑晨阳</t>
  </si>
  <si>
    <t>2026-10-13</t>
  </si>
  <si>
    <t>002</t>
  </si>
  <si>
    <t>3e0f08b8b0d348a081e360f698b53f0d</t>
  </si>
  <si>
    <t>2026-10</t>
  </si>
  <si>
    <t>9810000082628</t>
  </si>
  <si>
    <t>不锈钢带</t>
  </si>
  <si>
    <t>316L_带t0.35*395_2B</t>
  </si>
  <si>
    <t>301991071</t>
  </si>
  <si>
    <t>废不锈钢316L</t>
  </si>
  <si>
    <t>2026-10-03 10:30:06</t>
  </si>
  <si>
    <t>09b5ba3393294e48adced67fee2fe082</t>
  </si>
  <si>
    <t>a3f2f3b0bc944cdcac5ef61f8c510492</t>
  </si>
  <si>
    <t>任梦怡的原材料对应回收废料信息-单据2026-10-03 10:30:05</t>
  </si>
  <si>
    <t>0a2d2ea98a4d43f792ce7532c30d1516</t>
  </si>
  <si>
    <t>任梦怡</t>
  </si>
  <si>
    <t>2026-10-03</t>
  </si>
  <si>
    <t>9810000082626</t>
  </si>
  <si>
    <t>铜箔</t>
  </si>
  <si>
    <t>T2_O60_带t0.04*395</t>
  </si>
  <si>
    <t>301990315</t>
  </si>
  <si>
    <t>废T2（干净）</t>
  </si>
  <si>
    <t>紫铜废料</t>
  </si>
  <si>
    <t>a8146f29070143f2aa2e0e01295673a8</t>
  </si>
  <si>
    <t>f68c45fda6d145ab91429499428ffd10</t>
  </si>
  <si>
    <t>8a7eaafc852c4714b9c3f00f2e7cb9fe</t>
  </si>
  <si>
    <t>206610060</t>
  </si>
  <si>
    <t>阀体毛坯</t>
  </si>
  <si>
    <t>HPV-0802</t>
  </si>
  <si>
    <t>只</t>
  </si>
  <si>
    <t>301990218</t>
  </si>
  <si>
    <t>C3771/C3604干铜沫</t>
  </si>
  <si>
    <t>2026-09-30 22:50:13</t>
  </si>
  <si>
    <t>32ee72110bc54a6daefde97af018042c</t>
  </si>
  <si>
    <t>a7ab487c31804598bb8ad08efa19d6b1</t>
  </si>
  <si>
    <t>丁佳扬的原材料对应回收废料信息-单据2026-09-30 22:50:12</t>
  </si>
  <si>
    <t>ff6b96e474b446ae92fd99dea06fe25a</t>
  </si>
  <si>
    <t>丁佳扬</t>
  </si>
  <si>
    <t>2026-09-30</t>
  </si>
  <si>
    <t>2026-09</t>
  </si>
  <si>
    <t>206610061</t>
  </si>
  <si>
    <t>接头毛坯</t>
  </si>
  <si>
    <t>HPV-3501</t>
  </si>
  <si>
    <t>2026-09-29 18:10:38</t>
  </si>
  <si>
    <t>708666aa156e430e997f16f7d82af21f</t>
  </si>
  <si>
    <t>864ea11e238b4386b42a150ade33cbfb</t>
  </si>
  <si>
    <t>郑晨阳的原材料对应回收废料信息-单据2026-09-29 18:10:38</t>
  </si>
  <si>
    <t>60f581810c134bbfa98b34600763b334</t>
  </si>
  <si>
    <t>2026-09-29</t>
  </si>
  <si>
    <t>1109000300095</t>
  </si>
  <si>
    <t>视镜座毛坯</t>
  </si>
  <si>
    <t>SYJ-A00-919037</t>
  </si>
  <si>
    <t>2026-09-18 10:55:25</t>
  </si>
  <si>
    <t>c692b08f8b0143ad8d5ec50219c3a1a5</t>
  </si>
  <si>
    <t>dacb86d4d1d4493ba4eb1904d711d438</t>
  </si>
  <si>
    <t>郑晨阳的原材料对应回收废料信息-单据2026-09-18 10:55:25</t>
  </si>
  <si>
    <t>0184dd9b4f7c4965b3a7b0688209f1fb</t>
  </si>
  <si>
    <t>2026-09-18</t>
  </si>
  <si>
    <t>1109000300094</t>
  </si>
  <si>
    <t>SYJ-A00-919036</t>
  </si>
  <si>
    <t>2026-09-18 10:55:23</t>
  </si>
  <si>
    <t>ec0e7a97590c4c3a81505e2521ac3f04</t>
  </si>
  <si>
    <t>c13cf28e45c1421190ee7d77bcfa89d8</t>
  </si>
  <si>
    <t>郑晨阳的原材料对应回收废料信息-单据2026-09-18 10:55:22</t>
  </si>
  <si>
    <t>be32f80806d84cc2bc3c6c0067806982</t>
  </si>
  <si>
    <t>1109000300096</t>
  </si>
  <si>
    <t>SYJ-A00-919038</t>
  </si>
  <si>
    <t>37110d81f0204369a95bc1fb26067e00</t>
  </si>
  <si>
    <t>e62236c2574946f09bf26b7e69a366b8</t>
  </si>
  <si>
    <t>3e886db410224cb0960a7ec36ffa4ec4</t>
  </si>
  <si>
    <t>301210293</t>
  </si>
  <si>
    <t>不锈钢管</t>
  </si>
  <si>
    <t>SUS304 Φ16.7(ID)×0.65</t>
  </si>
  <si>
    <t>2026-08-31 18:42:23</t>
  </si>
  <si>
    <t>43e2e9925aef408283061700d25f8f3f</t>
  </si>
  <si>
    <t>23e61e15ab3a43eca577d4e70381195e</t>
  </si>
  <si>
    <t>王梦帆的原材料对应回收废料信息-单据2026-08-31 18:42:23</t>
  </si>
  <si>
    <t>153e8a2c4ffb4aa8b35e7dbae09140e6</t>
  </si>
  <si>
    <t>王梦帆</t>
  </si>
  <si>
    <t>2026-08-31</t>
  </si>
  <si>
    <t>2026-08</t>
  </si>
  <si>
    <t>301050780</t>
  </si>
  <si>
    <t>拉制铜管</t>
  </si>
  <si>
    <t>TP2 H02 Φ4.76×0.5</t>
  </si>
  <si>
    <t>301990317</t>
  </si>
  <si>
    <t>废紫铜沫（干净）</t>
  </si>
  <si>
    <t>废料头</t>
  </si>
  <si>
    <t>2026-08-31 18:42:21</t>
  </si>
  <si>
    <t>de728a259b1644bb9dfbf15ed6ef1a3c</t>
  </si>
  <si>
    <t>31ed01c6ce9141c8b23e35b03153abcc</t>
  </si>
  <si>
    <t>王梦帆的原材料对应回收废料信息-单据2026-08-31 18:42:20</t>
  </si>
  <si>
    <t>ebe8dc9bfad048fcb8e7dc7605077dff</t>
  </si>
  <si>
    <t>301080178</t>
  </si>
  <si>
    <t>漆包线</t>
  </si>
  <si>
    <t>Q(ZY/XY)-1/200 Φ0.145</t>
  </si>
  <si>
    <t>301990135</t>
  </si>
  <si>
    <t>废漆包线</t>
  </si>
  <si>
    <t>2026-08-31 18:42:16</t>
  </si>
  <si>
    <t>4c11144e97334f79a48188c162b68501</t>
  </si>
  <si>
    <t>91ee90f9ad674741b4769988a3027184</t>
  </si>
  <si>
    <t>王佳的原材料对应回收废料信息-单据2026-08-31 18:42:15</t>
  </si>
  <si>
    <t>538350e8fb8546159a48b651d897f95e</t>
  </si>
  <si>
    <t>王佳</t>
  </si>
  <si>
    <t>9810000082992</t>
  </si>
  <si>
    <t>圆形不锈钢棒</t>
  </si>
  <si>
    <t>SUS303(B)_Φ26</t>
  </si>
  <si>
    <t>2026-06-26 16:20:42</t>
  </si>
  <si>
    <t>0fcc905f53ae42fb922b9246a835a292</t>
  </si>
  <si>
    <t>4ff4e24c9f614c46bf8e28cfaa07186e</t>
  </si>
  <si>
    <t>丁佳扬的原材料对应回收废料信息-单据2026-06-26 16:20:41</t>
  </si>
  <si>
    <t>c7abbf9e468644198ec201afc981ffc0</t>
  </si>
  <si>
    <t>2026-06-26</t>
  </si>
  <si>
    <t>2026-06</t>
  </si>
  <si>
    <t>9810000080604</t>
  </si>
  <si>
    <t>TP2_H02_Φ25.58(ID)*1.0</t>
  </si>
  <si>
    <t>2026-05-27 14:25:26</t>
  </si>
  <si>
    <t>7f62656fa044455c8cb3c3a8389f00ad</t>
  </si>
  <si>
    <t>0ec76d053ab1470fbb60637789e136b2</t>
  </si>
  <si>
    <t>王梦帆的原材料对应回收废料信息-单据2026-05-27 14:25:25</t>
  </si>
  <si>
    <t>8e23f6bb36cb4580881e9b1c873a1415</t>
  </si>
  <si>
    <t>2026-05-27</t>
  </si>
  <si>
    <t>2026-05</t>
  </si>
  <si>
    <t>301050065</t>
  </si>
  <si>
    <t>TP2 Y2 Φ23×1.4SL</t>
  </si>
  <si>
    <t>2026-05-19 11:01:37</t>
  </si>
  <si>
    <t>4c42dd36321841249fdfcbeb51e177f8</t>
  </si>
  <si>
    <t>0d744366bfab49049cc533dcbeab22f4</t>
  </si>
  <si>
    <t>王梦帆的原材料对应回收废料信息-单据2026-05-19 11:01:37</t>
  </si>
  <si>
    <t>d38b6c18caee4a05b255258053482c62</t>
  </si>
  <si>
    <t>2026-05-19</t>
  </si>
  <si>
    <t>301280056</t>
  </si>
  <si>
    <t>不锈钢丝网</t>
  </si>
  <si>
    <t>1Cr18Ni9 平纹0.125/0.071 120目/in</t>
  </si>
  <si>
    <t>米</t>
  </si>
  <si>
    <t>2026-05-15 21:09:16</t>
  </si>
  <si>
    <t>4a0f67eda8e04155ae966c06c52bf31e</t>
  </si>
  <si>
    <t>9d4258baadcf44a3ad22eeb801081fd4</t>
  </si>
  <si>
    <t>王梦帆的原材料对应回收废料信息-单据2026-05-15 21:09:15</t>
  </si>
  <si>
    <t>abc740f53aa041a193c264718109b38a</t>
  </si>
  <si>
    <t>2026-05-15</t>
  </si>
  <si>
    <t>301070061</t>
  </si>
  <si>
    <t>YL(T2)-0.05×319</t>
  </si>
  <si>
    <t>2026-05-15 21:07:33</t>
  </si>
  <si>
    <t>6fa0f6c3879d47efa27dda5dbbbcc544</t>
  </si>
  <si>
    <t>503503387e1747beb304c08f5287b459</t>
  </si>
  <si>
    <t>任梦怡的原材料对应回收废料信息-单据2026-05-15 21:07:32</t>
  </si>
  <si>
    <t>7c7deb292f8e46af84e31e979b4289b2</t>
  </si>
  <si>
    <t>301240400</t>
  </si>
  <si>
    <t>YL(316L)-0.4×320</t>
  </si>
  <si>
    <t>8aec22aedfe94f1d8f2e9ef73db7dc76</t>
  </si>
  <si>
    <t>65ab2131872747df9edd769f9d15e83d</t>
  </si>
  <si>
    <t>577606ee9b1b48c5a7dab2e805c1cf0e</t>
  </si>
  <si>
    <t>701050010001</t>
  </si>
  <si>
    <t xml:space="preserve"> 虚拟紫铜材料（板换专用）</t>
  </si>
  <si>
    <t>废料：废T2 干净 301990315</t>
  </si>
  <si>
    <t>2026-05-13 15:39:01</t>
  </si>
  <si>
    <t>a64c2515d84545babedb53b0ab21215f</t>
  </si>
  <si>
    <t>7527a3d3648649ea93392d468718b5b3</t>
  </si>
  <si>
    <t>任梦怡的原材料对应回收废料信息-单据2026-05-13 15:39:00</t>
  </si>
  <si>
    <t>d139991ec88f44f2a79b9782611d9677</t>
  </si>
  <si>
    <t>2026-05-13</t>
  </si>
  <si>
    <t>301240362</t>
  </si>
  <si>
    <t>95Cr18棒料</t>
  </si>
  <si>
    <t>95Cr18  Φ25</t>
  </si>
  <si>
    <t>2026-05-11 12:19:51</t>
  </si>
  <si>
    <t>e5ce29a782fd4777a4c962bdbd46960b</t>
  </si>
  <si>
    <t>a53d0882593c4d8884bf6438cb278e8d</t>
  </si>
  <si>
    <t>王梦帆的原材料对应回收废料信息-单据2026-05-11 12:19:50</t>
  </si>
  <si>
    <t>60ebd5772fa44db7aabbb32d222d4183</t>
  </si>
  <si>
    <t>2026-05-11</t>
  </si>
  <si>
    <t>9810000082388</t>
  </si>
  <si>
    <t>不锈钢板</t>
  </si>
  <si>
    <t>SUS304_板t1.5*116*1219_2B</t>
  </si>
  <si>
    <t>301990044</t>
  </si>
  <si>
    <t>废不锈钢304</t>
  </si>
  <si>
    <t>2026-04-28 09:44:58</t>
  </si>
  <si>
    <t>d92f239505394dda860c04e20643829c</t>
  </si>
  <si>
    <t>deeb68d54f434ffc9f03ad27f88acffc</t>
  </si>
  <si>
    <t>任梦怡的原材料对应回收废料信息-单据2026-04-28 09:44:57</t>
  </si>
  <si>
    <t>b007d12052f54e44b81cc000be19682b</t>
  </si>
  <si>
    <t>2026-04-28</t>
  </si>
  <si>
    <t>2026-04</t>
  </si>
  <si>
    <t>301070078</t>
  </si>
  <si>
    <t>YL(T2)-0.04×70</t>
  </si>
  <si>
    <t>2026-04-15 21:57:54</t>
  </si>
  <si>
    <t>8a0080436df14832b476d8f04a0416dd</t>
  </si>
  <si>
    <t>bf795c525172403191237d9551919009</t>
  </si>
  <si>
    <t>任梦怡的原材料对应回收废料信息-单据2026-04-15 21:57:54</t>
  </si>
  <si>
    <t>eca87b85daf7402d93e1b595d23b9552</t>
  </si>
  <si>
    <t>2026-04-15</t>
  </si>
  <si>
    <t>9810000081625</t>
  </si>
  <si>
    <t>CCAW/QZY-1/180_铜包铝圆线_Φ0.09_黄色</t>
  </si>
  <si>
    <t>2026-03-24 15:25:45</t>
  </si>
  <si>
    <t>92e3e15b33fe48fdbf507ab60224e087</t>
  </si>
  <si>
    <t>b9137e0e56554e9588d7eabdd6ddd135</t>
  </si>
  <si>
    <t>王佳的原材料对应回收废料信息-单据2026-03-24 15:25:45</t>
  </si>
  <si>
    <t>013e34176947416784018f307b387f04</t>
  </si>
  <si>
    <t>2026-03-24</t>
  </si>
  <si>
    <t>2026-03</t>
  </si>
  <si>
    <t>301260137</t>
  </si>
  <si>
    <t>带SUS304 2.0(-0.01~-0.04)×116(0~-0.2)</t>
  </si>
  <si>
    <t>2</t>
  </si>
  <si>
    <t>2026-03-17 15:06:01</t>
  </si>
  <si>
    <t>9d4ad742f96240c1bc87f0b2e0a91d25</t>
  </si>
  <si>
    <t>b264f5c297364ac6878639dda6e633d4</t>
  </si>
  <si>
    <t>系统管理员的原材料对应回收废料信息-单据2026-03-17 15:06:00</t>
  </si>
  <si>
    <t>325486c5d9e74a62ad5b1c4f4bf60999</t>
  </si>
  <si>
    <t>系统管理员</t>
  </si>
  <si>
    <t>2026-03-17</t>
  </si>
  <si>
    <t>202051901</t>
  </si>
  <si>
    <t>RFGN-01001</t>
  </si>
  <si>
    <t>2026-03-05 13:11:36</t>
  </si>
  <si>
    <t>46970be0067c4893936f707e8e157746</t>
  </si>
  <si>
    <t>0d533958a0e4412aacaf9ab9e0a106fb</t>
  </si>
  <si>
    <t>丁佳扬的原材料对应回收废料信息-单据2026-03-05 13:11:35</t>
  </si>
  <si>
    <t>09c2c968f3114749a90aa51de3403d5b</t>
  </si>
  <si>
    <t>2026-03-05</t>
  </si>
  <si>
    <t>301240304</t>
  </si>
  <si>
    <t>0.3厚×87宽不锈钢卷</t>
  </si>
  <si>
    <t>YL(316L)-0.3-87</t>
  </si>
  <si>
    <t>2026-02-28 19:40:11</t>
  </si>
  <si>
    <t>5372c2a0ae3c4b0f92e1dc2cc30a4174</t>
  </si>
  <si>
    <t>0bc9097fdb804d69ba3be3d71ca68e54</t>
  </si>
  <si>
    <t>任梦怡的原材料对应回收废料信息-单据2026-02-28 19:40:11</t>
  </si>
  <si>
    <t>a30837e17f5840539d65c72e33be79e5</t>
  </si>
  <si>
    <t>2026-02-28</t>
  </si>
  <si>
    <t>2026-02</t>
  </si>
  <si>
    <t>203240720</t>
  </si>
  <si>
    <t>阀座毛坯</t>
  </si>
  <si>
    <t>SHF-G70-973002</t>
  </si>
  <si>
    <t>2026-01-31 20:16:38</t>
  </si>
  <si>
    <t>043a0daac6004b5787c4d39882cd9404</t>
  </si>
  <si>
    <t>a1885788b339429d93c4895d5177175b</t>
  </si>
  <si>
    <t>王梦帆的原材料对应回收废料信息-单据2026-01-31 20:16:37</t>
  </si>
  <si>
    <t>2c01268038fc4b6baf93644fe7c95019</t>
  </si>
  <si>
    <t>2026-01-31</t>
  </si>
  <si>
    <t>2026-01</t>
  </si>
  <si>
    <t>301050381</t>
  </si>
  <si>
    <t>TP2 Y2 Φ32×2.0</t>
  </si>
  <si>
    <t>2026-01-31 20:12:22</t>
  </si>
  <si>
    <t>cb32b55009be402b8b2f136c9db3bb66</t>
  </si>
  <si>
    <t>d2b98c4904ad4300a26a9d141b4ae91f</t>
  </si>
  <si>
    <t>王梦帆的原材料对应回收废料信息-单据2026-01-31 20:12:22</t>
  </si>
  <si>
    <t>07de8f2d1af6432ab7bb8e13220893d2</t>
  </si>
  <si>
    <t>301070098</t>
  </si>
  <si>
    <t>紫铜带</t>
  </si>
  <si>
    <t>T2 O60 t0.035×110</t>
  </si>
  <si>
    <t>2026-01-26 21:57:14</t>
  </si>
  <si>
    <t>e4a28ad731bb4b9598a72bc735f38220</t>
  </si>
  <si>
    <t>455a0a29b42543cd87eec077027649c4</t>
  </si>
  <si>
    <t>任梦怡的原材料对应回收废料信息-单据2026-01-26 21:57:14</t>
  </si>
  <si>
    <t>651a7326e5ac4df8965bf2a737e56647</t>
  </si>
  <si>
    <t>2026-01-26</t>
  </si>
  <si>
    <t>1001000300365</t>
  </si>
  <si>
    <t>阀口座毛坯</t>
  </si>
  <si>
    <t>FDF6A-G0398</t>
  </si>
  <si>
    <t>套</t>
  </si>
  <si>
    <t>2026-01-26 09:24:26</t>
  </si>
  <si>
    <t>b7597a30def244858e3a5b98060502a1</t>
  </si>
  <si>
    <t>e1d54386fcf346528065d5388f8fcea1</t>
  </si>
  <si>
    <t>丁佳扬的原材料对应回收废料信息-单据2026-01-26 09:24:25</t>
  </si>
  <si>
    <t>c0c1d6bdacb24d659453ff52bc1957bc</t>
  </si>
  <si>
    <t>741240008</t>
  </si>
  <si>
    <t>Sandvik  带 11R51 1900 t0.08×57</t>
  </si>
  <si>
    <t>2026-01-26 09:23:38</t>
  </si>
  <si>
    <t>f04100be796342779fc2094c3c5c0c82</t>
  </si>
  <si>
    <t>de978c4b14c743558fcb207acc26b2b8</t>
  </si>
  <si>
    <t>丁佳扬的原材料对应回收废料信息-单据2026-01-26 09:23:38</t>
  </si>
  <si>
    <t>71287dd560274fa4a93f15289aae0094</t>
  </si>
  <si>
    <t>201201856</t>
  </si>
  <si>
    <t>FDF13A-G0399</t>
  </si>
  <si>
    <t>2025-12-29 21:47:43</t>
  </si>
  <si>
    <t>91e5569aeef7424caea699301fb0efb5</t>
  </si>
  <si>
    <t>0335ef9457c24339b68403048c4328dc</t>
  </si>
  <si>
    <t>丁佳扬的原材料对应回收废料信息-单据2025-12-29 21:47:43</t>
  </si>
  <si>
    <t>05e3db943fd04328b211ed6dbd8c076f</t>
  </si>
  <si>
    <t>2025-12-29</t>
  </si>
  <si>
    <t>2025-12</t>
  </si>
  <si>
    <t>201201855</t>
  </si>
  <si>
    <t>阀盖毛坯</t>
  </si>
  <si>
    <t>FDF13A-G1999</t>
  </si>
  <si>
    <t>c44f808a2b744235aabc5623ae3b0198</t>
  </si>
  <si>
    <t>84b20beaed9a480a883921c12f551468</t>
  </si>
  <si>
    <t>5fae50fd013649c6a71a31adcbf0e329</t>
  </si>
  <si>
    <t>9810000081784</t>
  </si>
  <si>
    <t>SUS303_Φ23</t>
  </si>
  <si>
    <t>704c84f13e2e4422b5d9e8838eb6a2d2</t>
  </si>
  <si>
    <t>8ee889b54ef749429e72f706f7b32960</t>
  </si>
  <si>
    <t>7839c7c1b0cb4b76b3ee5c8ee5205999</t>
  </si>
  <si>
    <t>701050010000</t>
  </si>
  <si>
    <t xml:space="preserve"> 虚拟不锈钢材料（板换专用）</t>
  </si>
  <si>
    <t>废料：废不锈钢（304）301990044</t>
  </si>
  <si>
    <t>2025-12-24 13:18:52</t>
  </si>
  <si>
    <t>8c09205f8cd24a038487994513079a8b</t>
  </si>
  <si>
    <t>bf238a7f08124c91b55342c247d61b37</t>
  </si>
  <si>
    <t>任梦怡的原材料对应回收废料信息-单据2025-12-24 13:18:51</t>
  </si>
  <si>
    <t>72b206b1b76349639eff22bada4b9d98</t>
  </si>
  <si>
    <t>2025-12-24</t>
  </si>
  <si>
    <t>301070086</t>
  </si>
  <si>
    <t>YL(T2)-0.035×125</t>
  </si>
  <si>
    <t>2025-12-23 13:43:24</t>
  </si>
  <si>
    <t>b801a61eb4dc4babaa6d845c2aeca725</t>
  </si>
  <si>
    <t>041ac26128bb4170a932715d03557718</t>
  </si>
  <si>
    <t>陈淋娜的原材料对应回收废料信息-单据2025-12-23 13:43:23</t>
  </si>
  <si>
    <t>ff3ebfb116024580a7053ac19318ebb3</t>
  </si>
  <si>
    <t>陈淋娜</t>
  </si>
  <si>
    <t>2025-12-23</t>
  </si>
  <si>
    <t>301070050</t>
  </si>
  <si>
    <t>YL(T2)-0.04×93</t>
  </si>
  <si>
    <t>020592c914374550bca2994f717418b6</t>
  </si>
  <si>
    <t>0452f01295174de19993dc212718f165</t>
  </si>
  <si>
    <t>8b9a21456f4b4269bdceb5aa7248de59</t>
  </si>
  <si>
    <t>301070046</t>
  </si>
  <si>
    <t>YL(T2)-0.04×59</t>
  </si>
  <si>
    <t>9a2b4f92058349ae88e951da06acb3d3</t>
  </si>
  <si>
    <t>182c8bd1db6a4964a3c6d604e7959b08</t>
  </si>
  <si>
    <t>77aa1961a7ac4fff9ab8daea997f692f</t>
  </si>
  <si>
    <t>301070081</t>
  </si>
  <si>
    <t>YL(T2)-0.05x185.5</t>
  </si>
  <si>
    <t>e10764d602bf427d800865fb4acb5cb8</t>
  </si>
  <si>
    <t>2132a8b4ad594e43a96b4fb11c7e2a40</t>
  </si>
  <si>
    <t>182d0cac86ac40cea120af1ad44534b4</t>
  </si>
  <si>
    <t>301070055</t>
  </si>
  <si>
    <t>YL(T2)-0.04×127</t>
  </si>
  <si>
    <t>fd6da8c480764547b0316400e7967d64</t>
  </si>
  <si>
    <t>218cbd51190e4a8fb72fc5545989c931</t>
  </si>
  <si>
    <t>9f225be60e3e492c8d5034c2794c272b</t>
  </si>
  <si>
    <t>301070069</t>
  </si>
  <si>
    <t>0.04×60</t>
  </si>
  <si>
    <t>2ad9be74edd94810a59fe9654e94dbc4</t>
  </si>
  <si>
    <t>238496bcbd2d44638a2112d8788bf61e</t>
  </si>
  <si>
    <t>7b2e45437b5f429eb72494ffd8c41501</t>
  </si>
  <si>
    <t>301070058</t>
  </si>
  <si>
    <t>YL(T2)-0.05×203</t>
  </si>
  <si>
    <t>2062ff21bef941489942de184a85959b</t>
  </si>
  <si>
    <t>23b88a0bb6184ae09851b5130b17b4d7</t>
  </si>
  <si>
    <t>ad2fe7fcddd0407e88e434959aa47318</t>
  </si>
  <si>
    <t>301070071</t>
  </si>
  <si>
    <t>YL(T2)-0.04×103</t>
  </si>
  <si>
    <t>09bd6a998d1e455f96dd22102b44d2dc</t>
  </si>
  <si>
    <t>3a1b6e2e1f46401b979dc1866cb52384</t>
  </si>
  <si>
    <t>9961cb01bf104983a1fb02b261c15913</t>
  </si>
  <si>
    <t>301070070</t>
  </si>
  <si>
    <t>0.04×109</t>
  </si>
  <si>
    <t>9e84e7efe8394558b18a7c093644d3a0</t>
  </si>
  <si>
    <t>3eca6325515a47599a9a53311bb061ba</t>
  </si>
  <si>
    <t>e1b4dc7bfd894b849dc494102aec8a19</t>
  </si>
  <si>
    <t>301070080</t>
  </si>
  <si>
    <t>YL(T2)-0.04×122</t>
  </si>
  <si>
    <t>2ccd4c246ce24f85a37fc49ba6447844</t>
  </si>
  <si>
    <t>3f7d20ed8b854f6da926c542c6f731ed</t>
  </si>
  <si>
    <t>2827105bc8ca4b60b6cf8af2a09c3642</t>
  </si>
  <si>
    <t>301070056</t>
  </si>
  <si>
    <t>YL(T2)-0.04×165</t>
  </si>
  <si>
    <t>e4e8722730bb4ce194f34b48ac215b09</t>
  </si>
  <si>
    <t>4671dd8d09d84017810dad7d4dcee464</t>
  </si>
  <si>
    <t>2a8603a68a434a709827d9c3a4c23a25</t>
  </si>
  <si>
    <t>301070051</t>
  </si>
  <si>
    <t>YL(T2)-0.04×96</t>
  </si>
  <si>
    <t>23050b36352c4f31bc13ed3aff811aa0</t>
  </si>
  <si>
    <t>520d1472d0e24272992c1db0f3242e58</t>
  </si>
  <si>
    <t>50b83067dd944aee864423c321b0f880</t>
  </si>
  <si>
    <t>301070052</t>
  </si>
  <si>
    <t>YL(T2)-0.04×119</t>
  </si>
  <si>
    <t>5bfbf9fb4ee94ce4a4953b00aee3cbcf</t>
  </si>
  <si>
    <t>53070a5dfd6b4367a7e5fda625114ced</t>
  </si>
  <si>
    <t>267910096dcd43f4ac739e6601140494</t>
  </si>
  <si>
    <t>301070060</t>
  </si>
  <si>
    <t>YL(T2)-0.05×260</t>
  </si>
  <si>
    <t>6604ea00e2e64d5c88792203cca505b1</t>
  </si>
  <si>
    <t>675d323bc1334bd88a81d6168b3b866e</t>
  </si>
  <si>
    <t>8d846b2da3fe4f02ad98ff436f1e0b86</t>
  </si>
  <si>
    <t>301070067</t>
  </si>
  <si>
    <t>YL(T2)-0.04×81</t>
  </si>
  <si>
    <t>42e9cbacfd39495aa685dbb0c749a4cf</t>
  </si>
  <si>
    <t>7a77c48b2ea547ffaddeb1e9c52c08b5</t>
  </si>
  <si>
    <t>4df4cb7aa0bd46b6b7bbed49812bca45</t>
  </si>
  <si>
    <t>301070054</t>
  </si>
  <si>
    <t>YL(T2)-0.04×125</t>
  </si>
  <si>
    <t>f4d1b3b8d14446d7a13a280d5691e083</t>
  </si>
  <si>
    <t>7b3afee4230f4d8899c4899a48f0aa02</t>
  </si>
  <si>
    <t>d4d43d074d864cf39f72e8b2f8c7e872</t>
  </si>
  <si>
    <t>301070053</t>
  </si>
  <si>
    <t>YL(T2)-0.04×124</t>
  </si>
  <si>
    <t>6568068edbac4a4a9b94540d0e219902</t>
  </si>
  <si>
    <t>8c50a313bf27472da587b32af6037d9b</t>
  </si>
  <si>
    <t>abceef129019499aa65c7872350e4b2a</t>
  </si>
  <si>
    <t>301070049</t>
  </si>
  <si>
    <t>YL(T2)-0.04×86</t>
  </si>
  <si>
    <t>21c4c37da616412d8bfc68ecf4889013</t>
  </si>
  <si>
    <t>8ca8f6e86c724fae8dada952752dfb55</t>
  </si>
  <si>
    <t>1c54cb88a58f4173b19b0e7dbca1a5fc</t>
  </si>
  <si>
    <t>301070047</t>
  </si>
  <si>
    <t>YL(T2)-0.04×79</t>
  </si>
  <si>
    <t>316d5da64a784c2496b04543a2b5d7f5</t>
  </si>
  <si>
    <t>9e42ad6783a34b40888543f741474531</t>
  </si>
  <si>
    <t>c0a2a3b7d440499781f04f0cd2f2adb7</t>
  </si>
  <si>
    <t>301070057</t>
  </si>
  <si>
    <t>YL(T2)-0.05×100</t>
  </si>
  <si>
    <t>97e60c62c97149f4a0476c4d9ff9baab</t>
  </si>
  <si>
    <t>a7d77012949c46708342a6ce0f4bc8bc</t>
  </si>
  <si>
    <t>9e737e4a5c2b43b5bfeef2602e3cc05a</t>
  </si>
  <si>
    <t>301070062</t>
  </si>
  <si>
    <t>YL(T2)-0.05×331</t>
  </si>
  <si>
    <t>d5148a15c27d42f6b1a8c89ed1e012a4</t>
  </si>
  <si>
    <t>acf5e4803490420ea97bbe2648d6ed72</t>
  </si>
  <si>
    <t>93ae1eca21af4544aae16de76fde3980</t>
  </si>
  <si>
    <t>301070072</t>
  </si>
  <si>
    <t>YL(T2)-0.04x203</t>
  </si>
  <si>
    <t>2a3612d7d2d84a56a33f291e32069f35</t>
  </si>
  <si>
    <t>bd5e4f6fc30d4f3d86786a1586cf8397</t>
  </si>
  <si>
    <t>94f70fc428c14c38a262e242435efaf2</t>
  </si>
  <si>
    <t>301070064</t>
  </si>
  <si>
    <t>YL(T2)-0.04×61</t>
  </si>
  <si>
    <t>e3b79fd66d79440e8e2e996f8f8f4699</t>
  </si>
  <si>
    <t>d01863e82c714652b195a072cd06681e</t>
  </si>
  <si>
    <t>b2f5adf7ef9f4939b690099a3aa5cb16</t>
  </si>
  <si>
    <t>301070059</t>
  </si>
  <si>
    <t>YL(T2)-0.05×250</t>
  </si>
  <si>
    <t>67b4a10558e148bdaec737b12338826f</t>
  </si>
  <si>
    <t>d51f25811fc14a6d86ffbbc9d76b6a1d</t>
  </si>
  <si>
    <t>bb43dc42d0a849fc8ddfc18ada10aaa0</t>
  </si>
  <si>
    <t>301070048</t>
  </si>
  <si>
    <t>YL(T2)-0.04×83</t>
  </si>
  <si>
    <t>c3bacf1909a946d88974489b9732bc3d</t>
  </si>
  <si>
    <t>eb572b7a77394311b5d0597efc8668f9</t>
  </si>
  <si>
    <t>4e0a5f75085c437a8f017afba528cd2d</t>
  </si>
  <si>
    <t>301070065</t>
  </si>
  <si>
    <t>YL(T2)-0.04×76</t>
  </si>
  <si>
    <t>91c155c3b523426ea28f3647d8c62ea6</t>
  </si>
  <si>
    <t>fb37bc8375614aa18117bff0a49553db</t>
  </si>
  <si>
    <t>c1c241e6a2d84abebe2808ef24d396d5</t>
  </si>
  <si>
    <t>301070073</t>
  </si>
  <si>
    <t>YL(T2)-0.04×89</t>
  </si>
  <si>
    <t>4194acd5ba8d4638923ac07b7aa1ef93</t>
  </si>
  <si>
    <t>fdf7aa2a81a04b07943ae2fea326fe54</t>
  </si>
  <si>
    <t>a9fbd17bb4834a049e2a5e6b8103e42a</t>
  </si>
  <si>
    <t>201201802</t>
  </si>
  <si>
    <t>FDF6A-G0399</t>
  </si>
  <si>
    <t>2025-12-02 20:24:07</t>
  </si>
  <si>
    <t>1397127dbdad4642bd6a9f01132c34f9</t>
  </si>
  <si>
    <t>b89b502571994736ba8aaf01b4782a28</t>
  </si>
  <si>
    <t>丁佳扬的原材料对应回收废料信息-单据2025-12-02 20:24:06</t>
  </si>
  <si>
    <t>25a35dffac9b4f6481ce57f15a4d55ba</t>
  </si>
  <si>
    <t>2025-12-02</t>
  </si>
  <si>
    <t>2025-09</t>
  </si>
  <si>
    <t>201320189</t>
  </si>
  <si>
    <t>DBF12-069019</t>
  </si>
  <si>
    <t>f500d62e34e846c3a1043d2ff1863c1d</t>
  </si>
  <si>
    <t>e6187e7e00804ee1b97faefaf01a3836</t>
  </si>
  <si>
    <t>2089cf31c7164ea8ad55b75e98f1ccef</t>
  </si>
  <si>
    <t>201250344</t>
  </si>
  <si>
    <t>MDF-A03-004016</t>
  </si>
  <si>
    <t>2025-11-18 18:28:09</t>
  </si>
  <si>
    <t>38258ae39ba74915afe511d739b4fb88</t>
  </si>
  <si>
    <t>a3316e2482314436a36a76ea7ec6f6dc</t>
  </si>
  <si>
    <t>丁佳扬的原材料对应回收废料信息-单据2025-11-18 18:28:09</t>
  </si>
  <si>
    <t>2f4fcc17bcc24ad1861b81ee0b56764a</t>
  </si>
  <si>
    <t>2025-11-18</t>
  </si>
  <si>
    <t>701010010000</t>
  </si>
  <si>
    <t>虚拟不锈钢材料</t>
  </si>
  <si>
    <t>废料：废不锈钢沫和丝网（仅限301、303、304）301990444</t>
  </si>
  <si>
    <t>2025-10-31 14:36:13</t>
  </si>
  <si>
    <t>44ae426bcb0c4c06b52f0fcb9c6d65a0</t>
  </si>
  <si>
    <t>ee1b106c81c446e3a235c175d74cd02c</t>
  </si>
  <si>
    <t>王梦帆的原材料对应回收废料信息-单据2025-10-31 14:36:13</t>
  </si>
  <si>
    <t>5dc61cf292c44a699c87ed89daa2fb1e</t>
  </si>
  <si>
    <t>2025-10-31</t>
  </si>
  <si>
    <t>301110315</t>
  </si>
  <si>
    <t>D形黄铜棒</t>
  </si>
  <si>
    <t>C3604 90×30×R52.3</t>
  </si>
  <si>
    <t>2025-10-30 21:33:42</t>
  </si>
  <si>
    <t>a75839ddbb6d4fbf89d31580e5063508</t>
  </si>
  <si>
    <t>d3d8b4260b28474ca8dad18b187d2e21</t>
  </si>
  <si>
    <t>王梦帆的原材料对应回收废料信息-单据2025-10-30 21:33:42</t>
  </si>
  <si>
    <t>ef5290a58147484389793631de94f48e</t>
  </si>
  <si>
    <t>2025-10-30</t>
  </si>
  <si>
    <t>205000081</t>
  </si>
  <si>
    <t>阀板半成品</t>
  </si>
  <si>
    <t>LTF16H-813002</t>
  </si>
  <si>
    <t>2025-10-30 09:14:46</t>
  </si>
  <si>
    <t>f2dc33a1815c4730afd8ff9169c06fa6</t>
  </si>
  <si>
    <t>c986b8b56e424751a8874a93072e2bd7</t>
  </si>
  <si>
    <t>王梦帆的原材料对应回收废料信息-单据2025-10-30 09:14:46</t>
  </si>
  <si>
    <t>1819939c146147eea7fee7f82331b419</t>
  </si>
  <si>
    <t>202052361</t>
  </si>
  <si>
    <t>阀芯座毛坯</t>
  </si>
  <si>
    <t>RFGC-24001</t>
  </si>
  <si>
    <t>2025-10-28 09:14:23</t>
  </si>
  <si>
    <t>49d01234d70047fa8d9fcd6956c86707</t>
  </si>
  <si>
    <t>a188c5dc35974ae794fcf93a6a3fbb3a</t>
  </si>
  <si>
    <t>丁佳扬的原材料对应回收废料信息-单据2025-10-28 09:14:22</t>
  </si>
  <si>
    <t>f52163d2c7564ec0a7118cb0ac0490dc</t>
  </si>
  <si>
    <t>2025-10-28</t>
  </si>
  <si>
    <t>301240385</t>
  </si>
  <si>
    <t>带(卷)SUS304/S30400 0.3(-0.01~-0.03)×126(-0.1~-0.2)</t>
  </si>
  <si>
    <t>2025-10-16 15:32:34</t>
  </si>
  <si>
    <t>1a6003a671ae4862833ecd7b92fab70d</t>
  </si>
  <si>
    <t>8e8d9c449e2340f99ed6b959d8079783</t>
  </si>
  <si>
    <t>陈淋娜的原材料对应回收废料信息-单据2025-10-16 15:32:34</t>
  </si>
  <si>
    <t>50dd7cacdc244084a82f2f962757a3b4</t>
  </si>
  <si>
    <t>2025-10-16</t>
  </si>
  <si>
    <t>2025-10-16 13:43:42</t>
  </si>
  <si>
    <t>0a019c3d14954e13ab8c18954306aaaf</t>
  </si>
  <si>
    <t>687028458c324ba38d469423353ce0dd</t>
  </si>
  <si>
    <t>陈淋娜的原材料对应回收废料信息-单据2025-10-16 13:43:42</t>
  </si>
  <si>
    <t>e7147de8e2124e0b973564cea8added9</t>
  </si>
  <si>
    <t>9810000080436</t>
  </si>
  <si>
    <t>SUS304_t1.0*110.5_2B</t>
  </si>
  <si>
    <t>2025-10-15 09:11:12</t>
  </si>
  <si>
    <t>14b5113fda774d99955134d048a34e62</t>
  </si>
  <si>
    <t>3b8216c202dd49c299ca5ea7a327e353</t>
  </si>
  <si>
    <t>陈淋娜的原材料对应回收废料信息-单据2025-10-15 09:11:12</t>
  </si>
  <si>
    <t>5b9a3dc5dead4350995e8c44772b624c</t>
  </si>
  <si>
    <t>2025-10-15</t>
  </si>
  <si>
    <t>9810000080437</t>
  </si>
  <si>
    <t>T2_O60_t0.04*110.5</t>
  </si>
  <si>
    <t>cf972a87e08e472c9837e9692f5278de</t>
  </si>
  <si>
    <t>f3b6c9be2a1b43559b25533cb8c60906</t>
  </si>
  <si>
    <t>dc2985a7d3f7471f97c164c985e13dee</t>
  </si>
  <si>
    <t>301260165</t>
  </si>
  <si>
    <t>SUS304 1.5(0，-0.05)×95(-0.1，-0.2)</t>
  </si>
  <si>
    <t>2025-10-14 14:41:41</t>
  </si>
  <si>
    <t>ace5627adda545548c2ee8c5dd98d692</t>
  </si>
  <si>
    <t>46f0e14ae7504344abe9f5498719a9c2</t>
  </si>
  <si>
    <t>陈淋娜的原材料对应回收废料信息-单据2025-10-14 14:41:41</t>
  </si>
  <si>
    <t>cc0ca385533348e68ebb0555f8d67f4d</t>
  </si>
  <si>
    <t>2025-10-14</t>
  </si>
  <si>
    <t>301070087</t>
  </si>
  <si>
    <t>T2 O60(0.035±0.004)×126</t>
  </si>
  <si>
    <t>2025-10-14 13:43:30</t>
  </si>
  <si>
    <t>bd36ab6b15c54695a58bff772103fd86</t>
  </si>
  <si>
    <t>00464d3e05b7437c9d32397cb94f4f70</t>
  </si>
  <si>
    <t>陈淋娜的原材料对应回收废料信息-单据2025-10-14 13:43:29</t>
  </si>
  <si>
    <t>75bf8772d62749a89ea296fe6075d584</t>
  </si>
  <si>
    <t>301070083</t>
  </si>
  <si>
    <t>带T2 060紫铜带</t>
  </si>
  <si>
    <t>带T2 060 0.04(±0.004)×110(-0.25，-0.4)</t>
  </si>
  <si>
    <t>4ad9077d37704e1bad73178c2b8ecfa2</t>
  </si>
  <si>
    <t>05d1289726af4c749b086703edf58a9b</t>
  </si>
  <si>
    <t>c8015ce4a6fc4235b2900a2f0673f644</t>
  </si>
  <si>
    <t>301070085</t>
  </si>
  <si>
    <t>带T2 O60紫铜带</t>
  </si>
  <si>
    <t>带T2 O60 0.04(±0.004)×95(-0.25，-0.4)</t>
  </si>
  <si>
    <t>497cbf4ac5f1414abbb4a1b2770c3cf3</t>
  </si>
  <si>
    <t>4e021a8e41844a7c92258fd4adfd7473</t>
  </si>
  <si>
    <t>2c86bba43327478da25538895a97af1a</t>
  </si>
  <si>
    <t>301070092</t>
  </si>
  <si>
    <t>T2 O60 0.03(±0.004)×308(0/-0.2)</t>
  </si>
  <si>
    <t>3adf18405387493493acd719a2fe677e</t>
  </si>
  <si>
    <t>5ed79e63c3374705869aa7a5b1288b61</t>
  </si>
  <si>
    <t>77ece615c4684b8391d76388b860cd8d</t>
  </si>
  <si>
    <t>301070089</t>
  </si>
  <si>
    <t>T2 O60(0.05±0.005)×126</t>
  </si>
  <si>
    <t>c54649e18dfc4de69260f84cbdd65a35</t>
  </si>
  <si>
    <t>744bec5dedc24b60bb9f1607155468d3</t>
  </si>
  <si>
    <t>a952c617772b4493898cabaed86d0520</t>
  </si>
  <si>
    <t>301070093</t>
  </si>
  <si>
    <t>T2 O60 0.03(±0.004)×126.5(-0.25/-0.4)</t>
  </si>
  <si>
    <t>42cf79983f064b10b69988a861fe699d</t>
  </si>
  <si>
    <t>76d57225a45b4dfc896d1c29e4ea14bd</t>
  </si>
  <si>
    <t>fff7d497f1b9465fae035595c3fba553</t>
  </si>
  <si>
    <t>301070084</t>
  </si>
  <si>
    <t>带T2 060 紫铜带</t>
  </si>
  <si>
    <t>带T2 060 0.04(±0.004)×104(-0.25，-0.4)</t>
  </si>
  <si>
    <t>095396b082d042918ccbef354063b214</t>
  </si>
  <si>
    <t>9791b9ef07d8462fb28cf57529c4066c</t>
  </si>
  <si>
    <t>b658f673fda64f07a3103617426f7ee6</t>
  </si>
  <si>
    <t>301070096</t>
  </si>
  <si>
    <t>T2 O60 0.03(±0.004)×125(-0.25/-0.4)</t>
  </si>
  <si>
    <t>2568f250085041ca9f543f892e8f4ae3</t>
  </si>
  <si>
    <t>cfb2cc60ce054449bca4096c3d1ef8d5</t>
  </si>
  <si>
    <t>6f122db093d944f7ae0b10a240ef766e</t>
  </si>
  <si>
    <t>301070088</t>
  </si>
  <si>
    <t>T2 O60(0.03±0.004)×126</t>
  </si>
  <si>
    <t>76e5bd9adf7e4c3d96ea7192c6f584dd</t>
  </si>
  <si>
    <t>d0aed1e7e2424bfa943907c5c12a52b0</t>
  </si>
  <si>
    <t>a7fb4b131bc445809c8f855b9b98243b</t>
  </si>
  <si>
    <t>301070097</t>
  </si>
  <si>
    <t>T2 O60 0.03(±0.004)×84(-0.25/-0.4)</t>
  </si>
  <si>
    <t>d244704ebea04f1381c1108aeb3a4401</t>
  </si>
  <si>
    <t>d2d3f5b9b26a455597b31fc4c336b222</t>
  </si>
  <si>
    <t>9e2a15e861564537957a8ea156ed1bce</t>
  </si>
  <si>
    <t>301070108</t>
  </si>
  <si>
    <t>T2 060 0.035(±0.004)×191(-0.25/-0.4)</t>
  </si>
  <si>
    <t>05ea5494b2c04f909fde6ead129c23a4</t>
  </si>
  <si>
    <t>d2daf6ac81b54c1f8b3bf57deac5b881</t>
  </si>
  <si>
    <t>b1d3482bd7494008836be39cf78068a5</t>
  </si>
  <si>
    <t>301070095</t>
  </si>
  <si>
    <t>T2 O60 0.03(±0.004)×60(-0.25/-0.4)</t>
  </si>
  <si>
    <t>28d00d7a9c1d4f37a5ac7fbaf71eae23</t>
  </si>
  <si>
    <t>e8bb79b567754fe2b74da4a883e13d2f</t>
  </si>
  <si>
    <t>199fec115c9e446caf49e60c2cd10939</t>
  </si>
  <si>
    <t>301070077</t>
  </si>
  <si>
    <t>T2 060 0.04±0.004×102(-0.25~-0.35)</t>
  </si>
  <si>
    <t>3bd5041da51549eca7a1a77179d4d008</t>
  </si>
  <si>
    <t>ecad3b7eb1c744b8996d45a5cd818a5f</t>
  </si>
  <si>
    <t>6e0b5ee37c344f9486d3426eaaa0d1b4</t>
  </si>
  <si>
    <t>301240442</t>
  </si>
  <si>
    <t>SUS304 1.0(0/-0.05)×85(-0.1/-0.2)</t>
  </si>
  <si>
    <t>2025-10-14 13:33:41</t>
  </si>
  <si>
    <t>0db444fbf8e3481baeb285855f88db1e</t>
  </si>
  <si>
    <t>0daaadd4ef5d4882a3b8f33f1c87fefb</t>
  </si>
  <si>
    <t>陈淋娜的原材料对应回收废料信息-单据2025-10-14 13:33:40</t>
  </si>
  <si>
    <t>050f03626f9246a0b84b8ae364b8d9f7</t>
  </si>
  <si>
    <t>301240418</t>
  </si>
  <si>
    <t>316L(0.25±0.01)×126</t>
  </si>
  <si>
    <t>e92bd5b50e8d431e842562bbe87672c9</t>
  </si>
  <si>
    <t>0e982301310945a79ef2f5a2e8a8bba5</t>
  </si>
  <si>
    <t>e670e342003347cb9913fa1561a43083</t>
  </si>
  <si>
    <t>301240412</t>
  </si>
  <si>
    <t>带(卷) 料316L 0.3(-0.01，-0.03)×104(-0.1，-0.2)</t>
  </si>
  <si>
    <t>c0e63c2d53614173a693dc04912b195d</t>
  </si>
  <si>
    <t>13f70c0b727c42089bd36eed67b35dc7</t>
  </si>
  <si>
    <t>7ae13a4874a8459a8b39796fe9c004b1</t>
  </si>
  <si>
    <t>301240434</t>
  </si>
  <si>
    <t>SUS316L 0.3(+0.2/0)×126(-0.1/-0.2)</t>
  </si>
  <si>
    <t>648c0fc683c84a46971ca6a5455efc41</t>
  </si>
  <si>
    <t>2a546fff37cc4c2b9934601072688242</t>
  </si>
  <si>
    <t>f1e3ce5899ad480a8d8d30a104ebe75f</t>
  </si>
  <si>
    <t>301240443</t>
  </si>
  <si>
    <t>SUS304 0.25(±0.01)×80(-0.1/-0.2）</t>
  </si>
  <si>
    <t>5e1278177dba4f2b8d5537ad3f093621</t>
  </si>
  <si>
    <t>3dfcba55bb1c49f091732bb9104c174d</t>
  </si>
  <si>
    <t>47b5b09c57a34ef1abd3b501a175c410</t>
  </si>
  <si>
    <t>301240428</t>
  </si>
  <si>
    <t>带SUS304 1.5(0/-0.05)×114(-0.1/-0.2)</t>
  </si>
  <si>
    <t>50dcc0357676458a8207a9fa1275d0e2</t>
  </si>
  <si>
    <t>76bd0d39c955485280a1a76607cdcebc</t>
  </si>
  <si>
    <t>e1c568843848437d9e1e561c91d6a028</t>
  </si>
  <si>
    <t>301220353</t>
  </si>
  <si>
    <t>316L 0.25(-0.01～-0.04)×83(-0.1～-0.2)</t>
  </si>
  <si>
    <t>5b335b48dbc141219dcf257badd6b9e4</t>
  </si>
  <si>
    <t>7ef05f9a13f54f839f3e4bd4bd37fcc6</t>
  </si>
  <si>
    <t>2e7d7aca6b5649869eec082548fb485e</t>
  </si>
  <si>
    <t>301240455</t>
  </si>
  <si>
    <t>SUS304 0.25(±0.01)×192(0/-0.2）</t>
  </si>
  <si>
    <t>00f84e4746d8402ca442b36984b2a3e7</t>
  </si>
  <si>
    <t>a3e7e64e9cc54859a6dfeb301b927196</t>
  </si>
  <si>
    <t>c2493eac4bfe4e37b63d978d36cc3687</t>
  </si>
  <si>
    <t>301260166</t>
  </si>
  <si>
    <t>SUS304 1.0(0，-0.05)×105(-0.1，-0.2)</t>
  </si>
  <si>
    <t>3b73b362c6814eb3bdede91a215215b7</t>
  </si>
  <si>
    <t>b0e1f184acfc4c1d801b32350467f8a8</t>
  </si>
  <si>
    <t>cb8ebc8433f7440ba73eef8b6748651d</t>
  </si>
  <si>
    <t>301240439</t>
  </si>
  <si>
    <t>SUS304 1.0(0/-0.05)×124(-0.1/-0.2)</t>
  </si>
  <si>
    <t>93553d36069e4165ae76aab6bd3bf0ce</t>
  </si>
  <si>
    <t>c377972c054742e4adfc90051d80e87f</t>
  </si>
  <si>
    <t>de538b323ee64a5fbdc43c829da4c3f5</t>
  </si>
  <si>
    <t>301240425</t>
  </si>
  <si>
    <t>SUS304 1.5(0/-0.05)×116(-0.1/-0.2)</t>
  </si>
  <si>
    <t>4c5e5c4d7fc34fed8261e866dcb91394</t>
  </si>
  <si>
    <t>c744d3fe7b5043e6b065a0a437743d39</t>
  </si>
  <si>
    <t>653df1ce81254e5ea62f289c0b58c9af</t>
  </si>
  <si>
    <t>301240426</t>
  </si>
  <si>
    <t>带SUS304 1.5(0/-0.05)×125(-0.1/-0.2)</t>
  </si>
  <si>
    <t>347ff2fa50b74ab8b74fe5c2d29a4507</t>
  </si>
  <si>
    <t>e03c28774d5947ca9adc83da79f3f7ef</t>
  </si>
  <si>
    <t>7d0b055d23394ea8a26cb11b167bc274</t>
  </si>
  <si>
    <t>301240441</t>
  </si>
  <si>
    <t>SUS304 0.25(±0.01)×84(-0.1/-0.2)</t>
  </si>
  <si>
    <t>b09539673bcd45c3a23b54beb56cbf71</t>
  </si>
  <si>
    <t>e7c4c9be302342718407ab1826d72d00</t>
  </si>
  <si>
    <t>e0bb7d64e0ab4a34996d8e9a033dd071</t>
  </si>
  <si>
    <t>301240427</t>
  </si>
  <si>
    <t>带SUS304 1.5(0/-0.05)×128(-0.1/-0.2)</t>
  </si>
  <si>
    <t>a64f9570e84f44a78ef8de003ea3749f</t>
  </si>
  <si>
    <t>f0a4c7757f1e489980c9edf967fe841d</t>
  </si>
  <si>
    <t>8af57a94d0294c49923ee99fee90d1ea</t>
  </si>
  <si>
    <t>2025-10-14 13:23:36</t>
  </si>
  <si>
    <t>b20b1365602a40bd9f918b7f7b0e0d26</t>
  </si>
  <si>
    <t>6e84852de4654645a7dc8a984138ad16</t>
  </si>
  <si>
    <t>陈淋娜的原材料对应回收废料信息-单据2025-10-14 13:23:36</t>
  </si>
  <si>
    <t>3d9ff4a60efe436194ce646c6ccb57db</t>
  </si>
  <si>
    <t>225fc4696c3042d2a9a4970ca6baf061</t>
  </si>
  <si>
    <t>98933c95bc8a496e9012dc900f89d775</t>
  </si>
  <si>
    <t>4e43b529de07455f9a5eadf445a68de1</t>
  </si>
  <si>
    <t>301070075</t>
  </si>
  <si>
    <t>T2 060 0.04±0.004×116(-0.25~-0.35)</t>
  </si>
  <si>
    <t>2025-10-14 12:54:11</t>
  </si>
  <si>
    <t>e6b75eed70714dc1ba1a49e5a1b100de</t>
  </si>
  <si>
    <t>3d656a99780e41d08f1591f7825e2e05</t>
  </si>
  <si>
    <t>陈淋娜的原材料对应回收废料信息-单据2025-10-14 12:54:10</t>
  </si>
  <si>
    <t>278b2a53b0f44911b24387e9ad98e74c</t>
  </si>
  <si>
    <t>2025-08</t>
  </si>
  <si>
    <t>f3d090aaeb4047bbbdf06b4a76a431aa</t>
  </si>
  <si>
    <t>cf09a1d04f934a928ca7eb8b05ff999b</t>
  </si>
  <si>
    <t>01ef8d3f497a4bafaba807a1c6deac2a</t>
  </si>
  <si>
    <t>722050002</t>
  </si>
  <si>
    <t>充注管</t>
  </si>
  <si>
    <t>RFG-D04-009001</t>
  </si>
  <si>
    <t>2025-10-14 10:25:31</t>
  </si>
  <si>
    <t>a63e120e5fec45eab60d693e782015b3</t>
  </si>
  <si>
    <t>a063ec9a690045c089775bb5e0ae7aac</t>
  </si>
  <si>
    <t>丁佳扬的原材料对应回收废料信息-单据2025-10-14 10:25:30</t>
  </si>
  <si>
    <t>98815b3544244e73b94e944590e9275a</t>
  </si>
  <si>
    <t>205000002</t>
  </si>
  <si>
    <t>阀体(半成品)</t>
  </si>
  <si>
    <t>YTF34H-815001</t>
  </si>
  <si>
    <t>2025-10-03 15:15:52</t>
  </si>
  <si>
    <t>3cc18c6b043e4f1cb7b5e8ec2e862d75</t>
  </si>
  <si>
    <t>ccdc89a53c944a1b98139edf27b3163a</t>
  </si>
  <si>
    <t>丁佳扬的原材料对应回收废料信息-单据2025-10-03 15:15:52</t>
  </si>
  <si>
    <t>110639b377ad4c0cbc0d4af4620ce982</t>
  </si>
  <si>
    <t>2025-10-03</t>
  </si>
  <si>
    <t>9810000081223</t>
  </si>
  <si>
    <t>SUS304_t2*85*1140_2B</t>
  </si>
  <si>
    <t>2025-09-28 15:14:28</t>
  </si>
  <si>
    <t>1b1ef9a8444d4f85b37941e631fdb744</t>
  </si>
  <si>
    <t>58f7afb36ca145d59248225b94cbe132</t>
  </si>
  <si>
    <t>任梦怡的原材料对应回收废料信息-单据2025-09-28 15:14:27</t>
  </si>
  <si>
    <t>6b93b872b9494e29ab495658c165e014</t>
  </si>
  <si>
    <t>2025-09-28</t>
  </si>
  <si>
    <t>9810000081224</t>
  </si>
  <si>
    <t>SUS304_t2*83*1130_2B</t>
  </si>
  <si>
    <t>3c25960655be441aad8ef1f1a11c2092</t>
  </si>
  <si>
    <t>7a5537ed7a7c4b839b19cea9cdf6f13e</t>
  </si>
  <si>
    <t>68107a5a0d2841f39e380e5cc9873316</t>
  </si>
  <si>
    <t>203560016</t>
  </si>
  <si>
    <t>PYF010-009001</t>
  </si>
  <si>
    <t>2025-09-24 10:27:42</t>
  </si>
  <si>
    <t>569b60fb3d314cdebe8047dc1f2c2bf1</t>
  </si>
  <si>
    <t>76c7ac17039942cbbe33a70ee1522f23</t>
  </si>
  <si>
    <t>丁佳扬的原材料对应回收废料信息-单据2025-09-24 10:27:41</t>
  </si>
  <si>
    <t>b796764339f64a9b8a05764c244f2250</t>
  </si>
  <si>
    <t>2025-09-24</t>
  </si>
  <si>
    <t>301240435</t>
  </si>
  <si>
    <t>SUS304 0.2(0/-0.01)×308(-0.1/-0.2)</t>
  </si>
  <si>
    <t>2025-09-23 12:41:35</t>
  </si>
  <si>
    <t>641dd4fc338a46bcb367964f87d1191b</t>
  </si>
  <si>
    <t>5ddd7b6dfea24bc087b40cc1c6588f46</t>
  </si>
  <si>
    <t>陈淋娜的原材料对应回收废料信息-单据2025-09-23 12:41:35</t>
  </si>
  <si>
    <t>172dbc707d2c4b1c80856d52ea6c2cbd</t>
  </si>
  <si>
    <t>2025-09-23</t>
  </si>
  <si>
    <t>301240384</t>
  </si>
  <si>
    <t>带(卷)SUS304 1.0(-0.01~-0.04)×126（-0.1~-0.2）</t>
  </si>
  <si>
    <t>ac80598ccb8c4b2d9016d5316c57c34d</t>
  </si>
  <si>
    <t>85c13e5195c64011a31f211aace610f3</t>
  </si>
  <si>
    <t>a8561addc5b04b6ca2d2a6d44bad889c</t>
  </si>
  <si>
    <t>301070076</t>
  </si>
  <si>
    <t>T2 060 0.04±0.004×88(-0.25~-0.35)</t>
  </si>
  <si>
    <t>5b89f41715f24c57b54ddd8871fe28db</t>
  </si>
  <si>
    <t>b67a47b2feb443cc8ebc56c162f2d3bf</t>
  </si>
  <si>
    <t>973735b4e7794ec5bc98a4151134e55a</t>
  </si>
  <si>
    <t>301240436</t>
  </si>
  <si>
    <t>SUS304 1.0(0/-0.05)×126.5(-0.1/-0.2)</t>
  </si>
  <si>
    <t>98670adc2ee94b2bb3a43e65c47768ea</t>
  </si>
  <si>
    <t>c4c860cf2ea14073bacce9387d504946</t>
  </si>
  <si>
    <t>ef72803a4b0143ae95f772f0b498eb45</t>
  </si>
  <si>
    <t>9810000080365</t>
  </si>
  <si>
    <t>T2_O60_t0.03*123</t>
  </si>
  <si>
    <t>5a36e29c70184a1c81762d8606fa6a28</t>
  </si>
  <si>
    <t>dc73271afed74c4b978580338710b887</t>
  </si>
  <si>
    <t>4285748700ef4db9a265b59ac223a17f</t>
  </si>
  <si>
    <t>301070079</t>
  </si>
  <si>
    <t>T2 060 0.04±0.004×114(-0.25～-0.35)</t>
  </si>
  <si>
    <t>a914fae81442475384d728467196dc24</t>
  </si>
  <si>
    <t>e38a6a3229af4a16a2839c26276d27b6</t>
  </si>
  <si>
    <t>d070a7e088e645cda11f408986b27633</t>
  </si>
  <si>
    <t>1006000300071</t>
  </si>
  <si>
    <t>球阀毛坯</t>
  </si>
  <si>
    <t>SBV-A07-001299</t>
  </si>
  <si>
    <t>2025-09-19 17:03:09</t>
  </si>
  <si>
    <t>e5237350981c4d239d3f0bed2d3798fc</t>
  </si>
  <si>
    <t>354b6463ccea4ca29d52c04d46c4bbab</t>
  </si>
  <si>
    <t>王梦帆的原材料对应回收废料信息-单据2025-09-19 17:03:08</t>
  </si>
  <si>
    <t>69e89c99eee941e7a90e1448ab8aa220</t>
  </si>
  <si>
    <t>2025-09-19</t>
  </si>
  <si>
    <t>201502569</t>
  </si>
  <si>
    <t>SBV-A07-001183(Q162A)</t>
  </si>
  <si>
    <t>2025-09-19 16:23:14</t>
  </si>
  <si>
    <t>5f887cc47d114809b8d0e2cf8b176ff6</t>
  </si>
  <si>
    <t>44692c326ceb42568772f0d4c0d91745</t>
  </si>
  <si>
    <t>王梦帆的原材料对应回收废料信息-单据2025-09-19 16:23:13</t>
  </si>
  <si>
    <t>aa30a51d0b024f8ebcf63153aec3ec65</t>
  </si>
  <si>
    <t>201504198</t>
  </si>
  <si>
    <t>SBV-A06-001284(Q245A)</t>
  </si>
  <si>
    <t>2025-09-19 11:12:52</t>
  </si>
  <si>
    <t>182a8319b0e5477bb55d4c6e3ac81534</t>
  </si>
  <si>
    <t>69c4970c52c54eeeaa4ab1696baae5ba</t>
  </si>
  <si>
    <t>王梦帆的原材料对应回收废料信息-单据2025-09-19 11:12:51</t>
  </si>
  <si>
    <t>176f2e0caaa546b98b8d9859ba8af47b</t>
  </si>
  <si>
    <t>201504039</t>
  </si>
  <si>
    <t>球阀阀体</t>
  </si>
  <si>
    <t>SBV-A06-002442(Q245A)</t>
  </si>
  <si>
    <t>2025-09-19 10:31:31</t>
  </si>
  <si>
    <t>aeba3a744fdc4b9aa9244a54a68526ee</t>
  </si>
  <si>
    <t>5689af3df6364cd0bb021aab77fb95ea</t>
  </si>
  <si>
    <t>王梦帆的原材料对应回收废料信息-单据2025-09-19 10:31:30</t>
  </si>
  <si>
    <t>2025-09-17 15:32:30</t>
  </si>
  <si>
    <t>ca9259290dce45d88bf1a00e54cf0859</t>
  </si>
  <si>
    <t>8040b3dcd2db4457a406813512796383</t>
  </si>
  <si>
    <t>陈淋娜的原材料对应回收废料信息-单据2025-09-17 15:32:29</t>
  </si>
  <si>
    <t>bfdd36ebb69c491aada9ace6ce666e87</t>
  </si>
  <si>
    <t>2025-09-17</t>
  </si>
  <si>
    <t>2025-01</t>
  </si>
  <si>
    <t>e17a9f597a2949909671cbcb96bbc50b</t>
  </si>
  <si>
    <t>a0b5903c921f47638826437d31be7fc9</t>
  </si>
  <si>
    <t>cf523b09ff4e4897ab7edf64155df6f9</t>
  </si>
  <si>
    <t>301240390</t>
  </si>
  <si>
    <t>带SUS304 2.0(-0.01～-0.04)×114(-0.1～-0.2)</t>
  </si>
  <si>
    <t>1052acee1e1c40c29988ab8b4ed30242</t>
  </si>
  <si>
    <t>c40546f7dd554f40bb43d8de4e414d81</t>
  </si>
  <si>
    <t>8958df83ac844c09af66a37f5f7e5aa3</t>
  </si>
  <si>
    <t>301240391</t>
  </si>
  <si>
    <t>带SUS304 2.0(-0.01～-0.04)×128(-0.1～-0.2)</t>
  </si>
  <si>
    <t>0f4b40c0b6754d92a6e8bcfe4c4c32c5</t>
  </si>
  <si>
    <t>de6c23ebb2f94d01981543283615b071</t>
  </si>
  <si>
    <t>e6c59a619147476989c7ca1a68d5e035</t>
  </si>
  <si>
    <t>301070074</t>
  </si>
  <si>
    <t>T2 060 0.04±0.004×126(-0.25~-0.35)</t>
  </si>
  <si>
    <t>dbe67bd92fe9444d983c2ee8161b2cab</t>
  </si>
  <si>
    <t>fa688beb42f4427c8359da80f07961cf</t>
  </si>
  <si>
    <t>d8a22aca891f425c9342191354f20089</t>
  </si>
  <si>
    <t>301240386</t>
  </si>
  <si>
    <t>带(卷)SUS316L/S31603 0.3(-0.01~-0.03)×126(-0.1~-0.2)</t>
  </si>
  <si>
    <t>2025-09-17 15:10:55</t>
  </si>
  <si>
    <t>5aa4474757bf41b89822d96590a78c04</t>
  </si>
  <si>
    <t>200bf2711a304961b4671b40e07c04f6</t>
  </si>
  <si>
    <t>陈淋娜的原材料对应回收废料信息-单据2025-09-17 15:10:55</t>
  </si>
  <si>
    <t>3b210a0da00a4c6c9bb70ba6dbab7ad1</t>
  </si>
  <si>
    <t>301070090</t>
  </si>
  <si>
    <t>T2 O60×0.04±0.004×84(-0.25/-0.4)</t>
  </si>
  <si>
    <t>f9ef6b0c553f4bfd8eaab2715436c773</t>
  </si>
  <si>
    <t>28acb86e916d429187da29c6afd91d90</t>
  </si>
  <si>
    <t>1be50adf84844fde8cb4f24d890a0ccb</t>
  </si>
  <si>
    <t>301240422</t>
  </si>
  <si>
    <t>带SUS304 2(0/-0.05)×76(-0.1/-0.2)</t>
  </si>
  <si>
    <t>f5bc784b9fd7444798c2aba10e8e053b</t>
  </si>
  <si>
    <t>2e4cfb484c9c47d9887450562c389755</t>
  </si>
  <si>
    <t>72b6d1c19f34449b98b6f9ae0ed20776</t>
  </si>
  <si>
    <t>301240420</t>
  </si>
  <si>
    <t>带SUS304 0.3(-0.01/-0.03)×84(-0.1/-0.2)</t>
  </si>
  <si>
    <t>0e005f1d6c9e4046a5238c734779945b</t>
  </si>
  <si>
    <t>4bcddf84eccb4a2f91784bc6b9a6f667</t>
  </si>
  <si>
    <t>512bde3eb1804801a7c70b3daa28afb3</t>
  </si>
  <si>
    <t>301240392</t>
  </si>
  <si>
    <t>带SUS304 2.0(-0.01～-0.04)×125(-0.1～-0.2)</t>
  </si>
  <si>
    <t>b8004cf739884b588e213079010d2b48</t>
  </si>
  <si>
    <t>6b17afcd56684ce29e4e23a66c1e6052</t>
  </si>
  <si>
    <t>3435ee95d8cc44a0a6376737bce8b663</t>
  </si>
  <si>
    <t>301240421</t>
  </si>
  <si>
    <t>SUS304 1(0/-0.05)×84(-0.1/-0.2)</t>
  </si>
  <si>
    <t>1b22dbae7c7d4393ad8cc84219aaecba</t>
  </si>
  <si>
    <t>6ed6331e28ee43bc8cbf6db289fcd4f4</t>
  </si>
  <si>
    <t>239cfab2a6464c8792e2809f43d78777</t>
  </si>
  <si>
    <t>301070091</t>
  </si>
  <si>
    <t>T2 O60 0.04±0.004×76(-0.25/-0.4)</t>
  </si>
  <si>
    <t>34faab8e748d4b4a9f89052a16405325</t>
  </si>
  <si>
    <t>f2e240548ee84535a9f355ae308f8448</t>
  </si>
  <si>
    <t>f4bb5287e71d4f5fb818832731ac16a4</t>
  </si>
  <si>
    <t>301040793</t>
  </si>
  <si>
    <t>无铅锡条</t>
  </si>
  <si>
    <t>Sn99.7Cu0.3</t>
  </si>
  <si>
    <t>301990230</t>
  </si>
  <si>
    <t>废锡焊渣</t>
  </si>
  <si>
    <t>锡焊渣</t>
  </si>
  <si>
    <t>2025-09-15 15:23:48</t>
  </si>
  <si>
    <t>ca8fe0e921284ef486a0bb878fc3c35d</t>
  </si>
  <si>
    <t>a4de4006b26940d8a6951b8169dda620</t>
  </si>
  <si>
    <t>王佳的原材料对应回收废料信息-单据2025-09-15 15:23:48</t>
  </si>
  <si>
    <t>4872979cb2c94162ac1c6fcef75cd7cd</t>
  </si>
  <si>
    <t>2025-09-15</t>
  </si>
  <si>
    <t>202050456</t>
  </si>
  <si>
    <t>单向阀芯(半成品)</t>
  </si>
  <si>
    <t>RFG-F04-046801</t>
  </si>
  <si>
    <t>301990168</t>
  </si>
  <si>
    <t>废铁沫</t>
  </si>
  <si>
    <t>2025-09-15 13:19:37</t>
  </si>
  <si>
    <t>2db659b43c5c4d34824795ac2837d457</t>
  </si>
  <si>
    <t>6b905741e96447aeb49b5fe3ed5f2dc8</t>
  </si>
  <si>
    <t>王梦帆的原材料对应回收废料信息-单据2025-09-15 13:19:36</t>
  </si>
  <si>
    <t>471cc333c1974772a1082773d955fd64</t>
  </si>
  <si>
    <t>701010001001</t>
  </si>
  <si>
    <t>虚拟紫铜材料</t>
  </si>
  <si>
    <t>废料：废紫铜沫（干净）301990317</t>
  </si>
  <si>
    <t>2025-09-12 18:14:50</t>
  </si>
  <si>
    <t>7bba3ef5c42b4a4d9ce81fa9946da25e</t>
  </si>
  <si>
    <t>2ab553e6490b4e61aa38397d2223a2b2</t>
  </si>
  <si>
    <t>王梦帆的原材料对应回收废料信息-单据2025-09-12 18:14:50</t>
  </si>
  <si>
    <t>983742003bfa4026923a2f16975dd218</t>
  </si>
  <si>
    <t>2025-09-12</t>
  </si>
  <si>
    <t>701010001000</t>
  </si>
  <si>
    <t>虚拟黄铜材料</t>
  </si>
  <si>
    <t xml:space="preserve">废料：C3771/C3604干铜沫301990218 </t>
  </si>
  <si>
    <t>c19a6d7660c847d2ae45e31d77010ceb</t>
  </si>
  <si>
    <t>dafe5b56c4d04ce78360e4f8a0427460</t>
  </si>
  <si>
    <t>0940a725cd854780895d6c4d190f0cc7</t>
  </si>
  <si>
    <t>301240433</t>
  </si>
  <si>
    <t>带SUS304 t0.3×60</t>
  </si>
  <si>
    <t>2025-09-12 13:24:13</t>
  </si>
  <si>
    <t>ff63ecec4ad747948d874ed6619b2b4a</t>
  </si>
  <si>
    <t>40fc7ebd587241adbe94b422bfa68486</t>
  </si>
  <si>
    <t>王梦帆的原材料对应回收废料信息-单据2025-09-12 13:24:12</t>
  </si>
  <si>
    <t>7746b3a4330f4995a14a9dbfb28f4a5e</t>
  </si>
  <si>
    <t>201600908</t>
  </si>
  <si>
    <t>膜片毛坯</t>
  </si>
  <si>
    <t>DXF-D25-079003</t>
  </si>
  <si>
    <t>2025-07-30 12:41:10</t>
  </si>
  <si>
    <t>bb0c5207559b4c8ca4bf61bcb80a2a47</t>
  </si>
  <si>
    <t>000a0826a6e243d6a51cf168ded9bb9e</t>
  </si>
  <si>
    <t>王佳的原材料对应回收废料信息-单据2025-07-30 12:41:09</t>
  </si>
  <si>
    <t>bb1350e1cd9e4fef99cc15b9bb37a2c7</t>
  </si>
  <si>
    <t>2025-07-30</t>
  </si>
  <si>
    <t>301220048</t>
  </si>
  <si>
    <t>软磁不锈钢棒</t>
  </si>
  <si>
    <t>00Cr13Si2 Φ11</t>
  </si>
  <si>
    <t>301990752</t>
  </si>
  <si>
    <t>废软磁不锈铁沫(仅限4105、00Cr13Si2)</t>
  </si>
  <si>
    <t>9e903c18ebd842119f91a60b673b9c73</t>
  </si>
  <si>
    <t>002b7edffc07494d880007d12110bc03</t>
  </si>
  <si>
    <t>4d1b5b5decaa4d3dab8b8f01179ff41e</t>
  </si>
  <si>
    <t>301050079</t>
  </si>
  <si>
    <t>TP2 Y2 Φ25.4×1.5</t>
  </si>
  <si>
    <t>e700fdcfcc744b24921cc3d3952ce506</t>
  </si>
  <si>
    <t>003009db6d734632b6ab4c0d2247d229</t>
  </si>
  <si>
    <t>9b97635b773c42f7a69d2955f0983b67</t>
  </si>
  <si>
    <t>201500019</t>
  </si>
  <si>
    <t>SBV-B07-001028(Q031B)</t>
  </si>
  <si>
    <t>e1462a55d48e41ac9ec708c56ec92bcf</t>
  </si>
  <si>
    <t>007b68e4a08146ed9e3ec50d04634a5e</t>
  </si>
  <si>
    <t>c0149d0581384b7ea42cf976a363a01a</t>
  </si>
  <si>
    <t>301220254</t>
  </si>
  <si>
    <t>不锈钢棒</t>
  </si>
  <si>
    <t>316L Φ22</t>
  </si>
  <si>
    <t>d7d230dac5f54346b3d3c094290823f2</t>
  </si>
  <si>
    <t>01136fbcc7d84e48b2f8dbf0e6fb6b40</t>
  </si>
  <si>
    <t>433d7cf93b8b42178b27a8ba0676a956</t>
  </si>
  <si>
    <t>723800003</t>
  </si>
  <si>
    <t>RLF-A01-009001</t>
  </si>
  <si>
    <t>1fd4a33e13654bd7ae01261efed83d2f</t>
  </si>
  <si>
    <t>011f496d7f38423197377982fafa8026</t>
  </si>
  <si>
    <t>9a6c889f9c2f497fa366d81169cdc81f</t>
  </si>
  <si>
    <t>301230073</t>
  </si>
  <si>
    <t>六角钢棒</t>
  </si>
  <si>
    <t>12L14 S32</t>
  </si>
  <si>
    <t>eb929cab4b254e8c91bb517906549f58</t>
  </si>
  <si>
    <t>01ad6ebdbd694aea8369d7dd45a6c509</t>
  </si>
  <si>
    <t>676ea756fba54f829b502adea845cb0c</t>
  </si>
  <si>
    <t>301050208</t>
  </si>
  <si>
    <t>TP2 Y2 Φ19.6×1.2</t>
  </si>
  <si>
    <t>a96714aa5f684f45ad4fcb90bc24ffeb</t>
  </si>
  <si>
    <t>01b3ab45ff9e4ce2af9beecb8f013972</t>
  </si>
  <si>
    <t>c32082ade0db47b1898537730d83e68b</t>
  </si>
  <si>
    <t>201920028</t>
  </si>
  <si>
    <t>WSF17L-902001</t>
  </si>
  <si>
    <t>702bfa2cc627413db12c278a0a2a236a</t>
  </si>
  <si>
    <t>01e262963d6247b099ea27ed68b2e05b</t>
  </si>
  <si>
    <t>99a94f263acc40d2b77438409477d004</t>
  </si>
  <si>
    <t>201060056</t>
  </si>
  <si>
    <t>MZF15H-015001</t>
  </si>
  <si>
    <t>af1fb9d02f594b64810a4114cbd2c0b6</t>
  </si>
  <si>
    <t>020c8bc5ed3d463a911cf5fbf805246d</t>
  </si>
  <si>
    <t>b3a57be2fca54d8b89e6b8dee0192c19</t>
  </si>
  <si>
    <t>301260134</t>
  </si>
  <si>
    <t>SUS304 1240×57×1.2</t>
  </si>
  <si>
    <t>15b1f087cf344fe7a4ff5ad8a0a5dcae</t>
  </si>
  <si>
    <t>024f7ea6eff5482aade8e19d981ba2dd</t>
  </si>
  <si>
    <t>4b57ca6fcd1147a9b8e7f5ebb375b201</t>
  </si>
  <si>
    <t>206600417</t>
  </si>
  <si>
    <t>进气座毛坯</t>
  </si>
  <si>
    <t>PSV01-05005</t>
  </si>
  <si>
    <t>4e81c30f97454bbaa8e31e4a4f158583</t>
  </si>
  <si>
    <t>025dbff7201448d5b6fb8ec8322dd4bb</t>
  </si>
  <si>
    <t>53f81c7b3ba94788a1a3868fc8163a03</t>
  </si>
  <si>
    <t>301050875</t>
  </si>
  <si>
    <t>TP2 Y2  Φ46.1×1.9</t>
  </si>
  <si>
    <t>1ddb1a41b360469b81f2ebf28765dfc1</t>
  </si>
  <si>
    <t>02c7b4d6a9ad4c69973b51adf39bac5c</t>
  </si>
  <si>
    <t>cce795041dad44e88c09259294d091d9</t>
  </si>
  <si>
    <t>301060176</t>
  </si>
  <si>
    <t>拉制铜管(内抽式)</t>
  </si>
  <si>
    <t>TP2 M2 Φ6.35×0.7 LWC(内抽式)</t>
  </si>
  <si>
    <t>87af02fba43d459f8ed5198429d8ed72</t>
  </si>
  <si>
    <t>0331f045a9324736bf2c3a9e981a5e49</t>
  </si>
  <si>
    <t>08f413cb4700456cabfd04864c5a9337</t>
  </si>
  <si>
    <t>203050041</t>
  </si>
  <si>
    <t>直角阀毛坯</t>
  </si>
  <si>
    <t>ZJF-A22-001004(F362K)</t>
  </si>
  <si>
    <t>9cfbc6a0ba2d4036be18b8ca2aedb79e</t>
  </si>
  <si>
    <t>03b42bc3aaa1457ea553f87f2e41a155</t>
  </si>
  <si>
    <t>1f247d05d4264ecdad88e510afa72ef1</t>
  </si>
  <si>
    <t>301110691</t>
  </si>
  <si>
    <t>圆形黄铜棒</t>
  </si>
  <si>
    <t>C3604BDS Φ13</t>
  </si>
  <si>
    <t>0c03016e72f84220bdd88260e55d1074</t>
  </si>
  <si>
    <t>03de68982d274a94a774bd381cdb8fe3</t>
  </si>
  <si>
    <t>79fe1bb42b5c4327a5ae309b2ef67c21</t>
  </si>
  <si>
    <t>301050098</t>
  </si>
  <si>
    <t>TP2 Y2 Φ38.1×2.0</t>
  </si>
  <si>
    <t>2c679235572c47c8bf30d488d71f9099</t>
  </si>
  <si>
    <t>0406fc53f0774f22bbe24a6e6459a469</t>
  </si>
  <si>
    <t>d5887fdccea84aed934d895a0891fab4</t>
  </si>
  <si>
    <t>201500047</t>
  </si>
  <si>
    <t>SBV-A07-001110(Q106A)</t>
  </si>
  <si>
    <t>8bae4e3b00494265a5dff4aaece9f24e</t>
  </si>
  <si>
    <t>04a6a10bc4d64035ac045628aa8fd56b</t>
  </si>
  <si>
    <t>126d6e9424dc413580047e98524df2a2</t>
  </si>
  <si>
    <t>301210069</t>
  </si>
  <si>
    <t>SUS304 Φ22×0.7</t>
  </si>
  <si>
    <t>d4af4ab9a29f45d4a259564931032fa6</t>
  </si>
  <si>
    <t>04ed514c5ecc41298bab98696842e063</t>
  </si>
  <si>
    <t>1dbec4c4394d4d64af1dee4b192ef79a</t>
  </si>
  <si>
    <t>202000049</t>
  </si>
  <si>
    <t>封盖2毛坯</t>
  </si>
  <si>
    <t>RFK-E04-063011</t>
  </si>
  <si>
    <t>76bdba7eabb14b11a361464fc6f13392</t>
  </si>
  <si>
    <t>0514221949c34a719f5e5bb215933b6e</t>
  </si>
  <si>
    <t>998235fbfee74f6eab7f657d386df303</t>
  </si>
  <si>
    <t>301220071</t>
  </si>
  <si>
    <t>SUS304 Φ25</t>
  </si>
  <si>
    <t>0640a42793944a458e0f9d12827ae14e</t>
  </si>
  <si>
    <t>05387f6a49624fd1beaff58ac0143a76</t>
  </si>
  <si>
    <t>a5b0291d9de14347b814527d0aa229ba</t>
  </si>
  <si>
    <t>301220176</t>
  </si>
  <si>
    <t>SUS303 Φ18</t>
  </si>
  <si>
    <t>0d07173bc33a43038e39361d7c2a748e</t>
  </si>
  <si>
    <t>054a132cf4ce4ff2982b745ff2fdd4ee</t>
  </si>
  <si>
    <t>8fc9d7fd886b4c3681633fa98a428b0d</t>
  </si>
  <si>
    <t>301110409</t>
  </si>
  <si>
    <t>黄铜棒</t>
  </si>
  <si>
    <t>PWHSi76-3.2 φ29</t>
  </si>
  <si>
    <t>6ece643d41594216a6fff73f546e58d9</t>
  </si>
  <si>
    <t>0591ac16b23744b08cd7cda9a9774593</t>
  </si>
  <si>
    <t>45125706ffbb4bb1975e185e294a640f</t>
  </si>
  <si>
    <t>301210309</t>
  </si>
  <si>
    <t>不锈钢无缝管</t>
  </si>
  <si>
    <t>SUS304 Φ22×5.0</t>
  </si>
  <si>
    <t>56fce7e3f7984e9e8f7245c9592c0c62</t>
  </si>
  <si>
    <t>05ce3c2b56a44bfe865bf98392b41440</t>
  </si>
  <si>
    <t>257578c5e38641d690622e2a0d95d69a</t>
  </si>
  <si>
    <t>301050354</t>
  </si>
  <si>
    <t>TP2 Y2 Φ78×4</t>
  </si>
  <si>
    <t>bdbcf49c99974e9faaf717af91524932</t>
  </si>
  <si>
    <t>05ecf4c6b8274c18915b824497ffa15f</t>
  </si>
  <si>
    <t>fa0e6ee62ab143a98567edac6e8946a0</t>
  </si>
  <si>
    <t>301050010</t>
  </si>
  <si>
    <t>TP2 Y2 Φ11.05(ID)×0.8</t>
  </si>
  <si>
    <t>4932c600b5244f679924d69369282406</t>
  </si>
  <si>
    <t>0607301901224f5ca2225227967974f3</t>
  </si>
  <si>
    <t>1934c7faf7dd4012a165f7c38f3b0879</t>
  </si>
  <si>
    <t>301220099</t>
  </si>
  <si>
    <t>不锈钢六角棒</t>
  </si>
  <si>
    <t>SUS303 S27</t>
  </si>
  <si>
    <t>ad1cc821ed314e6a9390addc799d9b0a</t>
  </si>
  <si>
    <t>06336f474db040fbaa12ad4a1a42568e</t>
  </si>
  <si>
    <t>320a0b18addf4ec5beec3e48a1a861d9</t>
  </si>
  <si>
    <t>301230102</t>
  </si>
  <si>
    <t>钢棒</t>
  </si>
  <si>
    <t>40Cr Φ12</t>
  </si>
  <si>
    <t>01a10135d62447c4a13818ca264b70ae</t>
  </si>
  <si>
    <t>079fe3e08a964d9e8da3397628e25d06</t>
  </si>
  <si>
    <t>45f8ca905b424217965eb32773f8c7b1</t>
  </si>
  <si>
    <t>201500011</t>
  </si>
  <si>
    <t>SBV-B04-001007(F140A)</t>
  </si>
  <si>
    <t>2d5d33d4a99843bf8dfe6dab808fd388</t>
  </si>
  <si>
    <t>07c7fe94352a4ed4ae62a38630490bf4</t>
  </si>
  <si>
    <t>b0414103129047a98676266058d424cb</t>
  </si>
  <si>
    <t>721250066</t>
  </si>
  <si>
    <t>MDF-A01-015005</t>
  </si>
  <si>
    <t>3636377ec11b4138a9c73becd13e768a</t>
  </si>
  <si>
    <t>08132910a1c349afa07d71869fe95291</t>
  </si>
  <si>
    <t>70ea8ea629b94ac4b57e87101233c3c7</t>
  </si>
  <si>
    <t>301220018</t>
  </si>
  <si>
    <t>SUS303Cu Φ7</t>
  </si>
  <si>
    <t>098e17d1fd07490d95ec4fa3c7c82543</t>
  </si>
  <si>
    <t>083e0dc3f6d8482ba47f4c98d82e18d6</t>
  </si>
  <si>
    <t>7cb5c4c2434b47e2a237b3cb1776a822</t>
  </si>
  <si>
    <t>721250127</t>
  </si>
  <si>
    <t>MDF-A01-004003</t>
  </si>
  <si>
    <t>972f5546eff342f890c7abb35bb07aa4</t>
  </si>
  <si>
    <t>08ddbd77f32b412299218180d94c9e4c</t>
  </si>
  <si>
    <t>2093460c74a5487c9148f452e5e7f8f4</t>
  </si>
  <si>
    <t>301220212</t>
  </si>
  <si>
    <t>SUS303Cu(B) Φ12</t>
  </si>
  <si>
    <t>585142f73d1446b7b8e89529e41f215e</t>
  </si>
  <si>
    <t>090cf8674fbd422786a848939725781c</t>
  </si>
  <si>
    <t>25ba8ea602c04d22893806ffd2cc35b4</t>
  </si>
  <si>
    <t>301210052</t>
  </si>
  <si>
    <t>SUS304 Φ16×0.7</t>
  </si>
  <si>
    <t>ffdb264c65cc4a668182fedaecc4a351</t>
  </si>
  <si>
    <t>0ac36926127247fbbe86c2b4bc4c2a48</t>
  </si>
  <si>
    <t>9bc5a0ca07ec48668daf75c9e21e416d</t>
  </si>
  <si>
    <t>301220356</t>
  </si>
  <si>
    <t>SUS304 Φ26</t>
  </si>
  <si>
    <t>e3792eb421f84f9fbac47f7b25e5068f</t>
  </si>
  <si>
    <t>0b0986bfc6a04c52b64e1396db200eca</t>
  </si>
  <si>
    <t>0a7409ff45c94b6b91f4aab306ad5349</t>
  </si>
  <si>
    <t>202850049</t>
  </si>
  <si>
    <t>SYJ-A00-919007</t>
  </si>
  <si>
    <t>045fd2104272405d9649d68fb61c4223</t>
  </si>
  <si>
    <t>0b4e7973991c493ab622356a9d39e3f8</t>
  </si>
  <si>
    <t>a807e5c77d0740ebaf3025521894d0c8</t>
  </si>
  <si>
    <t>201500038</t>
  </si>
  <si>
    <t>SBV-A09-001070(Q086A)</t>
  </si>
  <si>
    <t>d5ce7620bf5446669cbcb5a48e484694</t>
  </si>
  <si>
    <t>0b5babc5fba2405fa090fdae34abed62</t>
  </si>
  <si>
    <t>a5319b0f09f64337aee8fa0047e82a9f</t>
  </si>
  <si>
    <t>301230093</t>
  </si>
  <si>
    <t>电磁纯铁</t>
  </si>
  <si>
    <t>DT4 Φ30</t>
  </si>
  <si>
    <t>14ef572537294681844200e0999fe523</t>
  </si>
  <si>
    <t>0b80c85ea6f146d8b56e246e6049f964</t>
  </si>
  <si>
    <t>04721c38433042e5b3c2562b15e5c167</t>
  </si>
  <si>
    <t>301210135</t>
  </si>
  <si>
    <t>不锈钢焊接接管</t>
  </si>
  <si>
    <t>SUS304 Φ63.5×1.6</t>
  </si>
  <si>
    <t>3755e6761bbc44fd8b75722a901a3bce</t>
  </si>
  <si>
    <t>0bd4d22b075f4fe8823846f167bd2fe9</t>
  </si>
  <si>
    <t>2a2f6e7a219b40babc19ffba56ef23a1</t>
  </si>
  <si>
    <t>721250064</t>
  </si>
  <si>
    <t>MDF-A01-015003</t>
  </si>
  <si>
    <t>5319c82ccccf4ca781d674989964d7ff</t>
  </si>
  <si>
    <t>0bf264d341384403a9068f03b94c82a3</t>
  </si>
  <si>
    <t>cce26a24bac742f0917cefff114fb759</t>
  </si>
  <si>
    <t>201502230</t>
  </si>
  <si>
    <t>阀芯球毛坯</t>
  </si>
  <si>
    <t>SBV-A05-001145</t>
  </si>
  <si>
    <t>ac9c2d56fbb34036a5477b9c73883f4e</t>
  </si>
  <si>
    <t>0c2601abc1f140c9bf9fe96d00a86e91</t>
  </si>
  <si>
    <t>74955e80d507421097e3ee6f59610aeb</t>
  </si>
  <si>
    <t>721250389</t>
  </si>
  <si>
    <t>MDF-A03-004001</t>
  </si>
  <si>
    <t>d857c32214c54141b3296836e36f89dc</t>
  </si>
  <si>
    <t>0c7bdee2ae9e40b28254d64a580891e5</t>
  </si>
  <si>
    <t>7ec7449804304a9cba73932b67eae11b</t>
  </si>
  <si>
    <t>301220162</t>
  </si>
  <si>
    <t>SUS303 φ11</t>
  </si>
  <si>
    <t>c882a2c5132047bba253de2a410cad36</t>
  </si>
  <si>
    <t>0d3a9dbe123444a586ab63ffeed090e2</t>
  </si>
  <si>
    <t>ebbbb42f70874181bf85281d213a80d3</t>
  </si>
  <si>
    <t>301050081</t>
  </si>
  <si>
    <t>TP2 Y2 Φ25.58(ID)×1.5</t>
  </si>
  <si>
    <t>f13b5a2464ea47019139b04452decfb1</t>
  </si>
  <si>
    <t>0d53ee8f4ac9402fbf28b65447933000</t>
  </si>
  <si>
    <t>28bdced3cc324fea8570203f8b293b02</t>
  </si>
  <si>
    <t>301220044</t>
  </si>
  <si>
    <t>00Cr13Si2 Φ10.05</t>
  </si>
  <si>
    <t>c7cd1ae35516480ea46452a089f3e7b1</t>
  </si>
  <si>
    <t>0dc4ca5c7e4c432c8e0e2c6b2cd336d6</t>
  </si>
  <si>
    <t>cec2c142cd4e4331bf6cfc58a994caeb</t>
  </si>
  <si>
    <t>301220167</t>
  </si>
  <si>
    <t>软磁不锈钢磨光棒</t>
  </si>
  <si>
    <t>00Cr13Si2 φ10.82(+0.01/-0.02)</t>
  </si>
  <si>
    <t>2fa20a07fe1e457ca9592bd7ea4aab92</t>
  </si>
  <si>
    <t>0e0caca609cb43bea921b6535c8dad57</t>
  </si>
  <si>
    <t>644146ecbf51412db1086b4eb3c182a9</t>
  </si>
  <si>
    <t>301250105</t>
  </si>
  <si>
    <t>钢带</t>
  </si>
  <si>
    <t>7C27Mo2 t=1.2mm</t>
  </si>
  <si>
    <t>f227b8546af547758864d89463bb664a</t>
  </si>
  <si>
    <t>0ee5115c43414ba5aff9f778ae1b0c77</t>
  </si>
  <si>
    <t>b80cd9b0693b4cbea70701249bc05d19</t>
  </si>
  <si>
    <t>301050124</t>
  </si>
  <si>
    <t>TP2 Y2 Φ66.68×3.0</t>
  </si>
  <si>
    <t>8a8744deef3041ac944d6544ccbc03c4</t>
  </si>
  <si>
    <t>0ef5b887b3bf45e3a3bd78ad1552e063</t>
  </si>
  <si>
    <t>454ab3724ded463bbb2ebcc855f1f419</t>
  </si>
  <si>
    <t>721850072</t>
  </si>
  <si>
    <t>YCQB02-003003</t>
  </si>
  <si>
    <t>148a2cc420184d159909c6add199c5e3</t>
  </si>
  <si>
    <t>0fafb195c0cb467c820410bcbf825a35</t>
  </si>
  <si>
    <t>ea2d000247f64caea16e4ca6614e162c</t>
  </si>
  <si>
    <t>301080018</t>
  </si>
  <si>
    <t>QA-1/155 Φ0.25</t>
  </si>
  <si>
    <t>515c0bd99fc94a8fa830ccca7e116033</t>
  </si>
  <si>
    <t>0feea61c1a604f4aba437468d8dca388</t>
  </si>
  <si>
    <t>d109baccf354481180e776d810aebd3c</t>
  </si>
  <si>
    <t>301220145</t>
  </si>
  <si>
    <t>SUS304 S29</t>
  </si>
  <si>
    <t>d6c029d3d08542d587a52bdf555cd416</t>
  </si>
  <si>
    <t>0ff3d9a9045e4109bbe52902dd0ef975</t>
  </si>
  <si>
    <t>9faaa1043cce41eeaeae24873879265d</t>
  </si>
  <si>
    <t>201201062</t>
  </si>
  <si>
    <t>FDF-A02-618004</t>
  </si>
  <si>
    <t>7f9fdaf58de34c538ac0db9705c69a2b</t>
  </si>
  <si>
    <t>107532eb849f43aca4b3b419c4a69614</t>
  </si>
  <si>
    <t>934bfecd4b0745bebcc39d927d83fbed</t>
  </si>
  <si>
    <t>201656445</t>
  </si>
  <si>
    <t>JZF-F03-001177（F414K）</t>
  </si>
  <si>
    <t>ed83ae4b2e04435f9dc9a6b69b2e1ae4</t>
  </si>
  <si>
    <t>10c07a179ff448ddb03a5565970e6a9a</t>
  </si>
  <si>
    <t>3aaea5a5b2714f6aadc8d06604b93031</t>
  </si>
  <si>
    <t>201500044</t>
  </si>
  <si>
    <t>SBV-B08-001021(Q097A)</t>
  </si>
  <si>
    <t>685582bb61d3451eb5cacce4d94d3d6a</t>
  </si>
  <si>
    <t>11467f30467e42559a0233c8b03f7132</t>
  </si>
  <si>
    <t>2a09c2f6a9d04d61983a30b9cfca68ca</t>
  </si>
  <si>
    <t>301050106</t>
  </si>
  <si>
    <t>TP2 Y2 Φ46×2.5</t>
  </si>
  <si>
    <t>d0608c71ee544de0bffe8aeba5646229</t>
  </si>
  <si>
    <t>11d93f89e4cf4a59a895e95eee9af8e4</t>
  </si>
  <si>
    <t>6a393ae1196b4810a0910dc62d245b81</t>
  </si>
  <si>
    <t>301220038</t>
  </si>
  <si>
    <t>不锈钢方棒</t>
  </si>
  <si>
    <t>SUS303 40×40</t>
  </si>
  <si>
    <t>fea331b09f434d44a42c3efca7a05115</t>
  </si>
  <si>
    <t>11eaeb7e182b4e30b584632fd8d19577</t>
  </si>
  <si>
    <t>7da6fd4bf8da434e8ca2239196c4c471</t>
  </si>
  <si>
    <t>201500052</t>
  </si>
  <si>
    <t>SBV-B06-001113(Q109A)</t>
  </si>
  <si>
    <t>4edb11ef4a944e42827d5abbf109d4a5</t>
  </si>
  <si>
    <t>123c239329d44704b1918d3523ad51da</t>
  </si>
  <si>
    <t>406302256f714ef881536b3869dc8f72</t>
  </si>
  <si>
    <t>301220237</t>
  </si>
  <si>
    <t>00Cr13Si2S Φ9.82</t>
  </si>
  <si>
    <t>bccefb5e064b420988ec6b90131f010c</t>
  </si>
  <si>
    <t>12802a57d764427e9bb102b52b274823</t>
  </si>
  <si>
    <t>b69dcdcebf87468092d0ea94e11abea5</t>
  </si>
  <si>
    <t>202850023</t>
  </si>
  <si>
    <t>视液镜(毛坯)</t>
  </si>
  <si>
    <t>SYJ-A00-919004</t>
  </si>
  <si>
    <t>6cbd95fce0c344ac80ce7b3f2d4d1f49</t>
  </si>
  <si>
    <t>12d60e5043614e2db333d2bb4b50fb54</t>
  </si>
  <si>
    <t>11a7969694c34efa8b8ec514236e8216</t>
  </si>
  <si>
    <t>201503172</t>
  </si>
  <si>
    <t>SBV-A04-001245(Q213A)</t>
  </si>
  <si>
    <t>8762d7d5a34b4df1b52e8496c6d55891</t>
  </si>
  <si>
    <t>1313c4f5005544059d9c5089bced4cfe</t>
  </si>
  <si>
    <t>a2004446b1a743b483097e067730adb4</t>
  </si>
  <si>
    <t>201502460</t>
  </si>
  <si>
    <t>SBV-A11-001166(Q148A)</t>
  </si>
  <si>
    <t>15b06e1f9ff74ba1932181eaa3a36462</t>
  </si>
  <si>
    <t>131dd1cf326d4e99aea52a95bc144017</t>
  </si>
  <si>
    <t>825370e0f5634f218a0ef34455b5be0c</t>
  </si>
  <si>
    <t>301200227</t>
  </si>
  <si>
    <t>不锈钢焊接钢管</t>
  </si>
  <si>
    <t>SUS304 Φ25×0.8</t>
  </si>
  <si>
    <t>23554e676e664f9e8f61e03a9ea0c311</t>
  </si>
  <si>
    <t>132a59ebe59541578219c6cb68b3c089</t>
  </si>
  <si>
    <t>259910a3bd1b4b32a9de0360129477e4</t>
  </si>
  <si>
    <t>301210080</t>
  </si>
  <si>
    <t>无缝不锈钢管</t>
  </si>
  <si>
    <t>SUS304  Φ8.5×0.9</t>
  </si>
  <si>
    <t>a02644aa938141c2bd98c64dd313fcdb</t>
  </si>
  <si>
    <t>13967b99bab8406ba79a8eea71d670fc</t>
  </si>
  <si>
    <t>6802a2b38cc044238034abbed442b79e</t>
  </si>
  <si>
    <t>301160045</t>
  </si>
  <si>
    <t>铝棒</t>
  </si>
  <si>
    <t>6061-T6 Φ28</t>
  </si>
  <si>
    <t>301990114</t>
  </si>
  <si>
    <t>废铝沫</t>
  </si>
  <si>
    <t>aa7643cae0c84d3b8cd04cd41e5bf273</t>
  </si>
  <si>
    <t>145dabadaf364558aab5635418714ee2</t>
  </si>
  <si>
    <t>4ec4ffb09a6f49dd8e13a9da623304ff</t>
  </si>
  <si>
    <t>202051439</t>
  </si>
  <si>
    <t>RFG-D04-001006</t>
  </si>
  <si>
    <t>8043a72fa68447b6ba47e4f57282e22e</t>
  </si>
  <si>
    <t>149ca0f32d204eabbb399268edb0ac5f</t>
  </si>
  <si>
    <t>062c23330a4746d59efbfd1355baeaaa</t>
  </si>
  <si>
    <t>201560074</t>
  </si>
  <si>
    <t>套管毛坯</t>
  </si>
  <si>
    <t>EBV05H-092003</t>
  </si>
  <si>
    <t>a9e172dd4dec4d839e6c932105141f0e</t>
  </si>
  <si>
    <t>14b2eed4c61646caa100ef6253c39ad1</t>
  </si>
  <si>
    <t>b47966e6b7be44de87ba724b9f573b48</t>
  </si>
  <si>
    <t>301220179</t>
  </si>
  <si>
    <t>SUS303 Φ28</t>
  </si>
  <si>
    <t>602b686ce16a4c94a9c6ef72d16d712d</t>
  </si>
  <si>
    <t>1534c30bdce5449eabbbfc1654fde11a</t>
  </si>
  <si>
    <t>aecf3528e3c94423b30c15180f04d7fc</t>
  </si>
  <si>
    <t>201503461</t>
  </si>
  <si>
    <t>SBV-A07-001258</t>
  </si>
  <si>
    <t>318c3443258c44b3b33235ce484b6b92</t>
  </si>
  <si>
    <t>1575d0ad8457488484ddcc0a44eb71a9</t>
  </si>
  <si>
    <t>f5ac9d14ea6246d09ad562e72dc5ead9</t>
  </si>
  <si>
    <t>301050716</t>
  </si>
  <si>
    <t>TP2 Y2 Φ15.88×2</t>
  </si>
  <si>
    <t>63b2a8d2845e4740a02edb7957ae8742</t>
  </si>
  <si>
    <t>162d29aa203748cb92e35c6bc86be64a</t>
  </si>
  <si>
    <t>a7eaae84930f471da425a163a6195091</t>
  </si>
  <si>
    <t>201250266</t>
  </si>
  <si>
    <t>MDF-A02-004003</t>
  </si>
  <si>
    <t>c0bc034c99e840f0ae7278b603b5f355</t>
  </si>
  <si>
    <t>1639712e276a42d5a26a8f8f63623703</t>
  </si>
  <si>
    <t>0a779b100c9c423180845cf8381e83cd</t>
  </si>
  <si>
    <t>201503173</t>
  </si>
  <si>
    <t>SBV-A09-001246(Q214A)</t>
  </si>
  <si>
    <t>60b125024ec741a086a6df11f7dd5952</t>
  </si>
  <si>
    <t>166cf1e9581842939d2c44390e7f45ed</t>
  </si>
  <si>
    <t>c311d6afcd2a4a66a97dacf22ad1bee0</t>
  </si>
  <si>
    <t>301220169</t>
  </si>
  <si>
    <t>SUS303 Φ15</t>
  </si>
  <si>
    <t>7358edc2d7f94871a9d9fdafc5a993bf</t>
  </si>
  <si>
    <t>176efc0504f644d9a93da28ed198ec0c</t>
  </si>
  <si>
    <t>27ada42c4b9f41b1a30698adbdf91dc8</t>
  </si>
  <si>
    <t>201290575</t>
  </si>
  <si>
    <t>HDF6L-004005</t>
  </si>
  <si>
    <t>aa0a35ef729446a29bd9f1da4bf714c5</t>
  </si>
  <si>
    <t>176f8522169c4f24b0de3cdb47d882e8</t>
  </si>
  <si>
    <t>8758d01043db49a4a85005a02ad0d063</t>
  </si>
  <si>
    <t>301200188</t>
  </si>
  <si>
    <t>焊接钢管</t>
  </si>
  <si>
    <t>SUS304 Φ22×1.5</t>
  </si>
  <si>
    <t>5af7cc8c93214dd885bdf30117dc5a23</t>
  </si>
  <si>
    <t>177d1bfa9aae4d3396854746de2e0bf5</t>
  </si>
  <si>
    <t>e0c15e5aaf0241908cef5f3531265feb</t>
  </si>
  <si>
    <t>201503655</t>
  </si>
  <si>
    <t>SBV-A09-001251(Q219A)</t>
  </si>
  <si>
    <t>459fe3993d3d4d879c48203b401dbc39</t>
  </si>
  <si>
    <t>17fa6b6f1bb24601a39dfc141c1225e7</t>
  </si>
  <si>
    <t>644af10dc01b40e39bbad1adac4d9d23</t>
  </si>
  <si>
    <t>301220121</t>
  </si>
  <si>
    <t>六角不锈钢棒</t>
  </si>
  <si>
    <t>SUS303 S30</t>
  </si>
  <si>
    <t>adec04d5cab744699ca495863cb4e75f</t>
  </si>
  <si>
    <t>184a5e2fbfd94017a59f3fe3aa887610</t>
  </si>
  <si>
    <t>e22bac81300e446aa303e79a3eabc362</t>
  </si>
  <si>
    <t>301220241</t>
  </si>
  <si>
    <t>00Cr13Si2S Φ10.82</t>
  </si>
  <si>
    <t>8f373ae9c3b741458d687acb64493939</t>
  </si>
  <si>
    <t>185f2c7b26cd4a89b03e1af2df826e22</t>
  </si>
  <si>
    <t>139681520f5d45d099e4f6648a8b8b06</t>
  </si>
  <si>
    <t>301220171</t>
  </si>
  <si>
    <t>SUS303 Φ8</t>
  </si>
  <si>
    <t>18a4f1cd32244e7c9e5cfe6c8279d434</t>
  </si>
  <si>
    <t>18736c95df9a4fd9bcf180986b35a18f</t>
  </si>
  <si>
    <t>3b327f8fdee24a488a07bb9a9532c5ee</t>
  </si>
  <si>
    <t>301050735</t>
  </si>
  <si>
    <t>TP2 H02 Φ14.2(×1)</t>
  </si>
  <si>
    <t>7c81fc2638324051a74e0f15ed3b4044</t>
  </si>
  <si>
    <t>18db269bba9246b391c6abc6863f2537</t>
  </si>
  <si>
    <t>b71fb2cee310461588a54babbd4ded8c</t>
  </si>
  <si>
    <t>301050626</t>
  </si>
  <si>
    <t>TP2 M2 Ф18×1.2 LWC</t>
  </si>
  <si>
    <t>c9c8af52871f472c97262d057f6f11f6</t>
  </si>
  <si>
    <t>19618613098d47c4918acb60c4a0ff7c</t>
  </si>
  <si>
    <t>f270d3d6dd3b49acb1468daea60bccd8</t>
  </si>
  <si>
    <t>301080016</t>
  </si>
  <si>
    <t>QA-1/155+s Φ0.20</t>
  </si>
  <si>
    <t>78b4614122d84ff0adc4e5eb61f60c14</t>
  </si>
  <si>
    <t>197be26df16e4d2280eb95c98ec18de7</t>
  </si>
  <si>
    <t>79c9c8c9bb44436aa7e2d9ead7d885fa</t>
  </si>
  <si>
    <t>721300177</t>
  </si>
  <si>
    <t>罩盖毛坯</t>
  </si>
  <si>
    <t>VPF100-069003</t>
  </si>
  <si>
    <t>cb0f852575f44663ab85634b2e8f1c63</t>
  </si>
  <si>
    <t>1989fcd408214971ae85e7c073e20fea</t>
  </si>
  <si>
    <t>53c643440de3469e91e89bbebe907371</t>
  </si>
  <si>
    <t>301240416</t>
  </si>
  <si>
    <t>带12R11 1250 t0.12×54</t>
  </si>
  <si>
    <t>ddaf587bdfcf489fb8e3f0527a999d87</t>
  </si>
  <si>
    <t>1a61ce4d39ad4e828737cabb50310c98</t>
  </si>
  <si>
    <t>7b7d7c925cfb4ed89e59c69718f8da9d</t>
  </si>
  <si>
    <t>301210119</t>
  </si>
  <si>
    <t>SUS304 Φ28×0.8</t>
  </si>
  <si>
    <t>cb8563b0b5654a0681aa2b4e24e5c291</t>
  </si>
  <si>
    <t>1aa905c380fe4ab3b5e04d1a2ce15eec</t>
  </si>
  <si>
    <t>2932685a2d3c47fc8a7b26dbcf44fbda</t>
  </si>
  <si>
    <t>301050080</t>
  </si>
  <si>
    <t>TP2 Y2 Φ25.4×1.8</t>
  </si>
  <si>
    <t>949d70e6a1c7447c9b44724ddc509799</t>
  </si>
  <si>
    <t>1b01d3119a354ac99e67e804ab75222a</t>
  </si>
  <si>
    <t>1c9e9362e53b4b9f9151002b240b119e</t>
  </si>
  <si>
    <t>301230070</t>
  </si>
  <si>
    <t>易切削钢棒</t>
  </si>
  <si>
    <t>12L14 S19</t>
  </si>
  <si>
    <t>d02fd4e579d74c7ead887a28cf71555e</t>
  </si>
  <si>
    <t>1b7e241daa294572a9d9d5e33a1921f2</t>
  </si>
  <si>
    <t>de21bce27bfe4fe5933cb34db791b437</t>
  </si>
  <si>
    <t>301050082</t>
  </si>
  <si>
    <t>TP2 Y2 Φ26(ID)×1.0</t>
  </si>
  <si>
    <t>b100a43ece2c41279b62d5b1e8b9b6a6</t>
  </si>
  <si>
    <t>1c2d0d97f47046b1be2788a7729a0cf8</t>
  </si>
  <si>
    <t>fd2628bdb9e4451a8db493ecc49d4667</t>
  </si>
  <si>
    <t>301240130</t>
  </si>
  <si>
    <t>SUS304 t0.5×40</t>
  </si>
  <si>
    <t>2e8f17a899fa480dab48ce9286e13b56</t>
  </si>
  <si>
    <t>1d765a65516a49adbb844583e2a2ec4b</t>
  </si>
  <si>
    <t>a1f90e10c99141709b3ceedfc6a45adc</t>
  </si>
  <si>
    <t>201360021</t>
  </si>
  <si>
    <t>LPF-017003</t>
  </si>
  <si>
    <t>2472e814e5d04194ada10ec0020c3bc3</t>
  </si>
  <si>
    <t>1d80c29d3d7b476c958be4370ed3d3d2</t>
  </si>
  <si>
    <t>3d3c2782978c4328866f8987adeffa30</t>
  </si>
  <si>
    <t>339982507</t>
  </si>
  <si>
    <t>弹簧钢丝</t>
  </si>
  <si>
    <t>Φ1.6/油55CrSi</t>
  </si>
  <si>
    <t>a5260866280a4fd0ab50175b6cb9e8a7</t>
  </si>
  <si>
    <t>1d8b32d32897475e9d6b6675ff55567d</t>
  </si>
  <si>
    <t>b6c583cde6aa41bebbf8ed07c212b535</t>
  </si>
  <si>
    <t>301110374</t>
  </si>
  <si>
    <t>六角黄铜棒</t>
  </si>
  <si>
    <t>C3602 S14</t>
  </si>
  <si>
    <t>fbf69bd9fbe04bcebcbbdfc9b6677938</t>
  </si>
  <si>
    <t>1e0c74816e294edd824e526369336b99</t>
  </si>
  <si>
    <t>88196ea131e942cf8983f48e448fc329</t>
  </si>
  <si>
    <t>201503345</t>
  </si>
  <si>
    <t>SBV-A04-001254(Q221A)</t>
  </si>
  <si>
    <t>48d7ccdfdaab4dbebde1b696e1e14936</t>
  </si>
  <si>
    <t>1e78f0f46fb34345a8e0eb4b4c9668db</t>
  </si>
  <si>
    <t>d8a2d2d6c7fa4787bb3e2791b6c346b6</t>
  </si>
  <si>
    <t>301240382</t>
  </si>
  <si>
    <t>SUS304 t0.8×48</t>
  </si>
  <si>
    <t>a5b82882bbb94f6d928be1779b71b4d4</t>
  </si>
  <si>
    <t>1f75cc5d50094e378b7035e61e294050</t>
  </si>
  <si>
    <t>a03832370ae047a3894ed4b50462550b</t>
  </si>
  <si>
    <t>301110046</t>
  </si>
  <si>
    <t>C3604BDS Φ21.8</t>
  </si>
  <si>
    <t>b8f6eddfc7b94625b37647f2b1a3e70c</t>
  </si>
  <si>
    <t>20a8891c14144439a547b0ad6a2b910e</t>
  </si>
  <si>
    <t>fe51d51388fc4dbbaf7720715ee676a0</t>
  </si>
  <si>
    <t>301220341</t>
  </si>
  <si>
    <t>00Cr18Si2Mo2 Φ9.82</t>
  </si>
  <si>
    <t>acf8c47457424c74acde89f56f5581d8</t>
  </si>
  <si>
    <t>20b8485913494438a9ac1760c38af6c3</t>
  </si>
  <si>
    <t>7dc238af0dad4b5ea1ba2e8e558ac6a5</t>
  </si>
  <si>
    <t>301050162</t>
  </si>
  <si>
    <t>TP2 Y2 Φ66.68×3.8</t>
  </si>
  <si>
    <t>c03a4ff0e6cb423bba2cd6d7443c7856</t>
  </si>
  <si>
    <t>20db22335019495c9836dda7a7be64fe</t>
  </si>
  <si>
    <t>478c0239b9d9461cb8c8d3707a05ebda</t>
  </si>
  <si>
    <t>203560052</t>
  </si>
  <si>
    <t>PYF010-026002</t>
  </si>
  <si>
    <t>788036f0f71b4d1281e07021726cab96</t>
  </si>
  <si>
    <t>2104a727631a458197001a9551cc1c3f</t>
  </si>
  <si>
    <t>af41f3d2c49d43e282bdeed107eee7da</t>
  </si>
  <si>
    <t>201502256</t>
  </si>
  <si>
    <t>SBV-B10-001152</t>
  </si>
  <si>
    <t>d1848ce13d2d46d8839fb58b21e59745</t>
  </si>
  <si>
    <t>211be0bd8f0742779a51e235c27fef4f</t>
  </si>
  <si>
    <t>b021695dafc3420a85f518a6b2c6cb8c</t>
  </si>
  <si>
    <t>301200264</t>
  </si>
  <si>
    <t>SUS304 Φ29×0.75</t>
  </si>
  <si>
    <t>3ee1322db7cc4fe98f24a4b97d182e25</t>
  </si>
  <si>
    <t>2167b9d5018246188e247c4d4da2715d</t>
  </si>
  <si>
    <t>2a9deac565074979bc4b38ab7677adf3</t>
  </si>
  <si>
    <t>9810000080233</t>
  </si>
  <si>
    <t>铜包铝圆线</t>
  </si>
  <si>
    <t>CCAW/QZY - 1/180_Φ0.1_黄色</t>
  </si>
  <si>
    <t>CCAW/QZY - 1/180</t>
  </si>
  <si>
    <t>46819620583e4ad19fffd7be26ce0c41</t>
  </si>
  <si>
    <t>21a3f63ca23e46039ce1dbd9c3d6ec27</t>
  </si>
  <si>
    <t>34a486c044ea49ac84b28956895c8200</t>
  </si>
  <si>
    <t>301110020</t>
  </si>
  <si>
    <t>C3602 Φ13</t>
  </si>
  <si>
    <t>743f451b58374974b364b56a956b870b</t>
  </si>
  <si>
    <t>21a861da898c4a019f9fd53d3df84021</t>
  </si>
  <si>
    <t>9f16a06726be46c9aa9c3b159bc99d9f</t>
  </si>
  <si>
    <t>201290502</t>
  </si>
  <si>
    <t>HDF19H-004001</t>
  </si>
  <si>
    <t>ba7d5261fcb3487da90a0cae068b5572</t>
  </si>
  <si>
    <t>21b06c42c3504469918c01c080ae3b4d</t>
  </si>
  <si>
    <t>59172add5a0742279d0f0950a3e3f6d1</t>
  </si>
  <si>
    <t>201290307</t>
  </si>
  <si>
    <t>HDF10HM-004002</t>
  </si>
  <si>
    <t>0fdf9620cde54fac9a7521deffefb7a7</t>
  </si>
  <si>
    <t>21c789ddbc434359906807eb219cb0f4</t>
  </si>
  <si>
    <t>77806109eed24bf8a678dd318e59ceac</t>
  </si>
  <si>
    <t>721250128</t>
  </si>
  <si>
    <t>MDF-A01-004004</t>
  </si>
  <si>
    <t>38392900867945d4bc18eadff8a44d34</t>
  </si>
  <si>
    <t>2274de1ef5564f95ba2ad8ea41452833</t>
  </si>
  <si>
    <t>199d43b0bd404228a58422d6bacc256f</t>
  </si>
  <si>
    <t>301110048</t>
  </si>
  <si>
    <t>C3604BDS Φ5</t>
  </si>
  <si>
    <t>506df609922d4295a349441adb7dfb23</t>
  </si>
  <si>
    <t>22b67ea019134991a21a1d66ccff3fbe</t>
  </si>
  <si>
    <t>d143fa0ee7f34abcaf0f4acfebed5172</t>
  </si>
  <si>
    <t>201503708</t>
  </si>
  <si>
    <t>SBV-A05-001271</t>
  </si>
  <si>
    <t>3f7e157231a54db9aa4a204a2f60990c</t>
  </si>
  <si>
    <t>23105937b80e4ac084d82d796b2666c4</t>
  </si>
  <si>
    <t>660b548c31794a6b9e8c29375ef0cb39</t>
  </si>
  <si>
    <t>201220027</t>
  </si>
  <si>
    <t>主阀盖毛坯</t>
  </si>
  <si>
    <t>SDF15L-015001</t>
  </si>
  <si>
    <t>652f4ee2386740279876abab4933b150</t>
  </si>
  <si>
    <t>231e5d21abed45c49b43a676f21e4351</t>
  </si>
  <si>
    <t>1d6248b4df8f40c9bf3bf8105af1b916</t>
  </si>
  <si>
    <t>301220021</t>
  </si>
  <si>
    <t>SUS303F Φ3.5</t>
  </si>
  <si>
    <t>ea3a09ac2e304380b86f544c7ad8e469</t>
  </si>
  <si>
    <t>2439506e63214fa5a8e14581f82e0f5a</t>
  </si>
  <si>
    <t>bf3c44073f43471dbd88a4ae7e0946c7</t>
  </si>
  <si>
    <t>301050749</t>
  </si>
  <si>
    <t>TP2 H02 Φ24×1.5</t>
  </si>
  <si>
    <t>e049cd1de0334149b41e468bf5cf4fcf</t>
  </si>
  <si>
    <t>247a3fe21c8841ff9226f610bd4ec164</t>
  </si>
  <si>
    <t>cf4e1baec35b41da885fe9fb38d4a1a4</t>
  </si>
  <si>
    <t>301220304</t>
  </si>
  <si>
    <t>SUS303Cu(B) Φ18</t>
  </si>
  <si>
    <t>8e1bc256077e4f22a12cd83a7a21ad6f</t>
  </si>
  <si>
    <t>24bc6eb1cadb452a86e061c3c7a7f089</t>
  </si>
  <si>
    <t>8dc56be33bb24f7c85b27f608b56e1a6</t>
  </si>
  <si>
    <t>201500013</t>
  </si>
  <si>
    <t>SBV-B06-001019(Q007A)</t>
  </si>
  <si>
    <t>d798783f4cb947cf95bfe077a01d7103</t>
  </si>
  <si>
    <t>24ec565befcd411899236d95e2924cdd</t>
  </si>
  <si>
    <t>240a2c04b6e44443aacbb104d6bc9ddd</t>
  </si>
  <si>
    <t>301110385</t>
  </si>
  <si>
    <t>C3771 φ8</t>
  </si>
  <si>
    <t>fd3c4ce48d6b41559cfa5f4d46b329d1</t>
  </si>
  <si>
    <t>25d719fc6ad24fe598a02035c90a93c4</t>
  </si>
  <si>
    <t>2d175cce12944b6a919740a089422fd2</t>
  </si>
  <si>
    <t>301050053</t>
  </si>
  <si>
    <t>TP2 Y2 Φ19.8(ID)×1.2</t>
  </si>
  <si>
    <t>a6ca717edf554ac8a0626acdc99b47f4</t>
  </si>
  <si>
    <t>260cda5f5f75442381b9a2659d549c98</t>
  </si>
  <si>
    <t>2458864aae054190b54cfbb68265247e</t>
  </si>
  <si>
    <t>201290129</t>
  </si>
  <si>
    <t>HDF6H-004002</t>
  </si>
  <si>
    <t>951ed91982784d97a6e0ea56b4a8e8cc</t>
  </si>
  <si>
    <t>2617a64728034122a21d9818ab977b0d</t>
  </si>
  <si>
    <t>ff5420f3622242d3a44e02c52882cece</t>
  </si>
  <si>
    <t>301060022</t>
  </si>
  <si>
    <t>TP2 M2 Φ9.52×0.8 LWC</t>
  </si>
  <si>
    <t>b37e27eddcf54b209f4c83c9b37ba3d3</t>
  </si>
  <si>
    <t>261c283c0cc54290a7c9291bb2c249fe</t>
  </si>
  <si>
    <t>e59d32d3580a4ece98d2123cd347859f</t>
  </si>
  <si>
    <t>301200247</t>
  </si>
  <si>
    <t>SUS304 Φ38×1.2</t>
  </si>
  <si>
    <t>0b01c206f9094e919aa34f95523aede4</t>
  </si>
  <si>
    <t>281d16ab781240df8981a62bc540c0ed</t>
  </si>
  <si>
    <t>7a5867add46a4e5f9d549f37d27179ab</t>
  </si>
  <si>
    <t>301110043</t>
  </si>
  <si>
    <t>C3604BDS Φ16</t>
  </si>
  <si>
    <t>cd881a856c634f29adf2d67faa697586</t>
  </si>
  <si>
    <t>287cda279d994005b58e2e58ec978bcd</t>
  </si>
  <si>
    <t>a7f0632f11d3475fbeea596af87d06be</t>
  </si>
  <si>
    <t>301110532</t>
  </si>
  <si>
    <t>(FZ-2)C3531BDF Φ17×3000</t>
  </si>
  <si>
    <t>185bfe4128364a16bb7d00f8fda3e3d3</t>
  </si>
  <si>
    <t>2893f26431aa4a8ba844774450561ebb</t>
  </si>
  <si>
    <t>951b7065932c49c7a9fc0344fd820916</t>
  </si>
  <si>
    <t>201500048</t>
  </si>
  <si>
    <t>SBV-A05-001109(Q105A)</t>
  </si>
  <si>
    <t>edb727882ac54fda947411b782fdf426</t>
  </si>
  <si>
    <t>28b8bf78e0e64a1cb76d4d01ddcc77b4</t>
  </si>
  <si>
    <t>02282a24dae1485880e8b82742633a79</t>
  </si>
  <si>
    <t>301110572</t>
  </si>
  <si>
    <t>铜棒</t>
  </si>
  <si>
    <t>C3771 Φ78</t>
  </si>
  <si>
    <t>fbb24583b2694ea38988cc627d646805</t>
  </si>
  <si>
    <t>29633803eb014fd18934fa17220a4ee0</t>
  </si>
  <si>
    <t>cac5384992b24bbd9b036036cc7e9a80</t>
  </si>
  <si>
    <t>202050366</t>
  </si>
  <si>
    <t>RFG-K04-001001</t>
  </si>
  <si>
    <t>bebab0f758794326a7ef672569b91032</t>
  </si>
  <si>
    <t>296a71c50e9b4116b822cba431020167</t>
  </si>
  <si>
    <t>bc6d1ea40b994ab59976d40fe2a1db27</t>
  </si>
  <si>
    <t>301230076</t>
  </si>
  <si>
    <t>12L14 φ32</t>
  </si>
  <si>
    <t>452f4c775edc46ae9a96555df80cfbc2</t>
  </si>
  <si>
    <t>29c57054682c4d9cbecb6c0e4dd56c41</t>
  </si>
  <si>
    <t>6864caf07e404b9baf11ff972d4fc806</t>
  </si>
  <si>
    <t>301050767</t>
  </si>
  <si>
    <t>TP2 Y2 Φ11.3(ID)×0.95</t>
  </si>
  <si>
    <t>f134fa7a00264c23be2719e0981e43b6</t>
  </si>
  <si>
    <t>29e6611d9cff4d1eba412665d56728a3</t>
  </si>
  <si>
    <t>7423d1002424485ba3729eaa98750db5</t>
  </si>
  <si>
    <t>301220052</t>
  </si>
  <si>
    <t>00Cr13Si2 Φ14</t>
  </si>
  <si>
    <t>44cf00071d084dd58f62266af4dcc241</t>
  </si>
  <si>
    <t>2b190a44823645c5bd711fb70e9998dc</t>
  </si>
  <si>
    <t>5f13a477640f45e182fab5636106bfb7</t>
  </si>
  <si>
    <t>301060247</t>
  </si>
  <si>
    <t>TP2 Y2 Φ12.7×0.8 LWC</t>
  </si>
  <si>
    <t>1cadccca3a164ef681ee00a2ec870d34</t>
  </si>
  <si>
    <t>2b8252d8cc9c4f7a854e299ba22ea244</t>
  </si>
  <si>
    <t>d5f500488d054a45924db3c7b49803c8</t>
  </si>
  <si>
    <t>741220016</t>
  </si>
  <si>
    <t>00Cr18Si2Mo2 Φ11.65</t>
  </si>
  <si>
    <t>da574fc27504440580d8a85b6e479309</t>
  </si>
  <si>
    <t>2d8d7a9b8dce4393b99e534118275191</t>
  </si>
  <si>
    <t>c03ec23bdbcf40e9814103e829a0cb4a</t>
  </si>
  <si>
    <t>201300718</t>
  </si>
  <si>
    <t>螺母毛坯</t>
  </si>
  <si>
    <t>DPF-Q01-020001</t>
  </si>
  <si>
    <t>1333e0680a45488983d87560be818d83</t>
  </si>
  <si>
    <t>2dc1c3d6f81741c3b85e974c5ff89c1b</t>
  </si>
  <si>
    <t>4b80e3e6a2e242ae9df35b0a75f78a57</t>
  </si>
  <si>
    <t>301110122</t>
  </si>
  <si>
    <t>C3604 Φ35</t>
  </si>
  <si>
    <t>4650a6bfbce5430a9997b4d8e29b3282</t>
  </si>
  <si>
    <t>2e4d3aad0d0944a0b899b4c031abc061</t>
  </si>
  <si>
    <t>39d184ab45c14c4eaea288ed8432d0de</t>
  </si>
  <si>
    <t>201850434</t>
  </si>
  <si>
    <t>YCQB02-003010</t>
  </si>
  <si>
    <t>db7dfc7b6a564b7393edd9d358264ada</t>
  </si>
  <si>
    <t>2f1f4ba5edfc4b1cace1b7d2711daca6</t>
  </si>
  <si>
    <t>e94924490e8642bc8e27eaf2554b2a68</t>
  </si>
  <si>
    <t>301240250</t>
  </si>
  <si>
    <t>带12R11 1250 t0.12×29</t>
  </si>
  <si>
    <t>9a66894a815341edbc9a455f24ea3e13</t>
  </si>
  <si>
    <t>2f94bd6fd60c4efeb4e61e36e85ee979</t>
  </si>
  <si>
    <t>02cb487648e545298c118c99d3174051</t>
  </si>
  <si>
    <t>201502732</t>
  </si>
  <si>
    <t>SBV-A13-001205(Q179A)</t>
  </si>
  <si>
    <t>be5533ee80514d518d0564d885a533f7</t>
  </si>
  <si>
    <t>304c6bf6a7f14a6d9bb04932e5e3f67a</t>
  </si>
  <si>
    <t>e19375d1bb7e4140b21d604810685663</t>
  </si>
  <si>
    <t>301220247</t>
  </si>
  <si>
    <t>SUS304(B) Φ12</t>
  </si>
  <si>
    <t>c8cccb24bca3454e8ae1a2678962932f</t>
  </si>
  <si>
    <t>3059f7afcaf74c9eb1540aebf064e245</t>
  </si>
  <si>
    <t>873f014501094d45979fba7c3d87f204</t>
  </si>
  <si>
    <t>721250062</t>
  </si>
  <si>
    <t>MDF-A01-015001</t>
  </si>
  <si>
    <t>f0428a1c24d8452daff9a09165f0211c</t>
  </si>
  <si>
    <t>307a975a01194c0c94bcebedfdd3a1df</t>
  </si>
  <si>
    <t>12bbf9651b314b38a4e4f707e79d4f2a</t>
  </si>
  <si>
    <t>301210230</t>
  </si>
  <si>
    <t>022Cr19Ni10 Φ36×1.15</t>
  </si>
  <si>
    <t>07f69c1745e7436b8ffcc9ff3159b449</t>
  </si>
  <si>
    <t>308206ec149f43e99d653349795d5f2d</t>
  </si>
  <si>
    <t>63c10830a3584197b79bd731cbfd1da3</t>
  </si>
  <si>
    <t>201500008</t>
  </si>
  <si>
    <t>SBV-A29-001122(Q116A)</t>
  </si>
  <si>
    <t>d20f742856b4449abf8a3a73270a3b98</t>
  </si>
  <si>
    <t>30a7bf3391994b91b51419fe88a0ac66</t>
  </si>
  <si>
    <t>411e97952d1144578037d5f09586a6f4</t>
  </si>
  <si>
    <t>301220178</t>
  </si>
  <si>
    <t>SUS303 Φ27</t>
  </si>
  <si>
    <t>be0459a2bfbc41f6bd093f6ad411e218</t>
  </si>
  <si>
    <t>30ac390a0062491995c2d038eee32ed0</t>
  </si>
  <si>
    <t>120d9f9325ab4b6cbac509506b3e118d</t>
  </si>
  <si>
    <t>1109000300038</t>
  </si>
  <si>
    <t>SYJ-A00-919024</t>
  </si>
  <si>
    <t>f9e60aa2eeae4d30be08d908a4c52536</t>
  </si>
  <si>
    <t>3100b86733db489e8aacc06413134862</t>
  </si>
  <si>
    <t>46415b1400544c3eb6820f6e3b9f846b</t>
  </si>
  <si>
    <t>201500036</t>
  </si>
  <si>
    <t>SBV-B10-001060(Q075A)</t>
  </si>
  <si>
    <t>22c6166fed834311b823fc093ecc339a</t>
  </si>
  <si>
    <t>3114b080ed054be1849550901f2e9839</t>
  </si>
  <si>
    <t>15b8d51c03744fe28e44d056718d5db7</t>
  </si>
  <si>
    <t>301220027</t>
  </si>
  <si>
    <t>SUS304 Φ12</t>
  </si>
  <si>
    <t>b31f71944f524e84be923b4d53648996</t>
  </si>
  <si>
    <t>3190510a3b944986a8a3a8a7fe74b0e5</t>
  </si>
  <si>
    <t>c69cbaead8ea406bb57b5bb2cbaa404a</t>
  </si>
  <si>
    <t>721250067</t>
  </si>
  <si>
    <t>MDF-B01-015001</t>
  </si>
  <si>
    <t>4cb88d39799e4f5298d1dd51b4c94299</t>
  </si>
  <si>
    <t>3198ab3f9f4947989961873b760c4198</t>
  </si>
  <si>
    <t>63a7363d59424b94b1af71b629690d3d</t>
  </si>
  <si>
    <t>201500003</t>
  </si>
  <si>
    <t>SBV-B05-001009(F115B)</t>
  </si>
  <si>
    <t>fe5c8090f1204ebfa70fe36bea6919a4</t>
  </si>
  <si>
    <t>31cc1fc63c2b4c67adfb63ca7251f4cb</t>
  </si>
  <si>
    <t>ae6d2b1e40a248b6932e61e133d23c54</t>
  </si>
  <si>
    <t>201502735</t>
  </si>
  <si>
    <t>SBV-A25-001208(Q182A)</t>
  </si>
  <si>
    <t>8d1bb7929ab74be58e8eadb964fa20f5</t>
  </si>
  <si>
    <t>31e91f1f205947f484e68d7961cdc859</t>
  </si>
  <si>
    <t>1df79c25719e43d587da674926c9ff75</t>
  </si>
  <si>
    <t>203259596</t>
  </si>
  <si>
    <t>阀座（毛坯）</t>
  </si>
  <si>
    <t>SHF-G20-926001</t>
  </si>
  <si>
    <t>b6b4b05a72a14a46b642beda3c341502</t>
  </si>
  <si>
    <t>31f175868b694e7a975eb31b62a2d35a</t>
  </si>
  <si>
    <t>514a21f01cd34d02b5e3236f620a6b0d</t>
  </si>
  <si>
    <t>201500023</t>
  </si>
  <si>
    <t>SBV-B03-001046(Q056A)</t>
  </si>
  <si>
    <t>2aa7db0fc0e84e79b443ddf5bd654e62</t>
  </si>
  <si>
    <t>324bf5a0954a40d692943229751dcd8b</t>
  </si>
  <si>
    <t>99ac2fd18e9c4394b54ae0cd34d52d16</t>
  </si>
  <si>
    <t>201220067</t>
  </si>
  <si>
    <t>SDF25L-004001</t>
  </si>
  <si>
    <t>1a4079ee77e946b79366957d61410fd7</t>
  </si>
  <si>
    <t>330c789c919343cabbb712af7aea7374</t>
  </si>
  <si>
    <t>97894dd1336442ff87776aa9ce6e3f11</t>
  </si>
  <si>
    <t>301210083</t>
  </si>
  <si>
    <t>SUS304 φ12.7×0.8</t>
  </si>
  <si>
    <t>87ded0efb0f04915815be4b5d235265e</t>
  </si>
  <si>
    <t>334d94d159e34fd6a3a1136ce2f57c72</t>
  </si>
  <si>
    <t>2bbc6966d9634527b89a48b9d6e3da8f</t>
  </si>
  <si>
    <t>201502235</t>
  </si>
  <si>
    <t>SBV-A07-001137(Q129B)</t>
  </si>
  <si>
    <t>4c3ce22fcd0c4ed9a23482deb497de5e</t>
  </si>
  <si>
    <t>335bb39d4dcf4eb9846e9bd0d205d38b</t>
  </si>
  <si>
    <t>b669dec7c62b47d5a7f72d35a3022ea5</t>
  </si>
  <si>
    <t>301200199</t>
  </si>
  <si>
    <t>SUS304 Φ19×0.7</t>
  </si>
  <si>
    <t>7fb950be2ee84141aa4455609b972d9f</t>
  </si>
  <si>
    <t>33fe221ae1094b17822bcd8af8e207c3</t>
  </si>
  <si>
    <t>e7691a4a9bd247bf8a08104a4dc5224d</t>
  </si>
  <si>
    <t>301050049</t>
  </si>
  <si>
    <t>TP2 Y2 Φ19.05×1.2</t>
  </si>
  <si>
    <t>589bbe3869244164a76024ff62a8c363</t>
  </si>
  <si>
    <t>3445fa0b2982462b8da2ae413c1fac3b</t>
  </si>
  <si>
    <t>b578e797629f470a9c2da1ddd2132675</t>
  </si>
  <si>
    <t>1001000300322</t>
  </si>
  <si>
    <t>MZF20H-015001,电镀(锌/锡/镍/PTFE/铜)</t>
  </si>
  <si>
    <t>e2f00f59932640fdb2b3bf5a89a0c12a</t>
  </si>
  <si>
    <t>346ddae3bf994c5e910f6cd8f9003357</t>
  </si>
  <si>
    <t>24546bbbdf964d8fa9b585748e4f3365</t>
  </si>
  <si>
    <t>301110663</t>
  </si>
  <si>
    <t>C3771BDS φ10</t>
  </si>
  <si>
    <t>51876b0cd7aa437cb96f030a22605551</t>
  </si>
  <si>
    <t>356ce5ab327946a2adfb7a871f7f1eea</t>
  </si>
  <si>
    <t>07ca74da90fb405b8ea7e2b2e36fbcb5</t>
  </si>
  <si>
    <t>201290496</t>
  </si>
  <si>
    <t>HDF43H-004001</t>
  </si>
  <si>
    <t>712884f62a4843d39df52808a165f508</t>
  </si>
  <si>
    <t>358663e8491c48738238d65d3095ab93</t>
  </si>
  <si>
    <t>77235b054f324677ac3038dead6c44d4</t>
  </si>
  <si>
    <t>301110553</t>
  </si>
  <si>
    <t>C3771 φ18</t>
  </si>
  <si>
    <t>7f6c8ebc4e54420da6c1450fb1495b76</t>
  </si>
  <si>
    <t>358f8192c5454bd983c38a6853b4037d</t>
  </si>
  <si>
    <t>f7447ce4e9bb47aa80aa66964b00b214</t>
  </si>
  <si>
    <t>301230095</t>
  </si>
  <si>
    <t>DT4 Φ28</t>
  </si>
  <si>
    <t>9b2630b5763d44c181b971e894fdbfd6</t>
  </si>
  <si>
    <t>35d41e12c9ba4ee69202a400090c76b5</t>
  </si>
  <si>
    <t>8f49aea21564433d9b12f67b0227ee8f</t>
  </si>
  <si>
    <t>301240282</t>
  </si>
  <si>
    <t>022Cr19Ni10(139.1×1.3)</t>
  </si>
  <si>
    <t>c5152f26cd90432690a7dd5774a9a4af</t>
  </si>
  <si>
    <t>3609cdca604f4262b5e74c24318e96d6</t>
  </si>
  <si>
    <t>ede37c297cd24774a3aab3ebecce9089</t>
  </si>
  <si>
    <t>301210109</t>
  </si>
  <si>
    <t>SUS304 Φ22×1.2</t>
  </si>
  <si>
    <t>876aeb96dfb04701ac990c1c423993c1</t>
  </si>
  <si>
    <t>3616fe4de58548cf8cd18e79fe131a66</t>
  </si>
  <si>
    <t>7b4c051ba66b4c85b1134e194ce458f1</t>
  </si>
  <si>
    <t>301050014</t>
  </si>
  <si>
    <t>TP2 Y2 Φ12.7×1.0</t>
  </si>
  <si>
    <t>db2cf62d77b84634a63c9e1d045dd8e4</t>
  </si>
  <si>
    <t>36298b5cde1b4209ae9e756a7c79c2ee</t>
  </si>
  <si>
    <t>af234b8318e14251b26f3abe8ea46fcd</t>
  </si>
  <si>
    <t>301050748</t>
  </si>
  <si>
    <t>TP2 H02 Φ20.8×1.2</t>
  </si>
  <si>
    <t>6094c5e442af492bb6208ae4f53fe8e0</t>
  </si>
  <si>
    <t>366dabf858fe4073a014ffb9e804b2c5</t>
  </si>
  <si>
    <t>3c05fb90cf784371aca1f56caedf731d</t>
  </si>
  <si>
    <t>201060055</t>
  </si>
  <si>
    <t>MZF20H-004001</t>
  </si>
  <si>
    <t>1aaf11bf53cf40fb8ebecf67fa091f56</t>
  </si>
  <si>
    <t>36dbe439ac704ba3a6e89180c1fd0b16</t>
  </si>
  <si>
    <t>39157f97b91944099b00547f16b31cd0</t>
  </si>
  <si>
    <t>202010146</t>
  </si>
  <si>
    <t>RFK-H04-001018</t>
  </si>
  <si>
    <t>fbc25f8ce1d540ca8bb8904de7fc0a16</t>
  </si>
  <si>
    <t>37514c816238471aa1f19953d5f528f2</t>
  </si>
  <si>
    <t>fc4663312237453a877c03542630a095</t>
  </si>
  <si>
    <t>301050711</t>
  </si>
  <si>
    <t>TP2 H02 Φ15(×1.0)A</t>
  </si>
  <si>
    <t>a880c19ac70d4ba1a9de66cbfedb43c1</t>
  </si>
  <si>
    <t>3787de59d2cb4b4b87ab3270eb8a392c</t>
  </si>
  <si>
    <t>eda0761e53c34172831bbc4d9e7393f0</t>
  </si>
  <si>
    <t>201500367</t>
  </si>
  <si>
    <t>SBV-A13-001096</t>
  </si>
  <si>
    <t>100774564b3f403ca538987f3c0bfdde</t>
  </si>
  <si>
    <t>3792a34c385f4f3e8edd23ceb1733598</t>
  </si>
  <si>
    <t>e56fb3c74eaa445c81058dfd17d01e01</t>
  </si>
  <si>
    <t>301250106</t>
  </si>
  <si>
    <t>7C27Mo2  t=0.8mm</t>
  </si>
  <si>
    <t>26589fa9790e4e9591d841154c87ea7d</t>
  </si>
  <si>
    <t>379382cfbe3841d380a185466f1f9341</t>
  </si>
  <si>
    <t>801b90d9d7c34b9483d3036e68ea944f</t>
  </si>
  <si>
    <t>301220057</t>
  </si>
  <si>
    <t>00Cr18Si2Mo2 Φ11</t>
  </si>
  <si>
    <t>69e84c23f05f4dfe9ccbe6655cdb0c70</t>
  </si>
  <si>
    <t>37f8551b14dc4bf2b57875f12568d04c</t>
  </si>
  <si>
    <t>c5e61c862e0d4198a8f2e1794f7c29fb</t>
  </si>
  <si>
    <t>301050094</t>
  </si>
  <si>
    <t>TP2 Y2 Φ35(ID)×1.6</t>
  </si>
  <si>
    <t>bda9861f5ae646149e4def8038fb557a</t>
  </si>
  <si>
    <t>383554faddb1494e9ea1cde9c93e420b</t>
  </si>
  <si>
    <t>842fb767f0bc4ecbb60a35f793d8df16</t>
  </si>
  <si>
    <t>301210205</t>
  </si>
  <si>
    <t>022Cr19Ni10 Φ57.2(ID)×1.8</t>
  </si>
  <si>
    <t>3c1c5c197e7a4e559cc9ad21681e03e7</t>
  </si>
  <si>
    <t>3856c80a7ca14ed8bae8d8292459147e</t>
  </si>
  <si>
    <t>ac9774e52958480da7d9dc7be025ffe4</t>
  </si>
  <si>
    <t>301220008</t>
  </si>
  <si>
    <t>SUS303 Φ5</t>
  </si>
  <si>
    <t>5558ee0b5cf3487195de5c8bf0f88bf2</t>
  </si>
  <si>
    <t>393d465afd1b46a69dd4a7869015040d</t>
  </si>
  <si>
    <t>679fed7303e34d68aed4938cec8c1966</t>
  </si>
  <si>
    <t>301050024</t>
  </si>
  <si>
    <t>TP2 Y2 Φ14×1.0</t>
  </si>
  <si>
    <t>fc67e5ca1e1540f5b0bc1af313f6f0ed</t>
  </si>
  <si>
    <t>39605f8574724d8cb6981c0752721234</t>
  </si>
  <si>
    <t>83ff940c5045422f949c28d379b87965</t>
  </si>
  <si>
    <t>301110013</t>
  </si>
  <si>
    <t>方形黄铜棒</t>
  </si>
  <si>
    <t>C3602 15.9×15.9</t>
  </si>
  <si>
    <t>61007fff2ff34b87a1758b4ce95b6184</t>
  </si>
  <si>
    <t>39be202e00e342d2a22c25809e9c3046</t>
  </si>
  <si>
    <t>f2851dc341094ee08cf078815734ef42</t>
  </si>
  <si>
    <t>301050109</t>
  </si>
  <si>
    <t>TP2 Y2 Φ53.98×2.5</t>
  </si>
  <si>
    <t>7e25f8f8055e4cf589faab57a39a1000</t>
  </si>
  <si>
    <t>3a685376fabb4f1e8fc3d39267ba1be1</t>
  </si>
  <si>
    <t>aeffdbb8dfc14b3daed5dcdd21f72314</t>
  </si>
  <si>
    <t>301050058</t>
  </si>
  <si>
    <t>TP2 Y2 Φ22.2×1.5</t>
  </si>
  <si>
    <t>8798c4f9d2034003929d47e60ae2dc32</t>
  </si>
  <si>
    <t>3a8c4c67b38344b7a6434283d0f695c8</t>
  </si>
  <si>
    <t>f8aedfd1060249cf9b840b92e3b0e924</t>
  </si>
  <si>
    <t>1006000300091</t>
  </si>
  <si>
    <t>SBV-B10-001300</t>
  </si>
  <si>
    <t>10728e6919d6415d95259b7bba4ef199</t>
  </si>
  <si>
    <t>3aa9c547bb92429683dbac024c9d3600</t>
  </si>
  <si>
    <t>63e657ad6db14d19ada3d549b42329ca</t>
  </si>
  <si>
    <t>201850634</t>
  </si>
  <si>
    <t>YCQB02-003012</t>
  </si>
  <si>
    <t>d5e7fbc0eb82447286cd97650d6dd15d</t>
  </si>
  <si>
    <t>3adae94a4735478faf31641b0537dff6</t>
  </si>
  <si>
    <t>77e57f41e67b434798317385dfa32d53</t>
  </si>
  <si>
    <t>301210107</t>
  </si>
  <si>
    <t>SUS304 Φ38×1.5</t>
  </si>
  <si>
    <t>a3937a5f8fe64c9e88295a83f43989ba</t>
  </si>
  <si>
    <t>3b57142d77cf4491af97df55aab4b490</t>
  </si>
  <si>
    <t>f19049b0f40646b4b336f3a7d7317ace</t>
  </si>
  <si>
    <t>202850222</t>
  </si>
  <si>
    <t>视镜座(毛坯)</t>
  </si>
  <si>
    <t>SYJ-A00-919013</t>
  </si>
  <si>
    <t>d77e1b68778245f2a7023323657498aa</t>
  </si>
  <si>
    <t>3bac0494f00847f8b32b4cb6f3da7d3b</t>
  </si>
  <si>
    <t>59adbe52caf64a97ac3b9b1b21d57d6c</t>
  </si>
  <si>
    <t>202050330</t>
  </si>
  <si>
    <t>RFG-C03-024101</t>
  </si>
  <si>
    <t>07e0b81756c043ada93f144763d2a465</t>
  </si>
  <si>
    <t>3c50dc76883c4cc29d7b35f395d1c39d</t>
  </si>
  <si>
    <t>340d2750010548c4957896547c5ad50c</t>
  </si>
  <si>
    <t>301220244</t>
  </si>
  <si>
    <t>SUS303(B) Φ14</t>
  </si>
  <si>
    <t>a7da6da18999475db39fa5ca804fd841</t>
  </si>
  <si>
    <t>3d56beb2e0fc4e6b888a565e938e3d01</t>
  </si>
  <si>
    <t>b7969620ebec469ba9756d74ec7e4a1c</t>
  </si>
  <si>
    <t>301210062</t>
  </si>
  <si>
    <t>SUS304 Φ28×1</t>
  </si>
  <si>
    <t>8a2bc2e31abe4c769d770f58695a8ed4</t>
  </si>
  <si>
    <t>3d68798edb344679812489d69cbe6949</t>
  </si>
  <si>
    <t>b08dbdeef9af479399c9f35c287d9b32</t>
  </si>
  <si>
    <t>301080029</t>
  </si>
  <si>
    <t>QA-1/180 Φ0.315</t>
  </si>
  <si>
    <t>84458183acd3448180ed921613d42883</t>
  </si>
  <si>
    <t>3d9e16b88e1c406c84a74e607b33d842</t>
  </si>
  <si>
    <t>0361caf383dc4facb85e98cc87765380</t>
  </si>
  <si>
    <t>201500024</t>
  </si>
  <si>
    <t>SBV-B04-001047(Q058A)</t>
  </si>
  <si>
    <t>8dc2cf48d2164bf5bc5e612e2435d0c4</t>
  </si>
  <si>
    <t>3db782b3e91b40e68ad2b36ea697e051</t>
  </si>
  <si>
    <t>a8dab4080667428d82d71f243d0ad1b8</t>
  </si>
  <si>
    <t>301200191</t>
  </si>
  <si>
    <t>SUS304 φ14×0.7</t>
  </si>
  <si>
    <t>7dcd2c2ec1ad478e95a4636a67acffe2</t>
  </si>
  <si>
    <t>3e0a441ba1c34f6ba682d10d59e07807</t>
  </si>
  <si>
    <t>ad95c88062c743a6be7b96186cc80f5e</t>
  </si>
  <si>
    <t>201850412</t>
  </si>
  <si>
    <t>基座毛坯</t>
  </si>
  <si>
    <t>YCQB02-020008</t>
  </si>
  <si>
    <t>112a1c755df0414fa88747e2c00676ec</t>
  </si>
  <si>
    <t>3e78d00e2dea46a7bf51cd40728fe4f7</t>
  </si>
  <si>
    <t>d08b8c3bbbb3408aac6ff22efa7d7afb</t>
  </si>
  <si>
    <t>201290329</t>
  </si>
  <si>
    <t>HDF35H-015001</t>
  </si>
  <si>
    <t>fbb279b74e664c22a595d7cbbead3021</t>
  </si>
  <si>
    <t>3e7976ad13554b7fb353a22738a3e127</t>
  </si>
  <si>
    <t>3ff94dbd176141ceb89590af560d8d79</t>
  </si>
  <si>
    <t>723050005</t>
  </si>
  <si>
    <t>ZJF-A76-001006(F389K)</t>
  </si>
  <si>
    <t>dc73a7587ada44bd9011ae5abcae15de</t>
  </si>
  <si>
    <t>3ed19eb366aa484f958e93ab0e8258c5</t>
  </si>
  <si>
    <t>6e369258c62745b88689b28a76366d34</t>
  </si>
  <si>
    <t>301110047</t>
  </si>
  <si>
    <t>C3604BDS Φ30</t>
  </si>
  <si>
    <t>287c004352b244ac82a5ed00fafe22cb</t>
  </si>
  <si>
    <t>3ee79398381748f285d035dae699e742</t>
  </si>
  <si>
    <t>fbfac0c50a1f40809b8f01aadc713750</t>
  </si>
  <si>
    <t>202050441</t>
  </si>
  <si>
    <t>封盖毛坯</t>
  </si>
  <si>
    <t>RFG-D05-063010</t>
  </si>
  <si>
    <t>cc9f124be85c47d9a70533b0ecd1fc70</t>
  </si>
  <si>
    <t>3f46203aef504d9182ada67ce2387369</t>
  </si>
  <si>
    <t>bbfd46b48cea478985ecc70cb19b0c61</t>
  </si>
  <si>
    <t>301190176</t>
  </si>
  <si>
    <t>无缝钢管</t>
  </si>
  <si>
    <t>SUS304 Φ24×6</t>
  </si>
  <si>
    <t>dbc1d6004ed84e5da9876a30bb635756</t>
  </si>
  <si>
    <t>3fc5360211c74db48f3c594292984a57</t>
  </si>
  <si>
    <t>c9dd8cd52e2c4b23beeff28ef026d088</t>
  </si>
  <si>
    <t>301080169</t>
  </si>
  <si>
    <t>Q(ZY/XY)-2/200 Φ0.85</t>
  </si>
  <si>
    <t>a2a76c690258437c8c6462bbc4415640</t>
  </si>
  <si>
    <t>407eed420f5142eb9ac5206e32529606</t>
  </si>
  <si>
    <t>15c2fcf614214f54b8b0060e9753093c</t>
  </si>
  <si>
    <t>201502516</t>
  </si>
  <si>
    <t>SBV-A10-001176</t>
  </si>
  <si>
    <t>665f211a8cca4e9c960fbf6223091a30</t>
  </si>
  <si>
    <t>40a83a5e201945a8974c4b8ec0d0dd6f</t>
  </si>
  <si>
    <t>a9b66a9ed8ba47c39caecdaccb1786b8</t>
  </si>
  <si>
    <t>301050015</t>
  </si>
  <si>
    <t>TP2 Y2 Φ12.7×1.2</t>
  </si>
  <si>
    <t>9c1aa330258f4939a3aded4d290d378b</t>
  </si>
  <si>
    <t>40b5e98426fd4876865c9c556fdfa254</t>
  </si>
  <si>
    <t>c2cc6e74ff0445a99bbf8adba631a3ef</t>
  </si>
  <si>
    <t>202850099</t>
  </si>
  <si>
    <t>SYJ-A00-919010</t>
  </si>
  <si>
    <t>eda49f5050914f54a07e794de620715c</t>
  </si>
  <si>
    <t>40fb8b0cdef84ca59c7053f31a76959a</t>
  </si>
  <si>
    <t>ce2c029ef8f645eab1c98ba24e5c1ca2</t>
  </si>
  <si>
    <t>301210198</t>
  </si>
  <si>
    <t>SUS304L Φ28×1.2</t>
  </si>
  <si>
    <t>216ca8a635c8482fae5e813a94606f5b</t>
  </si>
  <si>
    <t>419c222b169d4c459876ff3c8bbeed8b</t>
  </si>
  <si>
    <t>7098c48fa3ab48a4a9855605a62ec531</t>
  </si>
  <si>
    <t>201500042</t>
  </si>
  <si>
    <t>SBV-A06-001075(Q095A)</t>
  </si>
  <si>
    <t>a62fee0807f94ad8bc037877023837ed</t>
  </si>
  <si>
    <t>42bfd05206634bc6a6114e88aef0c3cd</t>
  </si>
  <si>
    <t>5165f8fbfea140feaa609d2e9afcb32d</t>
  </si>
  <si>
    <t>207000001</t>
  </si>
  <si>
    <t>SPF10L-901001</t>
  </si>
  <si>
    <t>30194f3b265f466fb2d5aee80e3cd6ca</t>
  </si>
  <si>
    <t>4308521d46014019b1facdecad587f82</t>
  </si>
  <si>
    <t>9a4be5bcca9b46358d86fbc03d16f60b</t>
  </si>
  <si>
    <t>301110106</t>
  </si>
  <si>
    <t>六角形黄铜棒</t>
  </si>
  <si>
    <t>C3604 S19</t>
  </si>
  <si>
    <t>ca93745cf1144703ac74d63740510b73</t>
  </si>
  <si>
    <t>43111c54465f4f099dd4090a83efe2bf</t>
  </si>
  <si>
    <t>561f5ffad73841a7865958177cab1896</t>
  </si>
  <si>
    <t>721300667</t>
  </si>
  <si>
    <t>VPF25-069001</t>
  </si>
  <si>
    <t>7fcf7c34b507424084567af8e4dd4d29</t>
  </si>
  <si>
    <t>434b3f80c37b49e79a707a913ed56bd4</t>
  </si>
  <si>
    <t>2369aa0b39234a9faef8496080df1bd1</t>
  </si>
  <si>
    <t>301050887</t>
  </si>
  <si>
    <t>TP2 Y2 Φ19.8(ID)×1.0</t>
  </si>
  <si>
    <t>98d4f537ca334d58b95bb29e8113fe5e</t>
  </si>
  <si>
    <t>438305a1fdc44aa79b627baebdfcd20e</t>
  </si>
  <si>
    <t>b88541c4f43d44d7b215abc0b6d969c4</t>
  </si>
  <si>
    <t>301110733</t>
  </si>
  <si>
    <t>C3771 Φ14</t>
  </si>
  <si>
    <t>eb3deb5288844122b2494d3105644844</t>
  </si>
  <si>
    <t>43c071335b2d435c8617878246da277e</t>
  </si>
  <si>
    <t>17910f4ba98948ae8067d642c9384ef6</t>
  </si>
  <si>
    <t>202010120</t>
  </si>
  <si>
    <t>RFK-H04-001014</t>
  </si>
  <si>
    <t>7141aac9f7d343f28790af1f9347f40c</t>
  </si>
  <si>
    <t>43d2b44a93244085b2f5d0af3a6bacba</t>
  </si>
  <si>
    <t>faef4b5a80ba4c6aaf87bade2659344c</t>
  </si>
  <si>
    <t>301240404</t>
  </si>
  <si>
    <t>11R51 1900 t0.08×49</t>
  </si>
  <si>
    <t>31487c551dce44c8971c2928ae716109</t>
  </si>
  <si>
    <t>43ef41ec20024deca6f86143193e649c</t>
  </si>
  <si>
    <t>36f4b5e593874d19a141b0efd7cacd9e</t>
  </si>
  <si>
    <t>301080038</t>
  </si>
  <si>
    <t>QZY-1/180 Φ0.1</t>
  </si>
  <si>
    <t>74a16e6c0726443ca50ab87bbdf87b42</t>
  </si>
  <si>
    <t>454f372e4ee14794baa04573f93caecb</t>
  </si>
  <si>
    <t>0711eb3a97d94af1936b0283a2eb1b8f</t>
  </si>
  <si>
    <t>301210231</t>
  </si>
  <si>
    <t>022Cr19Ni10 Φ22×0.7</t>
  </si>
  <si>
    <t>80c8b2be54364ff2866d4f8fc91d56aa</t>
  </si>
  <si>
    <t>456501f979c94d3c8ac4c34551653702</t>
  </si>
  <si>
    <t>4ed33a7a94df453e931638397ee93d5d</t>
  </si>
  <si>
    <t>741220011</t>
  </si>
  <si>
    <t>SUS303 φ48</t>
  </si>
  <si>
    <t>a7fc44d45a4e4d50b5f38634bdac83e2</t>
  </si>
  <si>
    <t>4608f2ea44284ba5869205fc123ef3e4</t>
  </si>
  <si>
    <t>597bac0e0c284a21bf6166ffdaac951d</t>
  </si>
  <si>
    <t>301050128</t>
  </si>
  <si>
    <t>TP2 Y2 Φ7.94×0.8</t>
  </si>
  <si>
    <t>6600369fef1140b58550cc46b46bbdd8</t>
  </si>
  <si>
    <t>465b3203384445c4921a9c434c431699</t>
  </si>
  <si>
    <t>46025ef404494672a4f8b38e4083257c</t>
  </si>
  <si>
    <t>201502464</t>
  </si>
  <si>
    <t>SBV-A25-001170(Q152A)</t>
  </si>
  <si>
    <t>3f0c439aab9542aabb04da34fca61b44</t>
  </si>
  <si>
    <t>469a28575b894875bfccee339e218ba5</t>
  </si>
  <si>
    <t>79f11444b1524f61b41e85f1283398d3</t>
  </si>
  <si>
    <t>301050798</t>
  </si>
  <si>
    <t>TP2 Y2 Φ13.8(ID)×1.0</t>
  </si>
  <si>
    <t>530f288fae954625821cc3b32152cc8a</t>
  </si>
  <si>
    <t>46a1d49bd9584e06b9470da0668d38c9</t>
  </si>
  <si>
    <t>6a1895451fad44ad8b7295969e321e94</t>
  </si>
  <si>
    <t>301080124</t>
  </si>
  <si>
    <t>QZY-1/180 Φ0.335</t>
  </si>
  <si>
    <t>3fff56376be547b8990e64a4042031ef</t>
  </si>
  <si>
    <t>46a27aaf84a34536a97b99e9dc4bb452</t>
  </si>
  <si>
    <t>38a36557a5cd4b378ce784d94759aa30</t>
  </si>
  <si>
    <t>201309080</t>
  </si>
  <si>
    <t>VPF250-069007</t>
  </si>
  <si>
    <t>c1b34776518b4055a95e904d6a375eac</t>
  </si>
  <si>
    <t>46e7cef8813d463481ac4d2baf7413fe</t>
  </si>
  <si>
    <t>cb1d3fabeb8741568ea5de24c9e86894</t>
  </si>
  <si>
    <t>202850254</t>
  </si>
  <si>
    <t>SYJ-A00-919017</t>
  </si>
  <si>
    <t>ec5d2a06426a4fde9a6b37f441cbe85a</t>
  </si>
  <si>
    <t>46f35e8794414ca0a2bd2bdc84e0e187</t>
  </si>
  <si>
    <t>e2c730e08e0546c4bb0dfd377d852d7e</t>
  </si>
  <si>
    <t>201502517</t>
  </si>
  <si>
    <t>SBV-A10-001177(Q156A)</t>
  </si>
  <si>
    <t>bcd4188f94fa49bf8963e5ab71f59313</t>
  </si>
  <si>
    <t>473515a72e474bebb0d7c134aaccbd88</t>
  </si>
  <si>
    <t>dabb6e24059e489fb082fb1cd765aa78</t>
  </si>
  <si>
    <t>201290492</t>
  </si>
  <si>
    <t>HDF6H-004003</t>
  </si>
  <si>
    <t>9e7ce9b92b9e4df5b536b907e31da78f</t>
  </si>
  <si>
    <t>4783d06b1aa94997972a72e0b039b55d</t>
  </si>
  <si>
    <t>efe93b27676049a495985d26f29a0ff7</t>
  </si>
  <si>
    <t>721250065</t>
  </si>
  <si>
    <t>MDF-A01-015004</t>
  </si>
  <si>
    <t>2b323fcb745a48f69455aa0aca04c7ca</t>
  </si>
  <si>
    <t>47d84245f0e84d729407c26d9ee0e2fd</t>
  </si>
  <si>
    <t>07ee17b1c8904fa19f2e521f42968fd8</t>
  </si>
  <si>
    <t>301210136</t>
  </si>
  <si>
    <t>SUS304 Φ76.1×1.6</t>
  </si>
  <si>
    <t>39dce670bbc844e2a6f81c0cbb31107b</t>
  </si>
  <si>
    <t>48118c720a094aaa84a09bd687db9cab</t>
  </si>
  <si>
    <t>2991d21cbf40458da83b2e8270cd06b5</t>
  </si>
  <si>
    <t>301050127</t>
  </si>
  <si>
    <t>TP2 Y2 Φ7.94×0.7</t>
  </si>
  <si>
    <t>1374a70d472946848bbb9e8fa973a0e2</t>
  </si>
  <si>
    <t>48239c54eaba40509796c61b5a285762</t>
  </si>
  <si>
    <t>b5a2d7b6884242fc87ac5af5f722f873</t>
  </si>
  <si>
    <t>201504449</t>
  </si>
  <si>
    <t>SBV-A04-001294(Q255A)</t>
  </si>
  <si>
    <t>d1a60abb0a364126b129bebb6f6d28e5</t>
  </si>
  <si>
    <t>482e37116a5041d18a82ee5aa52d0178</t>
  </si>
  <si>
    <t>da395238f46c4519af45ba42085c62cf</t>
  </si>
  <si>
    <t>201260030</t>
  </si>
  <si>
    <t>YDF2F-920001</t>
  </si>
  <si>
    <t>3a84c5c8f7e14fe8a7aa0010f29d8834</t>
  </si>
  <si>
    <t>4866b6319b694081a30334ad5b258a71</t>
  </si>
  <si>
    <t>b633ccdd0b7242b1a9d0939774e2cee5</t>
  </si>
  <si>
    <t>301260133</t>
  </si>
  <si>
    <t>SUS304 1240×83×1.2</t>
  </si>
  <si>
    <t>d825c7e5345a4845aaaec14f1d36e42d</t>
  </si>
  <si>
    <t>48c73d0b823246c987d0ac3bf462e01c</t>
  </si>
  <si>
    <t>ce280a1a05ec4ec2a9a71fd8533f234f</t>
  </si>
  <si>
    <t>301050125</t>
  </si>
  <si>
    <t>TP2 Y2 Φ66.68×3.5</t>
  </si>
  <si>
    <t>a5acb863d0e144528f10d9ace7942b44</t>
  </si>
  <si>
    <t>491883c24a604112944b793364fcfd8f</t>
  </si>
  <si>
    <t>54688d3abac940319390746c730e3d2e</t>
  </si>
  <si>
    <t>201200298</t>
  </si>
  <si>
    <t>FDF-F11-004002</t>
  </si>
  <si>
    <t>18a72c754de24b20ae29d2062ae1d469</t>
  </si>
  <si>
    <t>4947cd7c66cd409284be3553e01d6dd1</t>
  </si>
  <si>
    <t>904f06afa3a540679834693d9b188412</t>
  </si>
  <si>
    <t>1007000300164</t>
  </si>
  <si>
    <t>DXF-C22-001066</t>
  </si>
  <si>
    <t>be7b4bc82a734b46a8dbab106e91f3ee</t>
  </si>
  <si>
    <t>497ec5bce53f4bef97e75a0a7e3fe1a0</t>
  </si>
  <si>
    <t>ba3014678d1b46cfa0cbfc6bece773c2</t>
  </si>
  <si>
    <t>201500373</t>
  </si>
  <si>
    <t>SBV-A29-001101</t>
  </si>
  <si>
    <t>9b793cdf91484265bf36374a8066a457</t>
  </si>
  <si>
    <t>49a17c793d694f84b1a5c6a23ca5792e</t>
  </si>
  <si>
    <t>c0b1d7f728f14df29a4d688b68ca9f54</t>
  </si>
  <si>
    <t>301220216</t>
  </si>
  <si>
    <t>35型D形棒</t>
  </si>
  <si>
    <t>R19.8×33.7×11.8</t>
  </si>
  <si>
    <t>3e00c0effb264c59b9d90d61c205b3a3</t>
  </si>
  <si>
    <t>4a29b94f9d46434eb32f140e5942d9cd</t>
  </si>
  <si>
    <t>e043d505a5b344628ec512ca9f322b7f</t>
  </si>
  <si>
    <t>203560033</t>
  </si>
  <si>
    <t>PYF010-026001</t>
  </si>
  <si>
    <t>35162f3cac0343159608b2c617e273af</t>
  </si>
  <si>
    <t>4a7a40ad48b3416dab8d783670b07c81</t>
  </si>
  <si>
    <t>6a828e152e9f4368a2ad3ff0bc2e46f1</t>
  </si>
  <si>
    <t>301220213</t>
  </si>
  <si>
    <t>SUS303Cu(B) Φ20</t>
  </si>
  <si>
    <t>761054b9585e46a0970d235cdc3044f4</t>
  </si>
  <si>
    <t>4a7fe48b461948cfa927528143eab44d</t>
  </si>
  <si>
    <t>f8d4f1456e1a41518e1f28b65ca499ca</t>
  </si>
  <si>
    <t>201502186</t>
  </si>
  <si>
    <t>SBV-A07-001146(Q135A)</t>
  </si>
  <si>
    <t>24b89a1afa09494eb68a70e16798fdb6</t>
  </si>
  <si>
    <t>4a8b01f0d8024d6da4ee531bbb921448</t>
  </si>
  <si>
    <t>54f71853d3e04b0a92a82eb4d0d0d4b2</t>
  </si>
  <si>
    <t>335070858</t>
  </si>
  <si>
    <t>Φ2/油55CrSi/中钢</t>
  </si>
  <si>
    <t>72c4974864f8456ca0c3ca95eb44ded6</t>
  </si>
  <si>
    <t>4abba2e9ac72478c96507f091619b2a6</t>
  </si>
  <si>
    <t>4d08a81d97bb49428ab45b90515e5c28</t>
  </si>
  <si>
    <t>741110010</t>
  </si>
  <si>
    <t>六角铜棒</t>
  </si>
  <si>
    <t>C3602 S25.4</t>
  </si>
  <si>
    <t>29db099c474f4b97887c0570e9f59453</t>
  </si>
  <si>
    <t>4b1d2fa653b64c428dfd746704fdea1a</t>
  </si>
  <si>
    <t>b49ce74b851346b782d81dc9d272c2f0</t>
  </si>
  <si>
    <t>201850635</t>
  </si>
  <si>
    <t>YCQB02-003013</t>
  </si>
  <si>
    <t>7d1ba1bcf81f4ce694b194600feda606</t>
  </si>
  <si>
    <t>4b2f3758baae4900a28edcfff94487e0</t>
  </si>
  <si>
    <t>3c966354a1cf42dfa478a8fd3b046db6</t>
  </si>
  <si>
    <t>203050014</t>
  </si>
  <si>
    <t>ZJF-E44-001009</t>
  </si>
  <si>
    <t>f2b5df97c97741ef8be97b12db29dc2d</t>
  </si>
  <si>
    <t>4b71854beb6e4e53a1625dfb6a29013f</t>
  </si>
  <si>
    <t>d548f3d9df5841f5bd9983bd6d74b489</t>
  </si>
  <si>
    <t>201500015</t>
  </si>
  <si>
    <t>SBV-B05-001025(Q013A)</t>
  </si>
  <si>
    <t>f3ae24a54bb14e31b5ffa822e91720eb</t>
  </si>
  <si>
    <t>4b73b8500a8e42979d82bb649cda28ba</t>
  </si>
  <si>
    <t>de92b696f558434b8579bc28ea29a919</t>
  </si>
  <si>
    <t>301050062</t>
  </si>
  <si>
    <t>TP2 Y2 Φ22.3×1.3</t>
  </si>
  <si>
    <t>5611cb4bf92c48e39761defe5b138b57</t>
  </si>
  <si>
    <t>4ba9b4140af04df9a69c700de3610972</t>
  </si>
  <si>
    <t>e4b8e52ac91745e6a16bc5c2785e343b</t>
  </si>
  <si>
    <t>301060009</t>
  </si>
  <si>
    <t>TP2 M2 Φ14×1.0 LWC</t>
  </si>
  <si>
    <t>880e102744d245b296b17180a45de35d</t>
  </si>
  <si>
    <t>4beda9e905a647a19b8a9cd9b5d9c0ed</t>
  </si>
  <si>
    <t>e73acbff30e24d94aa2c464c9ae6dc87</t>
  </si>
  <si>
    <t>201502463</t>
  </si>
  <si>
    <t>SBV-A21-001169(Q151A)</t>
  </si>
  <si>
    <t>951e1e04b1554889b8aa7bb77c43564c</t>
  </si>
  <si>
    <t>4bf05273a4c649c3b35e3f2263db5de9</t>
  </si>
  <si>
    <t>b8ab4b39282e4945adc9df72b66eb761</t>
  </si>
  <si>
    <t>301110627</t>
  </si>
  <si>
    <t>C3604 Φ27</t>
  </si>
  <si>
    <t>f7df13dfaef34775895c714fcc9befcb</t>
  </si>
  <si>
    <t>4c131f33fd824a8589561986656e26dd</t>
  </si>
  <si>
    <t>dfcd517aefea4ef8bf87a3ba4e0e884a</t>
  </si>
  <si>
    <t>201502795</t>
  </si>
  <si>
    <t>SBV-A05-001143(Q134A)</t>
  </si>
  <si>
    <t>8c021ea5282d4408900bb2992670a151</t>
  </si>
  <si>
    <t>4c27bc12fe9f4e3b90a2bf55b8167ea3</t>
  </si>
  <si>
    <t>46d1877cb14841cfb64b98217b97fab2</t>
  </si>
  <si>
    <t>301110338</t>
  </si>
  <si>
    <t>C3604 φ23</t>
  </si>
  <si>
    <t>96e33e0a1b954493ba0a54389af22d9c</t>
  </si>
  <si>
    <t>4c2fbe7e4c884a55a02cd3710bf3194d</t>
  </si>
  <si>
    <t>8e1906be32954c9996e17734b1f22962</t>
  </si>
  <si>
    <t>202850048</t>
  </si>
  <si>
    <t>SYJ-A00-919006</t>
  </si>
  <si>
    <t>093df3dce36d41c5a678f374a93fa858</t>
  </si>
  <si>
    <t>4c879f4c5924429f972eefe4b1514fc3</t>
  </si>
  <si>
    <t>78f8efefe0f1470391fc2a73e058a187</t>
  </si>
  <si>
    <t>301060015</t>
  </si>
  <si>
    <t>TP2 M2 Φ7.94×0.7 LWC</t>
  </si>
  <si>
    <t>ec059effe43c4042afb4375c5999b7b6</t>
  </si>
  <si>
    <t>4cb2665efe64424882412817d608d19d</t>
  </si>
  <si>
    <t>b9f268f44ffe4b36bcf47d8598d3cc5e</t>
  </si>
  <si>
    <t>203050042</t>
  </si>
  <si>
    <t>ZJF-B20-001005(F371K)</t>
  </si>
  <si>
    <t>0384073065ad4c188e03ec463eb6bc7e</t>
  </si>
  <si>
    <t>4ce093ad096b43a1b16278e5c9fa294e</t>
  </si>
  <si>
    <t>790470154b8547429772ad370fd8ef5f</t>
  </si>
  <si>
    <t>301160011</t>
  </si>
  <si>
    <t>6061-T6 φ52</t>
  </si>
  <si>
    <t>210d95f2a1d5486098e501e4b4b12a07</t>
  </si>
  <si>
    <t>4d01df8919ba4100a971c0b20f55392d</t>
  </si>
  <si>
    <t>a7a861226ae3480d907c13d94f44cc86</t>
  </si>
  <si>
    <t>202010070</t>
  </si>
  <si>
    <t>RFK-H03-041002</t>
  </si>
  <si>
    <t>6db09e54bdf24649966c44f7389aa639</t>
  </si>
  <si>
    <t>4e7c25bf0a39447599ec75a79b3941a5</t>
  </si>
  <si>
    <t>f29000271fc5454794269b37fd0ff4b8</t>
  </si>
  <si>
    <t>301110017</t>
  </si>
  <si>
    <t>C3602 28.5×28.5</t>
  </si>
  <si>
    <t>61c9fe70ba064eec8edc631ea1f3d9c9</t>
  </si>
  <si>
    <t>4ea04a553dd64621b42bbd5d49f5f2e7</t>
  </si>
  <si>
    <t>f92c77a6b1e449ae9898cdc3c7ffbfa3</t>
  </si>
  <si>
    <t>201220071</t>
  </si>
  <si>
    <t>SDF19L-004001</t>
  </si>
  <si>
    <t>5b310739e1ab44a092d363846f4e928f</t>
  </si>
  <si>
    <t>508e9e1faed743ae999435c1fc921591</t>
  </si>
  <si>
    <t>59adde7523b6498d8f73e573e8bf3076</t>
  </si>
  <si>
    <t>301050673</t>
  </si>
  <si>
    <t>TP2 Y2 Φ9.52×1.8</t>
  </si>
  <si>
    <t>7abb56b9660b46d4824d5d3f3c54c2ce</t>
  </si>
  <si>
    <t>51310972aec141c2afb42adaf56c70b5</t>
  </si>
  <si>
    <t>5133980056fc498ea22611db3b130147</t>
  </si>
  <si>
    <t>301050139</t>
  </si>
  <si>
    <t>TP2 Y2 Φ9.52×0.7</t>
  </si>
  <si>
    <t>0a94fafe4d404699addd173f2ad05ee7</t>
  </si>
  <si>
    <t>515092373389437fb695772fcf12ba4d</t>
  </si>
  <si>
    <t>a0f54807a813408ba1aa58aee2fdf7df</t>
  </si>
  <si>
    <t>201500377</t>
  </si>
  <si>
    <t>SBV-B11-001095</t>
  </si>
  <si>
    <t>56b0ab6835a245c5892df6ca782716af</t>
  </si>
  <si>
    <t>51adba55aabc45cc89671e501a44bbed</t>
  </si>
  <si>
    <t>4b652703755d4b858e4d9977a5f70ba8</t>
  </si>
  <si>
    <t>301050921</t>
  </si>
  <si>
    <t>TP2 Y2 Φ66.68×2.5</t>
  </si>
  <si>
    <t>8f6412da72c24672ae09d205c185c8a5</t>
  </si>
  <si>
    <t>51d2c3ecb692474eb34a019bf46c5f49</t>
  </si>
  <si>
    <t>90f6a2ddb77f4fc5b282d1f9858018d4</t>
  </si>
  <si>
    <t>301050113</t>
  </si>
  <si>
    <t>TP2 Y2 Φ6×0.75</t>
  </si>
  <si>
    <t>b0a80e1eb4b74da094a0f243107c9ccc</t>
  </si>
  <si>
    <t>51ea1b9354bf4feabba95b854eda6433</t>
  </si>
  <si>
    <t>86719e8c4282490dae64c600aeecc029</t>
  </si>
  <si>
    <t>201500372</t>
  </si>
  <si>
    <t>SBV-A21-001099</t>
  </si>
  <si>
    <t>ec6667d5572144528a48bc4fc22dc8fa</t>
  </si>
  <si>
    <t>52c9b9f361414d41b767def9cc66926b</t>
  </si>
  <si>
    <t>9dd4eefc18ea4a488b360ac9e30b41f6</t>
  </si>
  <si>
    <t>301110483</t>
  </si>
  <si>
    <t>C3602 φ22</t>
  </si>
  <si>
    <t>e1e8a67ce7404bdbaa963cdbbae507dc</t>
  </si>
  <si>
    <t>52ed227d82fe4eaf8677aacf087d16e8</t>
  </si>
  <si>
    <t>1383b1d769cd4f6d9e24cdcd8032b686</t>
  </si>
  <si>
    <t>301110349</t>
  </si>
  <si>
    <t>C3604 φ39</t>
  </si>
  <si>
    <t>0e3de598e8bd460f8f7cf874ec1b57e0</t>
  </si>
  <si>
    <t>53c59e23865d428aa3dad1547603b1b1</t>
  </si>
  <si>
    <t>e0a3d29e6bba45eabd3a445c071f9e15</t>
  </si>
  <si>
    <t>301110044</t>
  </si>
  <si>
    <t>C3604BDS Φ16.5</t>
  </si>
  <si>
    <t>963363af14dc46899c65c7358a51f85b</t>
  </si>
  <si>
    <t>53d8d4cfd49148bd9f591bf9d0ec8807</t>
  </si>
  <si>
    <t>ab976b2a370d40caa0fdbc6cb6c0cb20</t>
  </si>
  <si>
    <t>201502726</t>
  </si>
  <si>
    <t>SBV-A09-001203(Q177A)</t>
  </si>
  <si>
    <t>904a6d9c749d4b3bbdaf483964250dc1</t>
  </si>
  <si>
    <t>5439bb96f1fa47ba94c85311afbc0910</t>
  </si>
  <si>
    <t>4b161347d3a14b7d95e1f931135e70ac</t>
  </si>
  <si>
    <t>301050129</t>
  </si>
  <si>
    <t>TP2 Y2 Φ7.94×1.0</t>
  </si>
  <si>
    <t>b23b009b69754a4c8bc1fee5a818001c</t>
  </si>
  <si>
    <t>54bb0f95e85e4091bf5f86f5c4e8c457</t>
  </si>
  <si>
    <t>887bc2850ecf4d5b9ecc49f8d7a05aa1</t>
  </si>
  <si>
    <t>301110539</t>
  </si>
  <si>
    <t>C3604 Φ13</t>
  </si>
  <si>
    <t>d353e8ff296c4483b1a5192c0ab63d97</t>
  </si>
  <si>
    <t>56c47909687a4234984dd4accc86282c</t>
  </si>
  <si>
    <t>c7a3740c420b439a9c54c00740f8af94</t>
  </si>
  <si>
    <t>301050057</t>
  </si>
  <si>
    <t>TP2 Y2 Φ22.2×1.2</t>
  </si>
  <si>
    <t>a845d529231b4a99aed9f8e74bc6db42</t>
  </si>
  <si>
    <t>57119eb85a6d43899699d0d7b2e5049d</t>
  </si>
  <si>
    <t>8ab25dd8496a46b4ab6f4c6d3e082ab0</t>
  </si>
  <si>
    <t>301050239</t>
  </si>
  <si>
    <t>TP2 Y2 Φ92.08×4.2</t>
  </si>
  <si>
    <t>587ed42ccc374f6a8bf8485aa12c10c4</t>
  </si>
  <si>
    <t>580dfd9cc47148a0ad7903ee8901612a</t>
  </si>
  <si>
    <t>2c7f5f1b675d473a9ececd7b63f5d67f</t>
  </si>
  <si>
    <t>201500027</t>
  </si>
  <si>
    <t>SBV-B06-001017(Q005A)</t>
  </si>
  <si>
    <t>581f4505afd8400eb801243957fa90a5</t>
  </si>
  <si>
    <t>585ded08435641e990957593c1544537</t>
  </si>
  <si>
    <t>ee8dcf0e922643cb92ef1a5766287a75</t>
  </si>
  <si>
    <t>201502724</t>
  </si>
  <si>
    <t>SBV-A05-001201(Q175A)</t>
  </si>
  <si>
    <t>0795eb2fa8f3424bbafeb53ea4b177fa</t>
  </si>
  <si>
    <t>5a18101c1df447c189fb0e6f8923f87d</t>
  </si>
  <si>
    <t>cff3b0b1d51549628985cc57619c48e6</t>
  </si>
  <si>
    <t>301110521</t>
  </si>
  <si>
    <t>C3604 Φ10.3×2500</t>
  </si>
  <si>
    <t>7d11877353924a05b4670c86e3d3d496</t>
  </si>
  <si>
    <t>5a2351c5bbd34559bc9e669dc8c137c9</t>
  </si>
  <si>
    <t>ab525e36b13846d5929f3c6dcd372c42</t>
  </si>
  <si>
    <t>301060256</t>
  </si>
  <si>
    <t>TP2 Y2 Φ6.35×0.7 LWC</t>
  </si>
  <si>
    <t>f469e88e054d436c829730e3a2c22c72</t>
  </si>
  <si>
    <t>5a41e74b8ca4407ead11a529492946ac</t>
  </si>
  <si>
    <t>90da2285e8c84becaaa4c6ed0eafac4b</t>
  </si>
  <si>
    <t>301110466</t>
  </si>
  <si>
    <t>C3604BDS φ21.8×2500 丰山</t>
  </si>
  <si>
    <t>b3e7619b37b34cf594bccb9dcd71777d</t>
  </si>
  <si>
    <t>5a77c4f16c724389b340655bd7ae2099</t>
  </si>
  <si>
    <t>92597ff5913a430a8bd45d19b0443a75</t>
  </si>
  <si>
    <t>301110554</t>
  </si>
  <si>
    <t>PWHSi76-3.2 Φ34</t>
  </si>
  <si>
    <t>48275303f18a43939b690fc60c0056c5</t>
  </si>
  <si>
    <t>5ab5e59634734000b04a6c9dfbc8745c</t>
  </si>
  <si>
    <t>635e00d286fc4ec9834e862876f978ab</t>
  </si>
  <si>
    <t>201500026</t>
  </si>
  <si>
    <t>SBV-B06-001049(Q062A)</t>
  </si>
  <si>
    <t>a79d41f15d544413a92ea16c111c4d7c</t>
  </si>
  <si>
    <t>5b0397ccc95d4cf7aeb3b79b26bf4bf2</t>
  </si>
  <si>
    <t>3fec57dc29ef4772a6ec3282916b01c4</t>
  </si>
  <si>
    <t>201502459</t>
  </si>
  <si>
    <t>SBV-A09-001165(Q147A)</t>
  </si>
  <si>
    <t>4e73bb3141994730b3442fb6d5367d90</t>
  </si>
  <si>
    <t>5c67403b4d984ef39e4fb34a13f655f0</t>
  </si>
  <si>
    <t>b7ebffbc9bdf4bbe97a3746cae003891</t>
  </si>
  <si>
    <t>201290139</t>
  </si>
  <si>
    <t>HDF6L-004002</t>
  </si>
  <si>
    <t>77ca8e44ae4c421597d18f38696b1760</t>
  </si>
  <si>
    <t>5c915637db084519930cf5c3861f453e</t>
  </si>
  <si>
    <t>1f557d8f4f7a4fb7b075f43071d1edd3</t>
  </si>
  <si>
    <t>201503529</t>
  </si>
  <si>
    <t>SBV-A11-001265(Q229A)</t>
  </si>
  <si>
    <t>df0c08eed8c44d249dfd932f31787a1e</t>
  </si>
  <si>
    <t>5c926ba7a155419497fe6d3aa09c4dc7</t>
  </si>
  <si>
    <t>9643efc5000d47aebf2490e3cfecc22d</t>
  </si>
  <si>
    <t>723500059</t>
  </si>
  <si>
    <t>上阀盖毛坯</t>
  </si>
  <si>
    <t>KZF-A01-049001</t>
  </si>
  <si>
    <t>211bf047e34044f4a1648c02e0eaac83</t>
  </si>
  <si>
    <t>5ca48ab685bc40bbaef00817f1251adb</t>
  </si>
  <si>
    <t>d92523cfc1404e719fa3aafe67494dea</t>
  </si>
  <si>
    <t>301050016</t>
  </si>
  <si>
    <t>TP2 Y2 Φ12.8(ID)×0.8</t>
  </si>
  <si>
    <t>bd7fdb4c2dd147da84a4e3cef1400bec</t>
  </si>
  <si>
    <t>5d4850269ee848e58400945c0ba42db6</t>
  </si>
  <si>
    <t>7548171efbc8416e83537b6b1f3a2433</t>
  </si>
  <si>
    <t>301220211</t>
  </si>
  <si>
    <t>SUS303Cu(B) Φ15</t>
  </si>
  <si>
    <t>1df99eb1115c40df8629877df1b45cdc</t>
  </si>
  <si>
    <t>5d8df228c67e44318a6b29824250d62d</t>
  </si>
  <si>
    <t>09177391639d4d0c90b831368585b218</t>
  </si>
  <si>
    <t>722000035</t>
  </si>
  <si>
    <t>RFK-A04-001002</t>
  </si>
  <si>
    <t>44c038e2123b4baf853d8457a5be5d19</t>
  </si>
  <si>
    <t>5db809a0916f41cdaa8f22e053d002bf</t>
  </si>
  <si>
    <t>333d0d5448094adc91ae11c67f05869d</t>
  </si>
  <si>
    <t>201200297</t>
  </si>
  <si>
    <t>FDF-F11-004001</t>
  </si>
  <si>
    <t>24ab1f14621841729af551d800a135ea</t>
  </si>
  <si>
    <t>5de4aa3d5cd14b508ca1260734276043</t>
  </si>
  <si>
    <t>5155cdd661eb47db81e66a47e7076c58</t>
  </si>
  <si>
    <t>301240269</t>
  </si>
  <si>
    <t>不锈钢带(SUS631）</t>
  </si>
  <si>
    <t>9RU10 t0.15×27.2</t>
  </si>
  <si>
    <t>424e6ee278c24fe48f19bb68ca32a2a3</t>
  </si>
  <si>
    <t>5de6f67beeac4050babf2ab6c453b836</t>
  </si>
  <si>
    <t>7a19d08932d74c5ca61e6b2a8c2f3d94</t>
  </si>
  <si>
    <t>301240247</t>
  </si>
  <si>
    <t>带12R11 1250 t0.12×51</t>
  </si>
  <si>
    <t>51dd6ca0908545d084fc9aa3edca7e1b</t>
  </si>
  <si>
    <t>5df41c236bd64d969b39ac68e8a912fe</t>
  </si>
  <si>
    <t>0c1e6aa3a3f445da8ec849a4ba45a77e</t>
  </si>
  <si>
    <t>301220305</t>
  </si>
  <si>
    <t>SUS303CU(B) Φ21</t>
  </si>
  <si>
    <t>5690886bbbeb4a13a6b31b7a833feea2</t>
  </si>
  <si>
    <t>5e389935d6014746960958e5ba659557</t>
  </si>
  <si>
    <t>c5993d39b9d945e2afbe2838eb05791a</t>
  </si>
  <si>
    <t>201500055</t>
  </si>
  <si>
    <t>SBV-A07-001041(Q036B)</t>
  </si>
  <si>
    <t>a5b4fbc3ee33445db6bf41863ed5a268</t>
  </si>
  <si>
    <t>5e587e01abdc46b5a9ec53e88543cfd0</t>
  </si>
  <si>
    <t>0359ccc588fb47d1bb0ac26d6a92fc7b</t>
  </si>
  <si>
    <t>301220123</t>
  </si>
  <si>
    <t>SUS416 Φ20</t>
  </si>
  <si>
    <t>12d4f0ce935544339826fe09f0f04f8b</t>
  </si>
  <si>
    <t>5ee9a84147ae41e2b80390234deea982</t>
  </si>
  <si>
    <t>ededd696e1364d289021480d83f524e8</t>
  </si>
  <si>
    <t>301220355</t>
  </si>
  <si>
    <t>SUS303 Φ22</t>
  </si>
  <si>
    <t>cf3d86677a684b7cbc9a17b6fc0e8694</t>
  </si>
  <si>
    <t>5f87b0970d64421aa451bfc9dff145e5</t>
  </si>
  <si>
    <t>9ca5dd741ce54681aebb012f4d0a4a0a</t>
  </si>
  <si>
    <t>301110412</t>
  </si>
  <si>
    <t>C3604 Φ9.5</t>
  </si>
  <si>
    <t>0b11d348c7a446f7b70e2be260787697</t>
  </si>
  <si>
    <t>5fb155f2d7f84f2a84a9b175ab2da617</t>
  </si>
  <si>
    <t>989ea169cc48429580fe25b37a5b6cd5</t>
  </si>
  <si>
    <t>301240036</t>
  </si>
  <si>
    <t>带 12R11 1250 t0.12×46</t>
  </si>
  <si>
    <t>a5cdeb022e3744329b009204ca23ecff</t>
  </si>
  <si>
    <t>5fd6e66089f34609b79856cb9b491156</t>
  </si>
  <si>
    <t>6598718b55c246cb8dddb69411f89050</t>
  </si>
  <si>
    <t>301060249</t>
  </si>
  <si>
    <t>TP2 Y2 Φ9.52×0.8 LWC</t>
  </si>
  <si>
    <t>3d5d2b7c56f341e2a50694e9c4edd3d1</t>
  </si>
  <si>
    <t>5fde81f30f384abab625cc2e528f1c48</t>
  </si>
  <si>
    <t>244da9cc5675456f94a1a63df47313de</t>
  </si>
  <si>
    <t>201503356</t>
  </si>
  <si>
    <t>EBVW06L-001003</t>
  </si>
  <si>
    <t>01f471a8a8f44b109261c39540de9313</t>
  </si>
  <si>
    <t>5ff63f63a685438a86eb46436f99a31d</t>
  </si>
  <si>
    <t>6d394f8ea1dc402eb160b0da4ed41a74</t>
  </si>
  <si>
    <t>301210318</t>
  </si>
  <si>
    <t>SUS304 Φ45x1.3</t>
  </si>
  <si>
    <t>4f85c2e87980474fa561ee59ac3c0b56</t>
  </si>
  <si>
    <t>6047d2daf8b942efb4100e92819561c0</t>
  </si>
  <si>
    <t>525cdf1919bb470e8dd7024c40a4e958</t>
  </si>
  <si>
    <t>301080046</t>
  </si>
  <si>
    <t>QZY-1/180 Φ0.145</t>
  </si>
  <si>
    <t>0128480d0b3d489792749299a6a55b4d</t>
  </si>
  <si>
    <t>605afc7be670498083b9407949e422f9</t>
  </si>
  <si>
    <t>cba2e427fd6b4fa9a976ad364084ada9</t>
  </si>
  <si>
    <t>301110682</t>
  </si>
  <si>
    <t>C3602 35×35</t>
  </si>
  <si>
    <t>81394056ae0b473391a7aec3e7507b68</t>
  </si>
  <si>
    <t>606dfa92fc9c4c648cfa9d3003fa08cb</t>
  </si>
  <si>
    <t>5e6ac8ee43de4cfcb019890d7e4834f5</t>
  </si>
  <si>
    <t>301050087</t>
  </si>
  <si>
    <t>TP2 Y2 Φ28.5×1.6</t>
  </si>
  <si>
    <t>f1c3923a551647feaf12f9b7467baab0</t>
  </si>
  <si>
    <t>610a33cec1f64f7fbc562cbf8eb3db94</t>
  </si>
  <si>
    <t>e2ef5d9dd58343249393d6cb35465472</t>
  </si>
  <si>
    <t>201250343</t>
  </si>
  <si>
    <t>MDF-A03-004018</t>
  </si>
  <si>
    <t>c966e687df7f4c7a846756eeb8191a1b</t>
  </si>
  <si>
    <t>613be7fbf0214546a9c96b6542f5309f</t>
  </si>
  <si>
    <t>eb5789061cfd48e399a3b979b779b243</t>
  </si>
  <si>
    <t>1109000300041</t>
  </si>
  <si>
    <t>SYJ-A00-919027</t>
  </si>
  <si>
    <t>422d365fee234b03961b3ead95686ae3</t>
  </si>
  <si>
    <t>614586f7a8a04c08bf26eaf29c05af56</t>
  </si>
  <si>
    <t>e2eba1f258304fb2901bb54196eb33a0</t>
  </si>
  <si>
    <t>301240369</t>
  </si>
  <si>
    <t>带12R11 1250 t0.12×53</t>
  </si>
  <si>
    <t>bab4c3bd26214dd3a915018f0a2a7c6d</t>
  </si>
  <si>
    <t>61c7abe372ce4c55bbf4a0d238b8451f</t>
  </si>
  <si>
    <t>2493da039a9143afa9103b8dbfa3c9cb</t>
  </si>
  <si>
    <t>301110728</t>
  </si>
  <si>
    <t>黄铜六角棒</t>
  </si>
  <si>
    <t>C3602 S17</t>
  </si>
  <si>
    <t>58c666b3570a438d8c5269a2cb0b93ab</t>
  </si>
  <si>
    <t>62410dbb26764d7eb97ba3c67ae478a3</t>
  </si>
  <si>
    <t>741aefe306694a928afcda36ad4c1d44</t>
  </si>
  <si>
    <t>201290306</t>
  </si>
  <si>
    <t>HDF6HM-004002</t>
  </si>
  <si>
    <t>14b271999436406aa9fbf73ec09530cd</t>
  </si>
  <si>
    <t>632e286e90f24c669551286c97483b7c</t>
  </si>
  <si>
    <t>d321ba26df574e4aba6997ebeae9d900</t>
  </si>
  <si>
    <t>301200308</t>
  </si>
  <si>
    <t>不锈钢焊管</t>
  </si>
  <si>
    <t>022Cr19Ni10 Φ14×0.7</t>
  </si>
  <si>
    <t>214508bb7c224bd18545c1b88b42763d</t>
  </si>
  <si>
    <t>638432beaaab42edb5d3210da1793220</t>
  </si>
  <si>
    <t>7a49eaf9acf34ad3abe8348f34100ed5</t>
  </si>
  <si>
    <t>301200304</t>
  </si>
  <si>
    <t>SUS304L_N/A_Φ19_0.7_N/A</t>
  </si>
  <si>
    <t>SUS304L Φ19×0.7</t>
  </si>
  <si>
    <t>a43a6fb53680400d8ac11120fa3faeb6</t>
  </si>
  <si>
    <t>63b077e8cd5f40109cee6501e84654e5</t>
  </si>
  <si>
    <t>e53bdf54226245c69a64fafba1d983b7</t>
  </si>
  <si>
    <t>1001000300325</t>
  </si>
  <si>
    <t>MZF20H-004001,电镀(锌/锡/镍/PTFE/铜)</t>
  </si>
  <si>
    <t>f0cc55aa12324c048f693c8bdad16007</t>
  </si>
  <si>
    <t>646484607d51473d9ff5c638e40b57cd</t>
  </si>
  <si>
    <t>cb721d6879804eea9e0bba8d83c3fdee</t>
  </si>
  <si>
    <t>741110024</t>
  </si>
  <si>
    <t>C3604 φ14</t>
  </si>
  <si>
    <t>b95d1b22c26c41b793de1ddf705d7c3f</t>
  </si>
  <si>
    <t>646aafd8c4aa472cb281f939f9dc77d5</t>
  </si>
  <si>
    <t>cfa3bf5ec6974305a02a463cae66a2d0</t>
  </si>
  <si>
    <t>201290328</t>
  </si>
  <si>
    <t>HDF43H-015001</t>
  </si>
  <si>
    <t>777ad933d1684ca1bef2e1ae07b4aaf4</t>
  </si>
  <si>
    <t>6563e27aee564889b8c916124cef4dc0</t>
  </si>
  <si>
    <t>0081209af0e04f658c8d5ea1c8fe63a2</t>
  </si>
  <si>
    <t>301110384</t>
  </si>
  <si>
    <t>C3604BDS  φ8</t>
  </si>
  <si>
    <t>884ad9788a1040edb6dc4a9ca3afdae7</t>
  </si>
  <si>
    <t>65bf9662e97548c6ac61c1a88a8e06b5</t>
  </si>
  <si>
    <t>f03738d6bf1f4e7cba695336bf4db4c8</t>
  </si>
  <si>
    <t>201308721</t>
  </si>
  <si>
    <t>VPF100-069009</t>
  </si>
  <si>
    <t>c41e36827d764baaab09320a2c800217</t>
  </si>
  <si>
    <t>660076df89ed4c7abd30556acce7e821</t>
  </si>
  <si>
    <t>bad9d3735e3a4e8281e2dabd383f04e4</t>
  </si>
  <si>
    <t>301210211</t>
  </si>
  <si>
    <t>022Cr19Ni10 Φ28×0.8</t>
  </si>
  <si>
    <t>94874fd6eec248349b1d029db8494c0e</t>
  </si>
  <si>
    <t>660d4fefa2c74082922fab768c91c2fd</t>
  </si>
  <si>
    <t>e47f00fa1a1a475b81657355db0e8bbf</t>
  </si>
  <si>
    <t>301210185</t>
  </si>
  <si>
    <t>SUS304L Φ42(OD)×1.5</t>
  </si>
  <si>
    <t>3adeb7d4930d45f9a828f0b2e34de451</t>
  </si>
  <si>
    <t>662580793c274217aa034bc4f210f6a2</t>
  </si>
  <si>
    <t>99850ddb7123487ca25f6481c7e96cae</t>
  </si>
  <si>
    <t>201250275</t>
  </si>
  <si>
    <t>MDF-A03-004013</t>
  </si>
  <si>
    <t>ce05885c832b4ad59033a365786c57d8</t>
  </si>
  <si>
    <t>66375b696507407a909cf721d1740c7e</t>
  </si>
  <si>
    <t>3ddb31f7361048c7b6c0101487f4c2fa</t>
  </si>
  <si>
    <t>301050146</t>
  </si>
  <si>
    <t>TP2 Y2 Φ9.7(ID)(内径公差-0.02/-0.08)×0.8</t>
  </si>
  <si>
    <t>47d8565256d44ca4aeb20d7d1b607ad1</t>
  </si>
  <si>
    <t>666a9e5df747423e9e42ccdd9601f4bd</t>
  </si>
  <si>
    <t>accac6f66f2a41438236031624c32b0b</t>
  </si>
  <si>
    <t>301210070</t>
  </si>
  <si>
    <t>SUS304 Φ32×1.0</t>
  </si>
  <si>
    <t>0e6c9068646147ca97bd9e58f923cd01</t>
  </si>
  <si>
    <t>6690e430fe1b4dd8a9980f2f278adbb1</t>
  </si>
  <si>
    <t>0f6c1d49daea4e629e85cf7f2f25ded6</t>
  </si>
  <si>
    <t>201503921</t>
  </si>
  <si>
    <t>充注阀体毛坯</t>
  </si>
  <si>
    <t>SMV-A13-016018(商用专用)</t>
  </si>
  <si>
    <t>3339c49d8d9c4a42b5a013d8ca865c6d</t>
  </si>
  <si>
    <t>6702cc659a88406aa14d0aff330c09d8</t>
  </si>
  <si>
    <t>acb2159c4bf54d6389acbe0226f6875f</t>
  </si>
  <si>
    <t>301050120</t>
  </si>
  <si>
    <t>TP2 Y2 Φ6.35×0.8</t>
  </si>
  <si>
    <t>717457c6885846239d6b6a0c9fcd3a14</t>
  </si>
  <si>
    <t>67d742550b5b4c10809120b1134419dc</t>
  </si>
  <si>
    <t>0a203941b5c947d3a25f49f32dee02b3</t>
  </si>
  <si>
    <t>201240007</t>
  </si>
  <si>
    <t>TDF20-002033</t>
  </si>
  <si>
    <t>33bc4d5f2ffe47b1bfb99543808af531</t>
  </si>
  <si>
    <t>6804ce1fea754f89b6eadd1fb3add135</t>
  </si>
  <si>
    <t>c86b0aaea37949e9bbdc8ab4e94af234</t>
  </si>
  <si>
    <t>301110054</t>
  </si>
  <si>
    <t>C3771 Φ38</t>
  </si>
  <si>
    <t>c11c3769c4204376bd648a7c0628bd80</t>
  </si>
  <si>
    <t>68899b6ccb1947199e0519e1d06b0c6c</t>
  </si>
  <si>
    <t>04bff913143e450a8543d90ce2c391f5</t>
  </si>
  <si>
    <t>201500041</t>
  </si>
  <si>
    <t>SBV-A03-001076(Q096A)</t>
  </si>
  <si>
    <t>e65769b6a0454b02b106cd9e0161e583</t>
  </si>
  <si>
    <t>6904f4bd03204178888f097558959944</t>
  </si>
  <si>
    <t>c303bd958f4643378fa4ad86d2a740f3</t>
  </si>
  <si>
    <t>301240370</t>
  </si>
  <si>
    <t>高碳高铬马氏体不锈钢</t>
  </si>
  <si>
    <t>95Cr18 Φ20</t>
  </si>
  <si>
    <t>b88f673739e94793a7d1af6b1990dd31</t>
  </si>
  <si>
    <t>694c203816e84dbca8afa199f91a30ab</t>
  </si>
  <si>
    <t>277eaa3efab84c3c8a7a846490ef4810</t>
  </si>
  <si>
    <t>203050046</t>
  </si>
  <si>
    <t>ZJF-E77-001012(F439K)</t>
  </si>
  <si>
    <t>b3c0e00b86ce482385859efda352ca8c</t>
  </si>
  <si>
    <t>69564b3c06f64ef19f96f567b67068e6</t>
  </si>
  <si>
    <t>6ae87d1ae97a4aea9fc8b5a6d4c5780f</t>
  </si>
  <si>
    <t>301190154</t>
  </si>
  <si>
    <t>SUS304 Φ10×1.5</t>
  </si>
  <si>
    <t>85a88b02af8c4460831989a642b0cd80</t>
  </si>
  <si>
    <t>69ab019266154d0caabeb53f755ac580</t>
  </si>
  <si>
    <t>907b58b1703244a49dadb95edc8efe55</t>
  </si>
  <si>
    <t>301110105</t>
  </si>
  <si>
    <t>C3604 S15.75</t>
  </si>
  <si>
    <t>8d476d0f795540e9aa815a196b615108</t>
  </si>
  <si>
    <t>6a27c1883ea34d1abd78d5d4089f43fa</t>
  </si>
  <si>
    <t>ae7771eb08a54c5d809540ea82661421</t>
  </si>
  <si>
    <t>721300669</t>
  </si>
  <si>
    <t>VPF25-069003</t>
  </si>
  <si>
    <t>edef1264a68f4efdaa4bd9b988a64b3c</t>
  </si>
  <si>
    <t>6a74f00039ad4a78be184680389f7b84</t>
  </si>
  <si>
    <t>24dddc65b6954b1fb97be3c2809bd87c</t>
  </si>
  <si>
    <t>301210190</t>
  </si>
  <si>
    <t>022Cr19Ni10 Φ25×0.8</t>
  </si>
  <si>
    <t>6d58f5c74e0244548638fdb6b970da18</t>
  </si>
  <si>
    <t>6ac3e897908641359756fc8173550fd1</t>
  </si>
  <si>
    <t>0b897f22441145a7ae0091290b60a2e8</t>
  </si>
  <si>
    <t>721200081</t>
  </si>
  <si>
    <t>XDF12F-021502</t>
  </si>
  <si>
    <t>564e3dde0d1c430e8d3d4feb34ac369a</t>
  </si>
  <si>
    <t>6b6a94dad5e94fa094a6f4d38f070a22</t>
  </si>
  <si>
    <t>c8f8b4a29b1745e1b6cc32939f5170f4</t>
  </si>
  <si>
    <t>201060057</t>
  </si>
  <si>
    <t>MZF15H-004001</t>
  </si>
  <si>
    <t>98101948141a40b5bbf2c70d6564d038</t>
  </si>
  <si>
    <t>6bfdbe0ab65e40e896599b56363322c7</t>
  </si>
  <si>
    <t>20712522b7154674b7faea227e599fcf</t>
  </si>
  <si>
    <t>201651336</t>
  </si>
  <si>
    <t>截止阀毛坯</t>
  </si>
  <si>
    <t>JZF-F06-001155(F268)</t>
  </si>
  <si>
    <t>f23749e64a6f415ab9ccea95e6e5e1a1</t>
  </si>
  <si>
    <t>6d00fdd112d0419d8be069e35b6410eb</t>
  </si>
  <si>
    <t>5cb0460b26c64cbc84fd9b26f1731796</t>
  </si>
  <si>
    <t>301220159</t>
  </si>
  <si>
    <t>SUS304 Φ6</t>
  </si>
  <si>
    <t>eba2949d366149c6861bf988ef87502b</t>
  </si>
  <si>
    <t>6d66dfa2c8b14b439d589269f1a14746</t>
  </si>
  <si>
    <t>c021888935e740d49d82e0da0ac7f79e</t>
  </si>
  <si>
    <t>301220311</t>
  </si>
  <si>
    <t>D型棒</t>
  </si>
  <si>
    <t>SUS303Cu R14.3×21.5×7</t>
  </si>
  <si>
    <t>638503718aef45dabeb7446d5e38ea91</t>
  </si>
  <si>
    <t>6e169678485642129e9948257c15de15</t>
  </si>
  <si>
    <t>33eebfe1cccd4b7d8f6ff0cbd868edc7</t>
  </si>
  <si>
    <t>201290533</t>
  </si>
  <si>
    <t>HDF22H-015003</t>
  </si>
  <si>
    <t>a00d02222c804a899ebb8119a477cd24</t>
  </si>
  <si>
    <t>6e6c4386f090425a821cab9194e947a8</t>
  </si>
  <si>
    <t>3863d7b886d64d2e8b2b6dd2c7ef835b</t>
  </si>
  <si>
    <t>301050779</t>
  </si>
  <si>
    <t>TP2 Y2 Φ8.4(ID)×0.8</t>
  </si>
  <si>
    <t>38c4ae9bded84a9d90f523918e91e3d7</t>
  </si>
  <si>
    <t>6e891266fcfb43f991e09ec460c9544d</t>
  </si>
  <si>
    <t>dd2cac44eab74f4486e666f53ce35a9b</t>
  </si>
  <si>
    <t>301050708</t>
  </si>
  <si>
    <t>TP2 H04 Φ14.4×0.8</t>
  </si>
  <si>
    <t>1220251575294d2a83c2c92ec9f2c76b</t>
  </si>
  <si>
    <t>6f38acb0cefc46fb9414c75c0ca9d1f7</t>
  </si>
  <si>
    <t>c852631934114fe9a3957802656a7cf5</t>
  </si>
  <si>
    <t>301050064</t>
  </si>
  <si>
    <t>TP2 Y2 Φ23×1.3</t>
  </si>
  <si>
    <t>f4ebf23f7cc145fe8704f6b4afac9212</t>
  </si>
  <si>
    <t>6f6c0869e79648c687c4f5c89deea7f5</t>
  </si>
  <si>
    <t>a2a10b961212410a9d4220cc6c6317eb</t>
  </si>
  <si>
    <t>301060253</t>
  </si>
  <si>
    <t>TP2 Y2 Φ7.94×0.7 LWC</t>
  </si>
  <si>
    <t>73de51bb198d4f19aabb6c46cb40dc88</t>
  </si>
  <si>
    <t>7041f37842084a4c8a037b5be4c8b0ce</t>
  </si>
  <si>
    <t>8fb4da29228341bfa02762157e9da7f2</t>
  </si>
  <si>
    <t>301050076</t>
  </si>
  <si>
    <t>TP2 Y2 Φ25.4×1.2</t>
  </si>
  <si>
    <t>59b8878949d0413baaa48072a9cf572f</t>
  </si>
  <si>
    <t>70aa523f4194495ca0f0dff2b0dc5e98</t>
  </si>
  <si>
    <t>713bd117c54140cfbd5452019adc734b</t>
  </si>
  <si>
    <t>201503536</t>
  </si>
  <si>
    <t>SBV-A13-001264</t>
  </si>
  <si>
    <t>f611d56fc73a4ef389571fb2f3e36375</t>
  </si>
  <si>
    <t>70f374bc6f5544caa5ddd7878a671003</t>
  </si>
  <si>
    <t>a135cb9c661e4f98875438e64d8ac0fa</t>
  </si>
  <si>
    <t>201201478</t>
  </si>
  <si>
    <t>FDF-S02-005005</t>
  </si>
  <si>
    <t>f45d396943624087a4a7700d22bafb23</t>
  </si>
  <si>
    <t>70ff2bf077d6442e95f1ed8d7f91316f</t>
  </si>
  <si>
    <t>62e20a2186744ae0806a7f2e3c3dd219</t>
  </si>
  <si>
    <t>301110533</t>
  </si>
  <si>
    <t>(FZ-2)C3531BDF Φ24×3000</t>
  </si>
  <si>
    <t>5ed1a4cc7408460c9d4b3d2994bb2c79</t>
  </si>
  <si>
    <t>71752f541b334cd599058f6f14ca885b</t>
  </si>
  <si>
    <t>a041e0c8055141cfbcf1d78b5bd317dc</t>
  </si>
  <si>
    <t>301230068</t>
  </si>
  <si>
    <t>易切削圆钢棒</t>
  </si>
  <si>
    <t>Y15Pb Φ8</t>
  </si>
  <si>
    <t>115211e89737494d8a423e9ae16f13bc</t>
  </si>
  <si>
    <t>71893d58bf61468b8fc14011035f5dff</t>
  </si>
  <si>
    <t>7ea17eddd70b41fcaa084ba7707a496c</t>
  </si>
  <si>
    <t>721300655</t>
  </si>
  <si>
    <t>VPF400-069001</t>
  </si>
  <si>
    <t>54a6fb9de9e949178b2898c8b03f3fe3</t>
  </si>
  <si>
    <t>71a674d2eafe4d958472e721f5fc58e1</t>
  </si>
  <si>
    <t>4a72a16d92134b4b997333e79deaf962</t>
  </si>
  <si>
    <t>201850796</t>
  </si>
  <si>
    <t>YCQB02-028024</t>
  </si>
  <si>
    <t>9cd8ec09e52b4c3991c1044d147a5cf6</t>
  </si>
  <si>
    <t>724b5eb988034cb4b885dc53baa2b3b6</t>
  </si>
  <si>
    <t>6484c2a25dca4255b3584a7c36f993a4</t>
  </si>
  <si>
    <t>301050013</t>
  </si>
  <si>
    <t>TP2 Y2 Φ12.7×0.8</t>
  </si>
  <si>
    <t>44c184cb38a54e36a2f80ad54a93effd</t>
  </si>
  <si>
    <t>728f32ab51ec464598004fc98e3e22ad</t>
  </si>
  <si>
    <t>40386ff25fa5480d8774271ad8637cc4</t>
  </si>
  <si>
    <t>301160013</t>
  </si>
  <si>
    <t>铝合金棒</t>
  </si>
  <si>
    <t>6061 T6,22.5×25.5</t>
  </si>
  <si>
    <t>bac7c60e058e43bbad613dac8b137547</t>
  </si>
  <si>
    <t>72a6c0b3a9b44a37bc570abd50e636e7</t>
  </si>
  <si>
    <t>965edd223d694a3abcf6a5f59fa7ad5b</t>
  </si>
  <si>
    <t>301210305</t>
  </si>
  <si>
    <t>022Cr19Ni10 Φ32×1.0</t>
  </si>
  <si>
    <t>39c1dd8803604df1bb1d1928c0aff69f</t>
  </si>
  <si>
    <t>734d0f7091b14d79916e33bdab8dd3de</t>
  </si>
  <si>
    <t>f766bcc1cbb64956aef88a3e2f041fe3</t>
  </si>
  <si>
    <t>202850264</t>
  </si>
  <si>
    <t>SYJ-A00-919018</t>
  </si>
  <si>
    <t>80f24cd8bfc6446995c51c12568c530a</t>
  </si>
  <si>
    <t>73a62cc511824ddf94ecdbe8a8ef5497</t>
  </si>
  <si>
    <t>5729c52701f44a8083a3524c2880faba</t>
  </si>
  <si>
    <t>201500310</t>
  </si>
  <si>
    <t>SBV-A07-001125</t>
  </si>
  <si>
    <t>b9e7109b74804329ab7bce35915ee33c</t>
  </si>
  <si>
    <t>73de869a31d942cdbe74555be01ce3f1</t>
  </si>
  <si>
    <t>a6a7a977b5ec4fedbd941419c87490ac</t>
  </si>
  <si>
    <t>201500370</t>
  </si>
  <si>
    <t>SBV-A17-001098</t>
  </si>
  <si>
    <t>8bea12ea1d85401683b97cb30b8b5737</t>
  </si>
  <si>
    <t>73f2b2f0710c415fbcefb1642d635106</t>
  </si>
  <si>
    <t>dea837ff56624fee91ba997a91dc3ec8</t>
  </si>
  <si>
    <t>301060012</t>
  </si>
  <si>
    <t>TP2 M2 Φ6.35×0.7 LWC</t>
  </si>
  <si>
    <t>ae7a573df74c4dc4a21d52daf6b4ce82</t>
  </si>
  <si>
    <t>74e7c7383e454d35898bfbe10b72065a</t>
  </si>
  <si>
    <t>f02b98671a1945d2a7a291e51c24d698</t>
  </si>
  <si>
    <t>301080035</t>
  </si>
  <si>
    <t>QZY-1/180 Φ0.08</t>
  </si>
  <si>
    <t>b669b92a558f4cb7a965c1db667cfe7f</t>
  </si>
  <si>
    <t>74f4ecf702f543359d436a51098429ac</t>
  </si>
  <si>
    <t>dacd29a1a2c24d7b8ccb12806341e10c</t>
  </si>
  <si>
    <t>301050238</t>
  </si>
  <si>
    <t>TP2 Y2 Φ104.8×4.8</t>
  </si>
  <si>
    <t>3cacea9ded614e2aacc75e57f1fcc22a</t>
  </si>
  <si>
    <t>75ae296c3dc34c288b112df03813d052</t>
  </si>
  <si>
    <t>73c893cc61ec473281a0e31f30bbbca3</t>
  </si>
  <si>
    <t>301220200</t>
  </si>
  <si>
    <t>SUS304(B) S24</t>
  </si>
  <si>
    <t>5ebeff6916494dadad25c573e0c1dde2</t>
  </si>
  <si>
    <t>75fe450608b14d8f991ae4be21fcba8a</t>
  </si>
  <si>
    <t>d9a203fdbeca410997200a88b8da2b67</t>
  </si>
  <si>
    <t>301050717</t>
  </si>
  <si>
    <t>TP2 Y2 Φ19.05×2.5</t>
  </si>
  <si>
    <t>84f244571f1e4d6289345f01ce773535</t>
  </si>
  <si>
    <t>76427e91ab7e4b92a0b7d5a346d2c9eb</t>
  </si>
  <si>
    <t>8ce324242c1e490392713945aa206871</t>
  </si>
  <si>
    <t>721250420</t>
  </si>
  <si>
    <t>内阀座毛坯</t>
  </si>
  <si>
    <t>MDF-B01-044005</t>
  </si>
  <si>
    <t>3db7428b8d634be6a20b9e684fdd3273</t>
  </si>
  <si>
    <t>76a16e0dda2d4354a28432126f4fca75</t>
  </si>
  <si>
    <t>8184cbb5a418400a9ee8af7f9232dbaa</t>
  </si>
  <si>
    <t>201600924</t>
  </si>
  <si>
    <t>DXF-D25-001020</t>
  </si>
  <si>
    <t>6d40a311234f4182bf360b3ffd579670</t>
  </si>
  <si>
    <t>7745aa73388b4c60833f6c875d03022c</t>
  </si>
  <si>
    <t>025af80217b7472a82953a6c54ab7716</t>
  </si>
  <si>
    <t>301110677</t>
  </si>
  <si>
    <t>C3771BDS Φ12</t>
  </si>
  <si>
    <t>5e9cb715195a4f5b91783cb3c0ca6e5d</t>
  </si>
  <si>
    <t>774dcc8d31dc4f869ace7b79ad9aae10</t>
  </si>
  <si>
    <t>d05c43abd3b24ed98fe55ae84ee60672</t>
  </si>
  <si>
    <t>201501255</t>
  </si>
  <si>
    <t>SBV-A06-001130(Q122A)</t>
  </si>
  <si>
    <t>de3827915fc0466b8e1735f237c00e83</t>
  </si>
  <si>
    <t>77978607b4bf49e8a94d8a17daa5478d</t>
  </si>
  <si>
    <t>b3b8ecb08ef043ca96bcb7bd2f402f91</t>
  </si>
  <si>
    <t>301220348</t>
  </si>
  <si>
    <t>SUS304 S19</t>
  </si>
  <si>
    <t>c2be1c73a568428a89a2accb73c25264</t>
  </si>
  <si>
    <t>779f8e1c70de4f7cb4eb891a7140e01b</t>
  </si>
  <si>
    <t>3663f24065b24cde9eafe11f741c75ab</t>
  </si>
  <si>
    <t>301050102</t>
  </si>
  <si>
    <t>TP2 Y2 Φ4.76×0.7</t>
  </si>
  <si>
    <t>e9bc36ab026a4f328d6c43ad89c66227</t>
  </si>
  <si>
    <t>77ae567ab9c5422bb2224e5fd3a5d50f</t>
  </si>
  <si>
    <t>8d9c1e14f75744d3bcf844b7028b0108</t>
  </si>
  <si>
    <t>301220177</t>
  </si>
  <si>
    <t>SUS303 Φ20</t>
  </si>
  <si>
    <t>1615b7e5c9a143578efbd7ddc975e4ce</t>
  </si>
  <si>
    <t>77f3ee92a1cb4bde83ccc413dfa0068f</t>
  </si>
  <si>
    <t>da034a035eef42c291c0aee60ce22eb6</t>
  </si>
  <si>
    <t>201500040</t>
  </si>
  <si>
    <t>SBV-A11-001073(Q093A)</t>
  </si>
  <si>
    <t>1b362f436b45429b95a9983d0d9b47ae</t>
  </si>
  <si>
    <t>78e944e5c2d7470bb94e5765ab97e816</t>
  </si>
  <si>
    <t>98f6baa5a39848c9a921b388a919921e</t>
  </si>
  <si>
    <t>201600909</t>
  </si>
  <si>
    <t>DXF-D10-079002</t>
  </si>
  <si>
    <t>5c235e6ef92941ec8cccf9c372cc9023</t>
  </si>
  <si>
    <t>792ce183fb644881882a2e684bdbdbde</t>
  </si>
  <si>
    <t>df66c4d8a31c430d8de13b73e3141dbc</t>
  </si>
  <si>
    <t>301240213</t>
  </si>
  <si>
    <t>SUS301 H t0.1×54</t>
  </si>
  <si>
    <t>3f3b9baf7d764771a80006b3521c8855</t>
  </si>
  <si>
    <t>79427052425243afaa3a60e2ffb5a235</t>
  </si>
  <si>
    <t>0b8ffcb93c2241f7a69cfe5859aafd96</t>
  </si>
  <si>
    <t>301110124</t>
  </si>
  <si>
    <t>C3604BDS Φ6.5</t>
  </si>
  <si>
    <t>97b208a04a22494b89d930b5884e0f31</t>
  </si>
  <si>
    <t>795c64f178f947c6865ef1ae671cc6a9</t>
  </si>
  <si>
    <t>6cc61bb6a2994fb6993c0965d4380990</t>
  </si>
  <si>
    <t>201250049</t>
  </si>
  <si>
    <t>MDF-A03-004006</t>
  </si>
  <si>
    <t>2893e075403e40ef99892c8e75e2b3df</t>
  </si>
  <si>
    <t>799a72fe0ccb401a9d1ab6dd830e7d6b</t>
  </si>
  <si>
    <t>1d7439d9d798446795227a0e939865c3</t>
  </si>
  <si>
    <t>301050856</t>
  </si>
  <si>
    <t>TP2 H02 Φ38.55×1.58</t>
  </si>
  <si>
    <t>bff3c52078d04846882c8a805a5a9610</t>
  </si>
  <si>
    <t>7a0a18ddfbcf46b2b46a9e99c4e61d0b</t>
  </si>
  <si>
    <t>93d8314a1db34660a6f4b33090a11010</t>
  </si>
  <si>
    <t>206600500</t>
  </si>
  <si>
    <t>接头组件毛坯</t>
  </si>
  <si>
    <t>PS50-03011</t>
  </si>
  <si>
    <t>05c2ba1cb7cd4fca9482a31b01bfd710</t>
  </si>
  <si>
    <t>7a478fe2faa446f5a34aa2ed3991006a</t>
  </si>
  <si>
    <t>beeaf3981d474aa4bdd45db1d6c439af</t>
  </si>
  <si>
    <t>202050113</t>
  </si>
  <si>
    <t>RFG-D05-001013</t>
  </si>
  <si>
    <t>5f33513be6d44097bafed90ccf161178</t>
  </si>
  <si>
    <t>7a5c8c6d17974891ba0b47c04695204e</t>
  </si>
  <si>
    <t>5010c25ee7a248c4bd2a9daffccc294a</t>
  </si>
  <si>
    <t>206610026</t>
  </si>
  <si>
    <t>HPV-0801</t>
  </si>
  <si>
    <t>055bc8fb9fb1437990ba62590133d0cd</t>
  </si>
  <si>
    <t>7a971a9c747f4c6c95b508dd40754773</t>
  </si>
  <si>
    <t>359ebc8f75bb4a2cbfa8988b5c1afac5</t>
  </si>
  <si>
    <t>201500014</t>
  </si>
  <si>
    <t>SBV-B05-001022(Q009A)</t>
  </si>
  <si>
    <t>71eae56463dc4019bfb996428412efd3</t>
  </si>
  <si>
    <t>7be3d88e74e44a30b267b9d50724b0cc</t>
  </si>
  <si>
    <t>6dab8e197b7346d190de248b85cbfc57</t>
  </si>
  <si>
    <t>201500016</t>
  </si>
  <si>
    <t>SBV-B05-001026(Q015)</t>
  </si>
  <si>
    <t>73ca75d1c635476fa74faec4280f66c8</t>
  </si>
  <si>
    <t>7c458c6069a944a3a65a179e2a123125</t>
  </si>
  <si>
    <t>f3e948cd7d4c40228ae0dfeead18e3c4</t>
  </si>
  <si>
    <t>301050066</t>
  </si>
  <si>
    <t>TP2 Y2 Φ23.5×1.3</t>
  </si>
  <si>
    <t>5768fae3026b4244ab1802ccae9fbfbf</t>
  </si>
  <si>
    <t>7c60c774dd8449cb860a0f9ccf167c56</t>
  </si>
  <si>
    <t>f8965f8524ee4a6b936302742a73245a</t>
  </si>
  <si>
    <t>301220144</t>
  </si>
  <si>
    <t>SUS303 S19</t>
  </si>
  <si>
    <t>30fafabfa8594a6bb178c18f9c79a250</t>
  </si>
  <si>
    <t>7c7ea6a0e1f449dca1ed9d3057a307a1</t>
  </si>
  <si>
    <t>16ea6d384a7646b7accde842f23c4a58</t>
  </si>
  <si>
    <t>301080047</t>
  </si>
  <si>
    <t>QZY-1/180 Φ0.15</t>
  </si>
  <si>
    <t>bfc2c2a67e544d5889cdd06428f11790</t>
  </si>
  <si>
    <t>7cd50e04fc7b4347858274fe688103c2</t>
  </si>
  <si>
    <t>9ae68268f34540278969c9017badbe35</t>
  </si>
  <si>
    <t>201502221</t>
  </si>
  <si>
    <t>SBV-A25-001149(Q138A)</t>
  </si>
  <si>
    <t>cb22fcbcae634375999953f3eeac3543</t>
  </si>
  <si>
    <t>7d06b009c5ce4e1d9732d766acf30b58</t>
  </si>
  <si>
    <t>f6868e701e7744c6b9daa447309216a2</t>
  </si>
  <si>
    <t>201601001</t>
  </si>
  <si>
    <t>DXF-D50-079006</t>
  </si>
  <si>
    <t>a7c2ec0d7c4b4fe0badc375ddeda9bda</t>
  </si>
  <si>
    <t>7d43851f892b43719799a631639cf533</t>
  </si>
  <si>
    <t>ac367b579f42430e8fdae5b9f348341a</t>
  </si>
  <si>
    <t>301110592</t>
  </si>
  <si>
    <t>C3771BDS Φ22</t>
  </si>
  <si>
    <t>9a862632800e4828bb688762f2a1a4c3</t>
  </si>
  <si>
    <t>7d5b316802bb435fb0719ac665cc10d4</t>
  </si>
  <si>
    <t>6ab424cb037749548b83b995f67b1130</t>
  </si>
  <si>
    <t>201600997</t>
  </si>
  <si>
    <t>DXF-D50-001001</t>
  </si>
  <si>
    <t>47ce23e9112f452e86c89f3dea0ff606</t>
  </si>
  <si>
    <t>7d5d89b342a541dcad6c4881746143c0</t>
  </si>
  <si>
    <t>5719cc8369724c77a6ba950df9d37752</t>
  </si>
  <si>
    <t>301110045</t>
  </si>
  <si>
    <t>C3604BDS Φ18</t>
  </si>
  <si>
    <t>5855c47bcb8248c2b00bf6b06b870db9</t>
  </si>
  <si>
    <t>7e32a4a1e47d4a7f938c9ad590decd92</t>
  </si>
  <si>
    <t>7c40d2080a4c4b41882f93021ee23be7</t>
  </si>
  <si>
    <t>301110339</t>
  </si>
  <si>
    <t>C3604 φ26</t>
  </si>
  <si>
    <t>d1e5014ff59141a6befb0ce7c236ee9f</t>
  </si>
  <si>
    <t>7e39eb03b82b49b9b8da768364c6ceb8</t>
  </si>
  <si>
    <t>d64a053491db47259506ddebe33c97d3</t>
  </si>
  <si>
    <t>721200033</t>
  </si>
  <si>
    <t>FDF-F11-004004</t>
  </si>
  <si>
    <t>4a64b341c2784a9d9aabc2efadf8e78d</t>
  </si>
  <si>
    <t>7e3d078f5ea84471967b859abd809144</t>
  </si>
  <si>
    <t>d2be0ea63bdb4d5a9566b497939e198e</t>
  </si>
  <si>
    <t>3ffaaab583464fb0b3248d5474ed7ccc</t>
  </si>
  <si>
    <t>7ee7de0a759749d9b502633160800eed</t>
  </si>
  <si>
    <t>79bcdc38248040fa991e565c6199f0c8</t>
  </si>
  <si>
    <t>301280084</t>
  </si>
  <si>
    <t>不锈钢弹簧钢丝</t>
  </si>
  <si>
    <t>SUS304-WPB Φ1.3</t>
  </si>
  <si>
    <t>8b9aeaed00bb4357ac7f019cccafef13</t>
  </si>
  <si>
    <t>7f30da1aaa844e1eb62b26e1bfb91a9b</t>
  </si>
  <si>
    <t>d18afa6ba235467cb317ec7d4ced2d50</t>
  </si>
  <si>
    <t>301200338</t>
  </si>
  <si>
    <t>SUS304 Φ8×0.5</t>
  </si>
  <si>
    <t>53c35bc87e2b4a05afd77f34d19e7f2c</t>
  </si>
  <si>
    <t>7fa371a5b3bb449aa93171082b8d1fcf</t>
  </si>
  <si>
    <t>84b3e8202574421b8b82b6a40edea483</t>
  </si>
  <si>
    <t>301050121</t>
  </si>
  <si>
    <t>TP2 Y2 Φ6.35×1.0</t>
  </si>
  <si>
    <t>2ce9ecdefad14414832ebb27bcb9b78d</t>
  </si>
  <si>
    <t>80882654158c44f68f611e9b5bdf29e9</t>
  </si>
  <si>
    <t>96f3df5989364548b8012b5b93021a86</t>
  </si>
  <si>
    <t>201290495</t>
  </si>
  <si>
    <t>HDF35H-004001</t>
  </si>
  <si>
    <t>56c8c004366249908abe8bbbc6ac1d72</t>
  </si>
  <si>
    <t>8095c10581294709b923777e6a3657cd</t>
  </si>
  <si>
    <t>41b8ce0333dc4763817512a33bdaf742</t>
  </si>
  <si>
    <t>301190155</t>
  </si>
  <si>
    <t>SUS304 Φ12×2</t>
  </si>
  <si>
    <t>4430fed813ab4ff2907523f7e5dfa010</t>
  </si>
  <si>
    <t>80dc07f757dd44fd9b509b3e7bc55a13</t>
  </si>
  <si>
    <t>aace5386868a4600975c2fa0c20f60dd</t>
  </si>
  <si>
    <t>301110128</t>
  </si>
  <si>
    <t>C3604BDS S17</t>
  </si>
  <si>
    <t>03e49e75405243dc811fdf842cffd794</t>
  </si>
  <si>
    <t>80e83dac40d7454f8efe4dd18f4835a4</t>
  </si>
  <si>
    <t>9a11defbcdd7401788378f00cb3df148</t>
  </si>
  <si>
    <t>301080037</t>
  </si>
  <si>
    <t>QZY-1/180 Φ0.09</t>
  </si>
  <si>
    <t>fd99efdf15064452801c768529952bde</t>
  </si>
  <si>
    <t>811dcd68413a45b49fba89d33f9296ec</t>
  </si>
  <si>
    <t>53c5233231c6460188d4bda3909c2293</t>
  </si>
  <si>
    <t>301050038</t>
  </si>
  <si>
    <t>TP2 Y2 Φ16.65(ID)×1.2</t>
  </si>
  <si>
    <t>22cabf3a8e0c44beba1457074ea629de</t>
  </si>
  <si>
    <t>812b46cf21b14c6f9cbc9ae2ea2b9db5</t>
  </si>
  <si>
    <t>82751ed168604bf5b6d99f767300e0ff</t>
  </si>
  <si>
    <t>301060006</t>
  </si>
  <si>
    <t>TP2 M2 Φ12.7×0.8 LWC</t>
  </si>
  <si>
    <t>dfb5a2fdbfb54979be0add4e797db554</t>
  </si>
  <si>
    <t>817043ccccda4b2389e1c332847c496c</t>
  </si>
  <si>
    <t>62f7d0f1ec644f548af24c5d1c18f3f0</t>
  </si>
  <si>
    <t>301050888</t>
  </si>
  <si>
    <t>TP2 Y2 Φ25.58(ID)×1.2</t>
  </si>
  <si>
    <t>32c14e2751f146aeba351c98df5e15d0</t>
  </si>
  <si>
    <t>81a589c41c4642fda6b923fee551a83c</t>
  </si>
  <si>
    <t>e7740bd385584a4ba388a3123845acaf</t>
  </si>
  <si>
    <t>301050108</t>
  </si>
  <si>
    <t>TP2 Y2 Φ52.4×3.0</t>
  </si>
  <si>
    <t>92fc2a89c348437a9a5efdb1b2f5b190</t>
  </si>
  <si>
    <t>81d44bcf3a5343f4b43c9747f537b333</t>
  </si>
  <si>
    <t>1853e57f057240388698f9b993f782e8</t>
  </si>
  <si>
    <t>301220020</t>
  </si>
  <si>
    <t>SUS303Cu Φ9</t>
  </si>
  <si>
    <t>afcbbeee46cc422aa7e2de41993b49fa</t>
  </si>
  <si>
    <t>82f7b551d7d343ddb18985385c600493</t>
  </si>
  <si>
    <t>7023f9475bfb4c7da674199c0cd89082</t>
  </si>
  <si>
    <t>201504170</t>
  </si>
  <si>
    <t>SBV-A05-001280(Q241A)</t>
  </si>
  <si>
    <t>43ca179ab33f4c8b91953525322887a3</t>
  </si>
  <si>
    <t>833aa8894a244cbfad760b49c43a3d1d</t>
  </si>
  <si>
    <t>1e6a2ba9280f41d19774d9584e580b4b</t>
  </si>
  <si>
    <t>301220046</t>
  </si>
  <si>
    <t>00Cr13Si2 Φ10.2(-0.04/-0.07)</t>
  </si>
  <si>
    <t>260992b909be41308810fe0e9bf006a4</t>
  </si>
  <si>
    <t>83879e17062d48e685475e6b6a43037c</t>
  </si>
  <si>
    <t>20a00c5fd348494e9777fdec23655de0</t>
  </si>
  <si>
    <t>301110042</t>
  </si>
  <si>
    <t>C3604BDS Φ15</t>
  </si>
  <si>
    <t>9ca3bbcf8082413b830b89d1028dd692</t>
  </si>
  <si>
    <t>83a796afbe2c4595885b3f379f3e5fe0</t>
  </si>
  <si>
    <t>eb89e218dc474153b71de9d7d4ef165a</t>
  </si>
  <si>
    <t>201503538</t>
  </si>
  <si>
    <t>SBV-A17-001263</t>
  </si>
  <si>
    <t>6f58dc7c2db54f428900e7e435421969</t>
  </si>
  <si>
    <t>83c50725761d407eaa6a70dac5c9f373</t>
  </si>
  <si>
    <t>6e54882fb41c47069f17a48938598ff7</t>
  </si>
  <si>
    <t>201200795</t>
  </si>
  <si>
    <t>FDF-S02-005001</t>
  </si>
  <si>
    <t>ba9700efacc7492c8f56ad5db8f5bd85</t>
  </si>
  <si>
    <t>83fac020dc6e4d3ebb460f69e79028d5</t>
  </si>
  <si>
    <t>d095b36a06a94f0f9813250c303d3f70</t>
  </si>
  <si>
    <t>301210120</t>
  </si>
  <si>
    <t>SUS304 Φ16×0.9</t>
  </si>
  <si>
    <t>636c176f3547443c9b9941fcb1544dd8</t>
  </si>
  <si>
    <t>8493eb4467324c2db743e37484f52f54</t>
  </si>
  <si>
    <t>3608c8c4e8de415f9a32e1d16b4ecc81</t>
  </si>
  <si>
    <t>301050136</t>
  </si>
  <si>
    <t>TP2 Y2 Φ8.9×0.7</t>
  </si>
  <si>
    <t>01f943a4295540bb9edc84276bbb19e3</t>
  </si>
  <si>
    <t>850c44674a3a4d97bdaaeeba3ffb9f74</t>
  </si>
  <si>
    <t>7fa1422a5b59435e9637343db82255b8</t>
  </si>
  <si>
    <t>301220281</t>
  </si>
  <si>
    <t>SUS303 Φ9</t>
  </si>
  <si>
    <t>daf51a24774a47a49efef222f200dc77</t>
  </si>
  <si>
    <t>855078b675864e5584596ea27e21565a</t>
  </si>
  <si>
    <t>8554a3252caf4f92bdbd2e357096387c</t>
  </si>
  <si>
    <t>201600162</t>
  </si>
  <si>
    <t>单向阀毛坯</t>
  </si>
  <si>
    <t>DXF-B26-001006</t>
  </si>
  <si>
    <t>dc2bc713e91845499f9126378100ed49</t>
  </si>
  <si>
    <t>857e3510560a4ba0ad0d5354d4783aba</t>
  </si>
  <si>
    <t>6c4e4c075b1c4ab19f1894a28f89709f</t>
  </si>
  <si>
    <t>201501737</t>
  </si>
  <si>
    <t>SBV-A09-001127(Q119A)</t>
  </si>
  <si>
    <t>fad2574c51d64c4a82a23e89488dcfb4</t>
  </si>
  <si>
    <t>8618b26972384d2f9d1c19adfe754738</t>
  </si>
  <si>
    <t>1a8c5882ff0444e594102472a4076720</t>
  </si>
  <si>
    <t>301050107</t>
  </si>
  <si>
    <t>TP2 Y2 Φ5.6×0.8</t>
  </si>
  <si>
    <t>0197ac6f2312447686fc100e7624c089</t>
  </si>
  <si>
    <t>861b54289fba4008a58da6edf6bd2d09</t>
  </si>
  <si>
    <t>d411734f405f42eda9ec262aa4cf7c3e</t>
  </si>
  <si>
    <t>201502255</t>
  </si>
  <si>
    <t>SBV-B10-001151(Q139A)</t>
  </si>
  <si>
    <t>bb787a30b9cd4e39a270ba760d07c640</t>
  </si>
  <si>
    <t>86d8b5d0f2484bb98da187a16e7e682b</t>
  </si>
  <si>
    <t>85ad4f3231934318b4f2e7f2535c5816</t>
  </si>
  <si>
    <t>202850050</t>
  </si>
  <si>
    <t>SYJ-A00-919008</t>
  </si>
  <si>
    <t>79fe3bc367b246caab097a1cc8930a83</t>
  </si>
  <si>
    <t>86f1945b3f014060a0b668a12ff35bc1</t>
  </si>
  <si>
    <t>439f1f60418a42f6a922002bd64aceed</t>
  </si>
  <si>
    <t>301210196</t>
  </si>
  <si>
    <t>SUS304L Φ31.8×0.8</t>
  </si>
  <si>
    <t>a180644a6ee0400abe326eea7c7ea41a</t>
  </si>
  <si>
    <t>8717284a392a46959ffdcfeb7fffdf66</t>
  </si>
  <si>
    <t>bc4796fec0b0414582141fb37c68b6f9</t>
  </si>
  <si>
    <t>203050115</t>
  </si>
  <si>
    <t>ZJF-A55-001024</t>
  </si>
  <si>
    <t>9a4f44e2346446cda377bb5744cb5c8a</t>
  </si>
  <si>
    <t>8764070657d24a0db4bab9b2b3a82ebe</t>
  </si>
  <si>
    <t>062b56f08e254d0b808f4b0302891492</t>
  </si>
  <si>
    <t>301220107</t>
  </si>
  <si>
    <t>SUS303Cu Φ6</t>
  </si>
  <si>
    <t>ebcb9d98ac5c494bb067e61c45d3e7f0</t>
  </si>
  <si>
    <t>8778dd3ee2124802b8595a1060ab4a89</t>
  </si>
  <si>
    <t>90f316adde85432a897b2c6739f4e853</t>
  </si>
  <si>
    <t>301050111</t>
  </si>
  <si>
    <t>TP2 Y2 Φ56×3.0</t>
  </si>
  <si>
    <t>9a1f719833c64617a95e1fe12862788a</t>
  </si>
  <si>
    <t>878841270d004ea98d51a48af2066d7a</t>
  </si>
  <si>
    <t>14aa4a127abf4f4cb55c44a89740fa32</t>
  </si>
  <si>
    <t>201250182</t>
  </si>
  <si>
    <t>MDF-A02-015001</t>
  </si>
  <si>
    <t>ebc6a6d229cd433680bfef35ff7e5c71</t>
  </si>
  <si>
    <t>87e0638c684441718c05d6bb7f09ca28</t>
  </si>
  <si>
    <t>3d7c25b3688a449e9ac8e2db3339482f</t>
  </si>
  <si>
    <t>201290149</t>
  </si>
  <si>
    <t>HDF22HM-004001</t>
  </si>
  <si>
    <t>ad9252677cc744d19c5fedc07389ec29</t>
  </si>
  <si>
    <t>87f0286f880749328d68810413a43a70</t>
  </si>
  <si>
    <t>b7604220eb0145e8a88a297a553ab411</t>
  </si>
  <si>
    <t>301050876</t>
  </si>
  <si>
    <t>TP2 Y2  Φ59.1×2.4</t>
  </si>
  <si>
    <t>22ae6281fc3a4148991655874e805962</t>
  </si>
  <si>
    <t>880653ec81474d02b05fe9e4a75cc971</t>
  </si>
  <si>
    <t>23c2507c2eaf4cf99a43642e7d617833</t>
  </si>
  <si>
    <t>203050095</t>
  </si>
  <si>
    <t>ZJF-A56-001022(F504K)</t>
  </si>
  <si>
    <t>ed68b3db5f50435a9c73ea391d2b1baa</t>
  </si>
  <si>
    <t>880ee50970584f9c91d2a993392830ee</t>
  </si>
  <si>
    <t>d3376573a02d4409a1893e0558ab5b03</t>
  </si>
  <si>
    <t>201500043</t>
  </si>
  <si>
    <t>SBV-A05-001074(Q094A)</t>
  </si>
  <si>
    <t>e312bc841cd04c988e4380e3e629b2d4</t>
  </si>
  <si>
    <t>882efe908d8a43708bbde014b9ffac81</t>
  </si>
  <si>
    <t>e640e5ab7975482fbc4f8ae9b39cc8ad</t>
  </si>
  <si>
    <t>301110692</t>
  </si>
  <si>
    <t>C3604 Φ26(丰山)</t>
  </si>
  <si>
    <t>f95429a453524053bf58170a8af3485a</t>
  </si>
  <si>
    <t>88b4bd6edd3a4dd69e784a8d9d4ebcc8</t>
  </si>
  <si>
    <t>4c461e15b7784c5c8cae36a595f27f20</t>
  </si>
  <si>
    <t>301210163</t>
  </si>
  <si>
    <t>SUS304 Φ16×1.5</t>
  </si>
  <si>
    <t>8708af0c0f374e4bad9df4792143ec41</t>
  </si>
  <si>
    <t>896a155e046144ca84726e4a2277f4ea</t>
  </si>
  <si>
    <t>3e0d0da24fb149019b1e6582780b3efa</t>
  </si>
  <si>
    <t>722050317</t>
  </si>
  <si>
    <t>RFG-F04-001101</t>
  </si>
  <si>
    <t>cfd48b3762074f548bf4bb4baae82742</t>
  </si>
  <si>
    <t>89f6d758acdb4e6aa05d2754ebc3ff04</t>
  </si>
  <si>
    <t>9a4db63896824820931a52d915781af8</t>
  </si>
  <si>
    <t>301110024</t>
  </si>
  <si>
    <t>C3602 Φ24</t>
  </si>
  <si>
    <t>d44ee50040f045028426948c4ab62125</t>
  </si>
  <si>
    <t>8a4595a8c5ee4aa297e9e238d87623cb</t>
  </si>
  <si>
    <t>4ab721884f58425f9783f5f060190fa9</t>
  </si>
  <si>
    <t>203050043</t>
  </si>
  <si>
    <t>ZJF-A44-001002(F380K)</t>
  </si>
  <si>
    <t>32d586488e4d423a92cd5e866ddca16b</t>
  </si>
  <si>
    <t>8aa0768123b44079b05ddbd75a3f2200</t>
  </si>
  <si>
    <t>93a30b487797422da344c67076ac9d75</t>
  </si>
  <si>
    <t>201220026</t>
  </si>
  <si>
    <t>SDF15L-004001</t>
  </si>
  <si>
    <t>5b68d2a5a95c49cfb736994c982ed71b</t>
  </si>
  <si>
    <t>8b1b150a68bc466db95998a5ffabc732</t>
  </si>
  <si>
    <t>904a020fd979466493fcc407ab378253</t>
  </si>
  <si>
    <t>339982960</t>
  </si>
  <si>
    <t>Φ1.8/油55CrSi/中钢</t>
  </si>
  <si>
    <t>d1784a2085d444aca8f4859195e68b83</t>
  </si>
  <si>
    <t>8b37a9c7513e4b178b957ba07dc375e4</t>
  </si>
  <si>
    <t>bc1ca96e54e74dd592a4fcafb5e543e4</t>
  </si>
  <si>
    <t>301220312</t>
  </si>
  <si>
    <t>SUS304 Φ18</t>
  </si>
  <si>
    <t>f9e2c713380d44ddba8ae8c203ea915b</t>
  </si>
  <si>
    <t>8b5a67d66a06461db4d593424de45ff8</t>
  </si>
  <si>
    <t>d38cb16e0eab455e891a358bbc0cd3ba</t>
  </si>
  <si>
    <t>301220343</t>
  </si>
  <si>
    <t>SUS303 S28</t>
  </si>
  <si>
    <t>17ef6eb903a1434a99f425b5b98e2ecc</t>
  </si>
  <si>
    <t>8bbd292c649c4a2492d9a87261d08903</t>
  </si>
  <si>
    <t>080ce5bcdbf841f09b1360935b5a6d56</t>
  </si>
  <si>
    <t>201500375</t>
  </si>
  <si>
    <t>SBV-A17-001119</t>
  </si>
  <si>
    <t>2ed59090f9ee4cea80e8017e53c5923a</t>
  </si>
  <si>
    <t>8bdfa340fa7e45b1a5213926596951df</t>
  </si>
  <si>
    <t>5559d542fcef40d9a2b0c54b10092576</t>
  </si>
  <si>
    <t>301050160</t>
  </si>
  <si>
    <t>TP2 Φ35×1.7</t>
  </si>
  <si>
    <t>1da65435319c421aa6576989153254c5</t>
  </si>
  <si>
    <t>8c4a674baddd46c68c2d7efb1548a482</t>
  </si>
  <si>
    <t>5cf528c62a9f41dab243d57fbbadc38c</t>
  </si>
  <si>
    <t>301110040</t>
  </si>
  <si>
    <t>C3604BDS Φ12</t>
  </si>
  <si>
    <t>4b3519683273458e888ccf908ac46cc1</t>
  </si>
  <si>
    <t>8c81332788c44155a955b85ae4809b80</t>
  </si>
  <si>
    <t>4cd0ce22559a46228d4512cc9d6da3ba</t>
  </si>
  <si>
    <t>201504297</t>
  </si>
  <si>
    <t>SBV-B10-001291(Q252A)</t>
  </si>
  <si>
    <t>57d2210fb1e340f4b3e93b2c180bec54</t>
  </si>
  <si>
    <t>8d1956994b5b43ed8771c9b553641beb</t>
  </si>
  <si>
    <t>ec9cc2bfc7d14737b7eac5a1889109a4</t>
  </si>
  <si>
    <t>201502848</t>
  </si>
  <si>
    <t>SBV-A10-001214(Q188A)</t>
  </si>
  <si>
    <t>06e3d0c65d1049c888366aaa63b13ab6</t>
  </si>
  <si>
    <t>8d7cc6f889024cb8a2f0005664a5e907</t>
  </si>
  <si>
    <t>b37ef01a2a9b4bd9afe8a31d989cbad2</t>
  </si>
  <si>
    <t>201500002</t>
  </si>
  <si>
    <t>SBV-B04-001005(F114A)</t>
  </si>
  <si>
    <t>3ab47824e0e74970b46b2160cb815b00</t>
  </si>
  <si>
    <t>8d9fb79405704ba091c9e9a2b5246144</t>
  </si>
  <si>
    <t>011d5dacfb924dd5998cf8838382efda</t>
  </si>
  <si>
    <t>203240145</t>
  </si>
  <si>
    <t>SHF-G35-926001</t>
  </si>
  <si>
    <t>9b9a3d6098a54bf5b3f505b5c0e6613d</t>
  </si>
  <si>
    <t>8dcd4daefecf41fc9bea940b30a388e1</t>
  </si>
  <si>
    <t>f29fd31337074afd8c824b77cb910e27</t>
  </si>
  <si>
    <t>201501811</t>
  </si>
  <si>
    <t>SBV-A09-001134(Q126A)</t>
  </si>
  <si>
    <t>bf8dd65c3b254a3f8bd96ce7f079d51d</t>
  </si>
  <si>
    <t>8dded06895de49f0a14c785f7debf77e</t>
  </si>
  <si>
    <t>95c5561c2620468aa81790cb0f531c3f</t>
  </si>
  <si>
    <t>301110055</t>
  </si>
  <si>
    <t>C3771 Φ42</t>
  </si>
  <si>
    <t>8ba02d89e98f42e6abe51073c7838899</t>
  </si>
  <si>
    <t>8e11519e4a194044a47ab62f22c69c0b</t>
  </si>
  <si>
    <t>a0076b788dcb49f29766c4ce9bd5cbbb</t>
  </si>
  <si>
    <t>301110517</t>
  </si>
  <si>
    <t>C3604 S17</t>
  </si>
  <si>
    <t>209317958e4e45a2bc57c3a3f875f1c3</t>
  </si>
  <si>
    <t>8e2f81ab5ff2467bb54ba2c043fec67c</t>
  </si>
  <si>
    <t>bc357365d268410793b1b6796fbf693b</t>
  </si>
  <si>
    <t>201502734</t>
  </si>
  <si>
    <t>SBV-A21-001207(Q181A)</t>
  </si>
  <si>
    <t>0ca430457a2b49b08902e104fb585575</t>
  </si>
  <si>
    <t>8e4b120fee9e48bd8c821aaa3b960cb3</t>
  </si>
  <si>
    <t>e739e3f8c3dc42e5bc329a77049c780e</t>
  </si>
  <si>
    <t>301080041</t>
  </si>
  <si>
    <t>QZY-1/180 Φ0.112</t>
  </si>
  <si>
    <t>554c16b6e8e841ca833a670d9df97b44</t>
  </si>
  <si>
    <t>8e7b439fac1a4e08a42d2b39326e41b8</t>
  </si>
  <si>
    <t>f92516edc0fa41f196c53a7ad978577a</t>
  </si>
  <si>
    <t>201502461</t>
  </si>
  <si>
    <t>SBV-A13-001167(Q149A)</t>
  </si>
  <si>
    <t>fe5a1118c0e9499cb021a958de4c4b1a</t>
  </si>
  <si>
    <t>8ebd8b5b49a146b2a32e9e16ffb85d2c</t>
  </si>
  <si>
    <t>af8867d5c51c4f56979f3925cf6226e6</t>
  </si>
  <si>
    <t>301210133</t>
  </si>
  <si>
    <t>不锈钢焊接管</t>
  </si>
  <si>
    <t>SUS304 Φ42×1.5</t>
  </si>
  <si>
    <t>ee9745da59b841a5a9cb31bbf7067e16</t>
  </si>
  <si>
    <t>8ede641a51264f238250e35b1313be9e</t>
  </si>
  <si>
    <t>534d17b68ff143138b24a2ef7912290b</t>
  </si>
  <si>
    <t>301050036</t>
  </si>
  <si>
    <t>TP2 Y2 Φ16×1A</t>
  </si>
  <si>
    <t>801a0b35e3fb4e77bb179c10cc35a064</t>
  </si>
  <si>
    <t>8f6956d1d5e94c0a84c0cce73fa51163</t>
  </si>
  <si>
    <t>c2c5d631b33d42aab241929229cf82aa</t>
  </si>
  <si>
    <t>201290262</t>
  </si>
  <si>
    <t>HDF10H-004003</t>
  </si>
  <si>
    <t>1d6dd3e1e61e404987264a5d116e9e80</t>
  </si>
  <si>
    <t>8f8c4880d3a34720a2a1907fad3a72bd</t>
  </si>
  <si>
    <t>afbc0c013e0241b38c4cfd01a69621a5</t>
  </si>
  <si>
    <t>301210086</t>
  </si>
  <si>
    <t>SUS304 Φ16×1.0</t>
  </si>
  <si>
    <t>ccf0aee7fe254fcab819b86be5018945</t>
  </si>
  <si>
    <t>8ff5da7ff82f4c58ae25d304ea3ab6d9</t>
  </si>
  <si>
    <t>0341283dd8d8443aa3d3e8ea713ad923</t>
  </si>
  <si>
    <t>301050104</t>
  </si>
  <si>
    <t>TP2 Y2 Φ41.28×2.0</t>
  </si>
  <si>
    <t>02429beba7044daa971f535dc5724671</t>
  </si>
  <si>
    <t>902124f227614e85bb2a57783700d1ab</t>
  </si>
  <si>
    <t>7472438f4141444781f7645fa2fcb744</t>
  </si>
  <si>
    <t>301220011</t>
  </si>
  <si>
    <t>SUS303Cu Φ11</t>
  </si>
  <si>
    <t>b7fb24c16d7d4cb7b0d81593035ec0ed</t>
  </si>
  <si>
    <t>903f8712585441ca87a20874dba3c691</t>
  </si>
  <si>
    <t>7b05afba70544ae8b6a1240d2fc604e2</t>
  </si>
  <si>
    <t>301230062</t>
  </si>
  <si>
    <t>易切削钢六角钢棒</t>
  </si>
  <si>
    <t>12L14 S20</t>
  </si>
  <si>
    <t>4695c1c9da3c461597aba3d9702d8b8e</t>
  </si>
  <si>
    <t>90f793054a884fca85510aeff3580875</t>
  </si>
  <si>
    <t>07d2416704e048f59a5597afab38a706</t>
  </si>
  <si>
    <t>201500001</t>
  </si>
  <si>
    <t>SBV-B03-001003(F113A)</t>
  </si>
  <si>
    <t>67697f6b048c4033b27c93ec1994ea64</t>
  </si>
  <si>
    <t>91128a5ec34d450cb85b0ef98f39757b</t>
  </si>
  <si>
    <t>ca8d99e0ba3a44abb00f2a0c4b335248</t>
  </si>
  <si>
    <t>206600309</t>
  </si>
  <si>
    <t>PSV01-05003</t>
  </si>
  <si>
    <t>268d5a457b1f43939305eca01c1fba3d</t>
  </si>
  <si>
    <t>91176d7cd44c407e8912e4b2f56bcb35</t>
  </si>
  <si>
    <t>246310ed60154e28801b20c430039a33</t>
  </si>
  <si>
    <t>301240268</t>
  </si>
  <si>
    <t>SUS316L M0.03×21</t>
  </si>
  <si>
    <t>629f8ed0527145008cc431dfdae8d48c</t>
  </si>
  <si>
    <t>9191a0cf9e2d42a192f67e725865e463</t>
  </si>
  <si>
    <t>ffcb587ce0e84ed281aace55c45bc868</t>
  </si>
  <si>
    <t>721250453</t>
  </si>
  <si>
    <t>MDF-A03-004002</t>
  </si>
  <si>
    <t>230fc75323c84c8fb385f9bf61029b5d</t>
  </si>
  <si>
    <t>91e56f126b274a18bab904bc050100b8</t>
  </si>
  <si>
    <t>8fc23c2573eb46328239454e5fba0b1f</t>
  </si>
  <si>
    <t>301050044</t>
  </si>
  <si>
    <t>TP2 Y2 Φ18×1.2</t>
  </si>
  <si>
    <t>f3d26f2637564895ade3d158301b861f</t>
  </si>
  <si>
    <t>9202908813374d0a8ef20c4b58a16326</t>
  </si>
  <si>
    <t>e3b671c92f5a444a9cd4f98171cbe151</t>
  </si>
  <si>
    <t>301220010</t>
  </si>
  <si>
    <t>SUS303Cu Φ10</t>
  </si>
  <si>
    <t>d8a5f7ab9ee84402a95914f99aaa4839</t>
  </si>
  <si>
    <t>921e343fed8e430d8e4ebf6d3b1de71d</t>
  </si>
  <si>
    <t>c7ce26c3ca72455d881aa4783ecaaf9c</t>
  </si>
  <si>
    <t>301220165</t>
  </si>
  <si>
    <t>00Cr13Si2 φ9.98(+0.01/-0.02)</t>
  </si>
  <si>
    <t>47ab7e4c907145859b1feec63352852e</t>
  </si>
  <si>
    <t>935ae777ed774ea684b63305bc1b2d5f</t>
  </si>
  <si>
    <t>ceba4f2b6c214a6f8ce29aa8c0eda881</t>
  </si>
  <si>
    <t>201220069</t>
  </si>
  <si>
    <t>SDF25L-015001</t>
  </si>
  <si>
    <t>ca2286f37e114a40a8c032f7f4cc2ead</t>
  </si>
  <si>
    <t>937a3fe022a141e8bea164c05e6580a6</t>
  </si>
  <si>
    <t>d95acd5721614d989ddeb003952407ce</t>
  </si>
  <si>
    <t>301110724</t>
  </si>
  <si>
    <t>C3602 Φ14</t>
  </si>
  <si>
    <t>c3b29008e5e04a119a1faa09371b84f1</t>
  </si>
  <si>
    <t>939e9e3a3d1644e69d9bcbdbacc7ad3c</t>
  </si>
  <si>
    <t>893e31e9808b43d788b18426a203dc86</t>
  </si>
  <si>
    <t>201500021</t>
  </si>
  <si>
    <t>SBV-B04-001008(Q051A)</t>
  </si>
  <si>
    <t>9bb200520a504118a8b5a1b2d616a672</t>
  </si>
  <si>
    <t>93c799b37cdb4e8bbc313aa7ef715923</t>
  </si>
  <si>
    <t>1cd908da240e4330824ee2a832328d0f</t>
  </si>
  <si>
    <t>721250126</t>
  </si>
  <si>
    <t>MDF-A01-004002</t>
  </si>
  <si>
    <t>4ddfa81ae1d54e4f88f98bb4ba1a7205</t>
  </si>
  <si>
    <t>93e5fe758abd484b9903be7b0f1f948f</t>
  </si>
  <si>
    <t>1d7235d08c2e46f3abb4ff2750da78a3</t>
  </si>
  <si>
    <t>202850249</t>
  </si>
  <si>
    <t>SYJ-A00-919015</t>
  </si>
  <si>
    <t>95425503a969477b9d9fed9997311343</t>
  </si>
  <si>
    <t>94179ca158f442e49e503b98c29fbe1c</t>
  </si>
  <si>
    <t>6799e40e49564989994dcf04e53ec500</t>
  </si>
  <si>
    <t>201504200</t>
  </si>
  <si>
    <t>SBV-A05-001287(Q248A)</t>
  </si>
  <si>
    <t>b16b5c32ca9247aea45aaa41130dcc51</t>
  </si>
  <si>
    <t>941f68c4b2804390a2f2a751cc90ccec</t>
  </si>
  <si>
    <t>7485f84c8b08496ca80101e75a5a3f7f</t>
  </si>
  <si>
    <t>301080127</t>
  </si>
  <si>
    <t>QZY-1/180 Φ0.14</t>
  </si>
  <si>
    <t>b6f08ff7ff49431c951f3b7b7d00c861</t>
  </si>
  <si>
    <t>943eae5c3a924af0af8b48323b1b76a3</t>
  </si>
  <si>
    <t>c3a3fc71195c4eac90213d6b5657f3ce</t>
  </si>
  <si>
    <t>1109000300007</t>
  </si>
  <si>
    <t>SYJ-A00-919022</t>
  </si>
  <si>
    <t>066bcd05f6144a31bf3690d4905a5c5c</t>
  </si>
  <si>
    <t>9466ba89d21146428f7d0f9856190fff</t>
  </si>
  <si>
    <t>4654c204ed5b46109115caa2f6332cc8</t>
  </si>
  <si>
    <t>301210192</t>
  </si>
  <si>
    <t>022Cr19Ni10 Φ45×1.3</t>
  </si>
  <si>
    <t>75d61f132beb4b20a638f8fc2aa4659e</t>
  </si>
  <si>
    <t>95692923d1084a5ea92f715c5040099d</t>
  </si>
  <si>
    <t>4a7a7dd7dd9f48968fede3ec55e5e779</t>
  </si>
  <si>
    <t>301160016</t>
  </si>
  <si>
    <t>6061 T6 41×80</t>
  </si>
  <si>
    <t>5192651aa068491ea81c3fc7adc81523</t>
  </si>
  <si>
    <t>958b38910ef44ffda4c7219c51a76118</t>
  </si>
  <si>
    <t>fa611dfa43dc442aabd76c91e2ee9b12</t>
  </si>
  <si>
    <t>301220218</t>
  </si>
  <si>
    <t>00Cr13Si2 Φ14.05</t>
  </si>
  <si>
    <t>afd37983b5504834a41d49175485905d</t>
  </si>
  <si>
    <t>95a6643d82d54a1f9de3f1c11d6dfb9c</t>
  </si>
  <si>
    <t>d0616f121dff49cfaa1527b8f8bb7530</t>
  </si>
  <si>
    <t>722000036</t>
  </si>
  <si>
    <t>RFK-A04-001003</t>
  </si>
  <si>
    <t>af0f08b3a2564a8fba12e5d5068e202f</t>
  </si>
  <si>
    <t>96057462a0af402e9c625999ba298764</t>
  </si>
  <si>
    <t>6c6b929db27a4b158826002aa644062c</t>
  </si>
  <si>
    <t>301220134</t>
  </si>
  <si>
    <t>SUS303Cu R15.9×8.1×25.3</t>
  </si>
  <si>
    <t>2c5feff2a12845a09c220a1c3365e2b2</t>
  </si>
  <si>
    <t>960758326d884b5ab93c07f244676fa8</t>
  </si>
  <si>
    <t>5a309a176e1545769009c64bc5ea53b4</t>
  </si>
  <si>
    <t>202850253</t>
  </si>
  <si>
    <t>SYJ-A00-919016</t>
  </si>
  <si>
    <t>77f4064639a047e2b66545aa199b34f1</t>
  </si>
  <si>
    <t>9638791552954e39a4027d60f4ec2c8f</t>
  </si>
  <si>
    <t>92a4e841f48d4308817bca59b8a42c8d</t>
  </si>
  <si>
    <t>301210186</t>
  </si>
  <si>
    <t>SUS304L Φ51(OD)×1.2</t>
  </si>
  <si>
    <t>535f5cf68819484aa7ffc1ec15df819c</t>
  </si>
  <si>
    <t>964ca36fbb984739b3cd8d1a6a90e502</t>
  </si>
  <si>
    <t>25b2aca7105e4485a6e9961825456287</t>
  </si>
  <si>
    <t>301110563</t>
  </si>
  <si>
    <t>C3602 24×24</t>
  </si>
  <si>
    <t>fe1216039b704df0bb6096ca64a2113d</t>
  </si>
  <si>
    <t>9650f38822ef4c87881130635bea0c79</t>
  </si>
  <si>
    <t>1c784be269eb47f88b3585ff6e44083b</t>
  </si>
  <si>
    <t>301240123</t>
  </si>
  <si>
    <t>SUS301,H,t0.15×21</t>
  </si>
  <si>
    <t>3d1424cf8f2442d99d075e6669397814</t>
  </si>
  <si>
    <t>9653dd4e73204002bdfb2fda677dd2c1</t>
  </si>
  <si>
    <t>c9deef4419cc48de89958851e3490f90</t>
  </si>
  <si>
    <t>301050089</t>
  </si>
  <si>
    <t>TP2 Y2 Φ28.58×1.5</t>
  </si>
  <si>
    <t>2134190bc40f4fbd85dfa19b17c91f53</t>
  </si>
  <si>
    <t>9682b3bcc5d646a090859dfd0f95ef74</t>
  </si>
  <si>
    <t>fbee31ca3a714352b48ac5f3e9102be7</t>
  </si>
  <si>
    <t>201250273</t>
  </si>
  <si>
    <t>MDF-A03-004011</t>
  </si>
  <si>
    <t>c68c6d644801485ea2c132dfbd37d7fe</t>
  </si>
  <si>
    <t>96b65d0a7c5f4b11abc1bfce8ebf70d1</t>
  </si>
  <si>
    <t>37438b6f041e4cdfb0224f983fdc1988</t>
  </si>
  <si>
    <t>202052213</t>
  </si>
  <si>
    <t>RFG-D05-001023</t>
  </si>
  <si>
    <t>c74c21910b1f489aa9983d9bfa542f08</t>
  </si>
  <si>
    <t>96d279dc5c7c422ebd564674332cd148</t>
  </si>
  <si>
    <t>d69dc4bd9fdb44d39f23b6681845e4d1</t>
  </si>
  <si>
    <t>201250176</t>
  </si>
  <si>
    <t>MDF15H-015002</t>
  </si>
  <si>
    <t>850a03d147ef473bb7539216126f23f7</t>
  </si>
  <si>
    <t>96e88410bd384bd99b3f27c67ead8f07</t>
  </si>
  <si>
    <t>521bf54b37c54740ae5a33b291fd66b1</t>
  </si>
  <si>
    <t>1001000300324</t>
  </si>
  <si>
    <t>MZF15H-004001,电镀(锌/锡/镍/PTFE/铜)</t>
  </si>
  <si>
    <t>0a736b926fd74d04b33e00864c1889d1</t>
  </si>
  <si>
    <t>9736098f3df94e69bc4b0adb25716aa1</t>
  </si>
  <si>
    <t>9fdebcce4f784d3ea3afeb58d49f7fdd</t>
  </si>
  <si>
    <t>301210165</t>
  </si>
  <si>
    <t>SUS304 Φ35×2.0</t>
  </si>
  <si>
    <t>e0fc0f7122b44274bbb656f7fdbaf29e</t>
  </si>
  <si>
    <t>975351b579c744099cc029dfe756b262</t>
  </si>
  <si>
    <t>8ef950024bb74d30be6134071e74efc1</t>
  </si>
  <si>
    <t>201503757</t>
  </si>
  <si>
    <t>SBV-A09-001272</t>
  </si>
  <si>
    <t>8c40fa7b8a7e476e9a7ecf0ee54263ae</t>
  </si>
  <si>
    <t>9757ddaf45cb406bbcf6426590183045</t>
  </si>
  <si>
    <t>e0ed9d1ea2534799b10652dee32fc048</t>
  </si>
  <si>
    <t>301240243</t>
  </si>
  <si>
    <t>带 12R11 1500 t0.1×42</t>
  </si>
  <si>
    <t>a8532aff9e33461dab6c6199961832ec</t>
  </si>
  <si>
    <t>97ae226f8f3549ba94c877c37b1d7d7f</t>
  </si>
  <si>
    <t>c7eb3c5fc9ee44aaa764e8e743e86481</t>
  </si>
  <si>
    <t>201920003</t>
  </si>
  <si>
    <t>WSF20L-902001</t>
  </si>
  <si>
    <t>64a44bd08bd84c03938672a9cef5ad5c</t>
  </si>
  <si>
    <t>97c603ef8fd847c893868485217aba35</t>
  </si>
  <si>
    <t>f42b3c0415b64facaf77e0de9baa88aa</t>
  </si>
  <si>
    <t>301110479</t>
  </si>
  <si>
    <t>C3771 φ24</t>
  </si>
  <si>
    <t>2c27b82cf2d24c33a75be1b0204bbf67</t>
  </si>
  <si>
    <t>98198fdcc3ba4806896773f4f1f7db3e</t>
  </si>
  <si>
    <t>05a449283f014285a3572ecace15186a</t>
  </si>
  <si>
    <t>301220255</t>
  </si>
  <si>
    <t>SUS303(B) Φ17</t>
  </si>
  <si>
    <t>506c1462d0ea4fa9a09aef8b078ac883</t>
  </si>
  <si>
    <t>986b609c21af413090742ef89d1972f9</t>
  </si>
  <si>
    <t>882a5055064745538f58fc7bf63ea31d</t>
  </si>
  <si>
    <t>201290263</t>
  </si>
  <si>
    <t>HDF15H-004002</t>
  </si>
  <si>
    <t>fdcbb5a07b8b48a48886f9c7b0c9454e</t>
  </si>
  <si>
    <t>988c8cd54ffd4cbca9304ef054b70add</t>
  </si>
  <si>
    <t>a5407599107a4ff694a6b16b17c43d95</t>
  </si>
  <si>
    <t>301060092</t>
  </si>
  <si>
    <t>TP2 M2 Φ7.94×1.0 LWC</t>
  </si>
  <si>
    <t>e759bb87d4504af08dbdd202d303927a</t>
  </si>
  <si>
    <t>98fd4fd6f50a41ec9b45ea6c3e62f7c3</t>
  </si>
  <si>
    <t>dbb1a53e7fbc435a9e4999cfe44c9997</t>
  </si>
  <si>
    <t>201502936</t>
  </si>
  <si>
    <t>SBV-A06-001229</t>
  </si>
  <si>
    <t>70f29c49c3a640eea2d004e910daf522</t>
  </si>
  <si>
    <t>993b84368ce14b3a909817d94cf43103</t>
  </si>
  <si>
    <t>1365446839824baeb724edb81baddb29</t>
  </si>
  <si>
    <t>301230035</t>
  </si>
  <si>
    <t>圆钢</t>
  </si>
  <si>
    <t>45 Φ20</t>
  </si>
  <si>
    <t>ec1e34d91d6d413cbae99a90c5e5cb65</t>
  </si>
  <si>
    <t>993db5f3cffb4bd6852e393c82b8a3ad</t>
  </si>
  <si>
    <t>44900a25285f4ca2be876989e75520c5</t>
  </si>
  <si>
    <t>201060010</t>
  </si>
  <si>
    <t>MZF25H-012001</t>
  </si>
  <si>
    <t>f92a2c39135a42eb90b4aa3688a95d6a</t>
  </si>
  <si>
    <t>994c5bb534804ad4a8c1a71a28a52380</t>
  </si>
  <si>
    <t>f2c2054091d642c8b763e312b57dd174</t>
  </si>
  <si>
    <t>301220017</t>
  </si>
  <si>
    <t>SUS303Cu Φ5</t>
  </si>
  <si>
    <t>d5bab5d65d5e4ece9cf25c1e778bede4</t>
  </si>
  <si>
    <t>995fe087df7241e4a184c600087f8f14</t>
  </si>
  <si>
    <t>29c6444248504abf9aa06866d279a975</t>
  </si>
  <si>
    <t>201500025</t>
  </si>
  <si>
    <t>SBV-B05-001048(Q060A)</t>
  </si>
  <si>
    <t>0d9e105cbe5e4b88bf35ff4ae5f7c402</t>
  </si>
  <si>
    <t>99859a50e96c4464abf94e924625771e</t>
  </si>
  <si>
    <t>10af646ef7a74942ac5a17bbb9ad9319</t>
  </si>
  <si>
    <t>203240146</t>
  </si>
  <si>
    <t>SHF-G50-926001</t>
  </si>
  <si>
    <t>06045e27c6954c358947b91253e342c0</t>
  </si>
  <si>
    <t>99f589a0bedb4e20aae2d55b6c058036</t>
  </si>
  <si>
    <t>a938b55fb9164162bb2c0cc86be4444c</t>
  </si>
  <si>
    <t>301050739</t>
  </si>
  <si>
    <t>TP2 Y2 Φ28.58×1.8</t>
  </si>
  <si>
    <t>fb6dfce1a1624b06a2db79cf177ddaac</t>
  </si>
  <si>
    <t>9a55f66915e447d8b339966e54bd6172</t>
  </si>
  <si>
    <t>ad5782a5ff8f4ee698f958bbdb831989</t>
  </si>
  <si>
    <t>201290093</t>
  </si>
  <si>
    <t>HDF40H-902001</t>
  </si>
  <si>
    <t>046dfb465dc546918df64f65d9c2dba1</t>
  </si>
  <si>
    <t>9a87fb24147940b2adf326aef0c3794e</t>
  </si>
  <si>
    <t>5275f0e1391d4b7bab288146c1dadf21</t>
  </si>
  <si>
    <t>301220168</t>
  </si>
  <si>
    <t>SUS304 Φ7</t>
  </si>
  <si>
    <t>d222ae2fcbc74de9a04ed4690edb92d9</t>
  </si>
  <si>
    <t>9aa9bfabf48646e3bf1db22fc23a1a4a</t>
  </si>
  <si>
    <t>99f09d22e5b64a859ab1f316b5318276</t>
  </si>
  <si>
    <t>201502458</t>
  </si>
  <si>
    <t>SBV-A07-001164(Q146A)</t>
  </si>
  <si>
    <t>28c7d690bb334e4abd374864e4a745b9</t>
  </si>
  <si>
    <t>9ab440d911864f6eb5388f711bbbd15d</t>
  </si>
  <si>
    <t>84ee673fe64a41c6a4cf4883dd2ab1ab</t>
  </si>
  <si>
    <t>301080034</t>
  </si>
  <si>
    <t>QZY-1/180 Φ0.071</t>
  </si>
  <si>
    <t>9ca703cf2fb64d9e8d8cb55a9fe8431c</t>
  </si>
  <si>
    <t>9ac44657869f450fbd9f94d1ec072a6b</t>
  </si>
  <si>
    <t>23761abd14d643dd863c8dfb6a1f3217</t>
  </si>
  <si>
    <t>301240292</t>
  </si>
  <si>
    <t>022Cr19Ni10 111.2×t1.15</t>
  </si>
  <si>
    <t>c54f5032a8e8420dab62ea18b8c46426</t>
  </si>
  <si>
    <t>9b6241013e9d4e128dbe7ab7daafeb0a</t>
  </si>
  <si>
    <t>86af75a521e546909e78581b91324f06</t>
  </si>
  <si>
    <t>721250129</t>
  </si>
  <si>
    <t>MDF-A01-004005</t>
  </si>
  <si>
    <t>20f42d8003ef45ddb00f937e1ed43ee2</t>
  </si>
  <si>
    <t>9b80573994784864b2c5226d54f0e386</t>
  </si>
  <si>
    <t>f30c913e970a4301962c424b54e42fd7</t>
  </si>
  <si>
    <t>301200225</t>
  </si>
  <si>
    <t>SUS304 φ9.52×0.5</t>
  </si>
  <si>
    <t>3d630128ad1d4ad8bc72347092b05413</t>
  </si>
  <si>
    <t>9c2e967eac374e19bee0a167ab3470e3</t>
  </si>
  <si>
    <t>1f1319239f494516a7d26decfac2186c</t>
  </si>
  <si>
    <t>203050053</t>
  </si>
  <si>
    <t>ZJF-E9B-001014(F445K)</t>
  </si>
  <si>
    <t>0ad002c170e64633bf4e8b4683db2953</t>
  </si>
  <si>
    <t>9c5fb4f4f9264f55bae8ed94ba8ce695</t>
  </si>
  <si>
    <t>c27b964df2e04e88b379b71b1e63896f</t>
  </si>
  <si>
    <t>301050048</t>
  </si>
  <si>
    <t>TP2 Y2 Φ19.05×1.0</t>
  </si>
  <si>
    <t>7adb6df8da484a2c9fc0a6b708b857c7</t>
  </si>
  <si>
    <t>9c6ed2d39a4c40be9010dec89b4a961c</t>
  </si>
  <si>
    <t>f4759c1d847142d3acd6b61f45c9db0a</t>
  </si>
  <si>
    <t>1109000300040</t>
  </si>
  <si>
    <t>SYJ-A00-919026</t>
  </si>
  <si>
    <t>1a0a9fb12e57427187ee4bba70dfddbb</t>
  </si>
  <si>
    <t>9ca1ac99c3fc4a9998ae5eaae1eb39e9</t>
  </si>
  <si>
    <t>8b020a73c6374e1b853cd2bc2afdcd4c</t>
  </si>
  <si>
    <t>301220029</t>
  </si>
  <si>
    <t>SUS304 Φ22</t>
  </si>
  <si>
    <t>72a3c52ca7d849e3be7995220c9b70a0</t>
  </si>
  <si>
    <t>9cc82ca2aff242bfac50195db19f1129</t>
  </si>
  <si>
    <t>63e47504d17b47fe8b2dc912b14b2f16</t>
  </si>
  <si>
    <t>201502761</t>
  </si>
  <si>
    <t>SBV-A06-001186(Q164A)</t>
  </si>
  <si>
    <t>0d25f73f818041a49c6ead4fca6c891c</t>
  </si>
  <si>
    <t>9d016a30dad7495fbd0cb9f7c0b9d459</t>
  </si>
  <si>
    <t>356fc61aeba54829902c11447373a74d</t>
  </si>
  <si>
    <t>201503535</t>
  </si>
  <si>
    <t>SBV-A11-001266</t>
  </si>
  <si>
    <t>417477bfc0fd4cbbb6366a88beb6879e</t>
  </si>
  <si>
    <t>9d374c123c5e45f98f127544d856807d</t>
  </si>
  <si>
    <t>1fa8f1f94a104240b7c8bc9062509a32</t>
  </si>
  <si>
    <t>301230061</t>
  </si>
  <si>
    <t>易切削钢方钢棒</t>
  </si>
  <si>
    <t>12L14 20×20</t>
  </si>
  <si>
    <t>34ddd07034e74529a0226212772611ac</t>
  </si>
  <si>
    <t>9d4587b9024348e1b990ee8f444e5206</t>
  </si>
  <si>
    <t>00d1f374b05a434b9bfa944068ff6d5e</t>
  </si>
  <si>
    <t>301230158</t>
  </si>
  <si>
    <t>圆钢棒</t>
  </si>
  <si>
    <t>40Cr Φ21</t>
  </si>
  <si>
    <t>f76a8ac79088432f9a55d41be7dc7bcd</t>
  </si>
  <si>
    <t>9d738a6ca35241a9a9739556326f5e4d</t>
  </si>
  <si>
    <t>2d8774b3c486455392144dc9dfddf4d1</t>
  </si>
  <si>
    <t>202010084</t>
  </si>
  <si>
    <t>RFK-H04-001008</t>
  </si>
  <si>
    <t>7cf3b3a4a1774b0292609884f8e642f5</t>
  </si>
  <si>
    <t>9dcecddad576463c916c552804e2f6d8</t>
  </si>
  <si>
    <t>6e3a7847875e459693a8fde70c0d8432</t>
  </si>
  <si>
    <t>9810000080672</t>
  </si>
  <si>
    <t>00Cr13Si2_Φ11.8</t>
  </si>
  <si>
    <t>8cc20f33f5a048559e8758b18071dd26</t>
  </si>
  <si>
    <t>9e324500bdb141eb96225e7c7ce65491</t>
  </si>
  <si>
    <t>7bb5a698dae246ada485865688789f48</t>
  </si>
  <si>
    <t>201250181</t>
  </si>
  <si>
    <t>MDF-A02-004002</t>
  </si>
  <si>
    <t>ebe86f1f8fdf4eaa8ba6a8d131ca28e2</t>
  </si>
  <si>
    <t>9eca00e34af54f6b9e168b2ba2e37407</t>
  </si>
  <si>
    <t>1927d5507cee4bab8ef33c733de66aa2</t>
  </si>
  <si>
    <t>301080174</t>
  </si>
  <si>
    <t>Q(ZY/XY)-2/200 1.12</t>
  </si>
  <si>
    <t>34187e9f221a4ab18bc62df1fc3d2cd8</t>
  </si>
  <si>
    <t>9f088c7eeb88473c8d983878698d230a</t>
  </si>
  <si>
    <t>05d33ee6659046f7a1c68dcf9543d93e</t>
  </si>
  <si>
    <t>722000034</t>
  </si>
  <si>
    <t>RFK-A04-001001</t>
  </si>
  <si>
    <t>3d8ecb682d52446db9ff8d6d6b5ec79e</t>
  </si>
  <si>
    <t>9f6a58d4c26044bd90246d29374c23ef</t>
  </si>
  <si>
    <t>6b5373abd13a488396a79370c1007835</t>
  </si>
  <si>
    <t>203050175</t>
  </si>
  <si>
    <t>ZJF-A66-001029</t>
  </si>
  <si>
    <t>d14b094f933f4bde80573e9cd3db1404</t>
  </si>
  <si>
    <t>9f853a3d4eb2410e8846e0ac53747e46</t>
  </si>
  <si>
    <t>f5fd4568f33f4260aa1ae8d67d7d0bf1</t>
  </si>
  <si>
    <t>205100087</t>
  </si>
  <si>
    <t>XTF15H-806001</t>
  </si>
  <si>
    <t>9b9e0f7ed87b4ddfadcbab9ee01b1bbe</t>
  </si>
  <si>
    <t>a1cf975e80604ebeaed982164763c09b</t>
  </si>
  <si>
    <t>3719884b137244b0bd65fd57cc49aeae</t>
  </si>
  <si>
    <t>201250267</t>
  </si>
  <si>
    <t>MDF-B01-015006</t>
  </si>
  <si>
    <t>29434f9fdfff40f984862961bf04e1bf</t>
  </si>
  <si>
    <t>a1e0ee8905784807bb76fc7ff9e2de4d</t>
  </si>
  <si>
    <t>caaa2ccddc5545819ca8c2f1163de245</t>
  </si>
  <si>
    <t>741110013</t>
  </si>
  <si>
    <t>C3604 S16</t>
  </si>
  <si>
    <t>4f952f9b740541a0b9ec7b196a836e71</t>
  </si>
  <si>
    <t>a1fbb1d7ff454045bb7567f5fb1f32e8</t>
  </si>
  <si>
    <t>31bb9903db884f6d9ac282f7a5274b13</t>
  </si>
  <si>
    <t>201502457</t>
  </si>
  <si>
    <t>SBV-A05-001163(Q145A)</t>
  </si>
  <si>
    <t>382074e6952d4430b591d98e0bc2b83d</t>
  </si>
  <si>
    <t>a292c09b478a4d7a8189b844e112e996</t>
  </si>
  <si>
    <t>53905fbcefb0486c89b4583a5127e723</t>
  </si>
  <si>
    <t>201502745</t>
  </si>
  <si>
    <t>SBV-A11-001204(Q178A)</t>
  </si>
  <si>
    <t>7ab5b88277e3491c92ee3dd2d6153071</t>
  </si>
  <si>
    <t>a2acd3c313fb4dddb327f84ef4d04d4d</t>
  </si>
  <si>
    <t>8cde855626ca436fa9cf8ae0adf55508</t>
  </si>
  <si>
    <t>201250274</t>
  </si>
  <si>
    <t>MDF-A03-004012</t>
  </si>
  <si>
    <t>81185f60fb6047db89b222474d651272</t>
  </si>
  <si>
    <t>a3ef77d5edd3491c96cd4b5f75e8ba9a</t>
  </si>
  <si>
    <t>e3c067033d794826bec7cc4f0fda90a1</t>
  </si>
  <si>
    <t>741210001</t>
  </si>
  <si>
    <t>SUS304 Φ27×3.5</t>
  </si>
  <si>
    <t>7867e8fa8cd948128c748f9d23381c44</t>
  </si>
  <si>
    <t>a4e5203bf89440fe8941efd9df7fa6da</t>
  </si>
  <si>
    <t>0d4efb69e2da46d6afd25f9823835cb3</t>
  </si>
  <si>
    <t>201290308</t>
  </si>
  <si>
    <t>HDF15HM-004002</t>
  </si>
  <si>
    <t>b6a54cefb159420a8b5c2668f8346ae5</t>
  </si>
  <si>
    <t>a5249c41c08f480296675cce784b5cd7</t>
  </si>
  <si>
    <t>7021327ea728445086d1cdf395250a97</t>
  </si>
  <si>
    <t>201500012</t>
  </si>
  <si>
    <t>SBV-B07-001016(F189B)</t>
  </si>
  <si>
    <t>ff779cd3c6464a518d9f2cd6582e435a</t>
  </si>
  <si>
    <t>a52ec576503646e88000cc512b7421ef</t>
  </si>
  <si>
    <t>aa6962d93fd14396a7d723a8be6d3259</t>
  </si>
  <si>
    <t>301220263</t>
  </si>
  <si>
    <t>SUS303 Φ12</t>
  </si>
  <si>
    <t>86d908a42e004a2f8c58c9cfece05bef</t>
  </si>
  <si>
    <t>a53766d8cd0944d580d442a9751b9607</t>
  </si>
  <si>
    <t>fb90e9c126ec464bbbdca33f5a95ee1d</t>
  </si>
  <si>
    <t>201601217</t>
  </si>
  <si>
    <t>DXF-D56-001003</t>
  </si>
  <si>
    <t>f4ba1d554614407fba61e56b6b178eaf</t>
  </si>
  <si>
    <t>a552551b489f47779b77f1e822603a35</t>
  </si>
  <si>
    <t>b8c9dfb10a894d77a832650591c37fce</t>
  </si>
  <si>
    <t>301210128</t>
  </si>
  <si>
    <t>SUS304 Φ45×11</t>
  </si>
  <si>
    <t>0c0968a35b35419798bdbf554dba1d2e</t>
  </si>
  <si>
    <t>a56d9bfd702147f9b3d0f2ab0f7ce488</t>
  </si>
  <si>
    <t>7ea1c0d17d3149878f8de6cbccfa5020</t>
  </si>
  <si>
    <t>201502025</t>
  </si>
  <si>
    <t>SBV-B06-001133(Q125A)</t>
  </si>
  <si>
    <t>784d081881d5452082f4e111cc6fb922</t>
  </si>
  <si>
    <t>a577784cba5d4f76ba5b1866b390daa9</t>
  </si>
  <si>
    <t>d44705b371d143c99feebd887876d4ec</t>
  </si>
  <si>
    <t>301050714</t>
  </si>
  <si>
    <t>TP2 H02 Φ31.6×1.3</t>
  </si>
  <si>
    <t>98fd19706dad477b8aa647b19897b2c9</t>
  </si>
  <si>
    <t>a647b9cd4ae44fdb932ca7481612e4bf</t>
  </si>
  <si>
    <t>231ecff38d3141e6b8ae7066e8243b7f</t>
  </si>
  <si>
    <t>201504168</t>
  </si>
  <si>
    <t>SBV-A06-001281(Q242A)</t>
  </si>
  <si>
    <t>cd3d68634c9b4dd69b506f01182fcf5c</t>
  </si>
  <si>
    <t>a6cae3b3dd004d5aabcbfc34e9db2147</t>
  </si>
  <si>
    <t>fa6b63341abf43baae9fb3b9b2497c6a</t>
  </si>
  <si>
    <t>301220050</t>
  </si>
  <si>
    <t>00Cr13Si2 Φ12</t>
  </si>
  <si>
    <t>727042b94719488c80e24cfd3889af09</t>
  </si>
  <si>
    <t>a6f12f5455054901964977c9c402c76a</t>
  </si>
  <si>
    <t>45620a08b8c641118ba60ecd6a5726ce</t>
  </si>
  <si>
    <t>301220186</t>
  </si>
  <si>
    <t>SUS303 S32</t>
  </si>
  <si>
    <t>db2c0e27269144408cf5d20f04635871</t>
  </si>
  <si>
    <t>a7d3e4273d46471aa8f05a629d7ddaab</t>
  </si>
  <si>
    <t>ccccd3de25ab45428b2f6dd7da0392db</t>
  </si>
  <si>
    <t>201500010</t>
  </si>
  <si>
    <t>SBV-B11-001013(F120B)</t>
  </si>
  <si>
    <t>770fbffc482a4c7d8d6607f2f2ff6c63</t>
  </si>
  <si>
    <t>a893b17947d84a99aeddeaa9ca860e05</t>
  </si>
  <si>
    <t>8dc3e313e6764287a44ebab696243126</t>
  </si>
  <si>
    <t>201502733</t>
  </si>
  <si>
    <t>SBV-A17-001206(Q180A)</t>
  </si>
  <si>
    <t>61f68857255d475eadb399db84edb9df</t>
  </si>
  <si>
    <t>a8d9afa9fe024623984a03d34e381b03</t>
  </si>
  <si>
    <t>a70b567c63af4392ba3ac8b1ac2edd52</t>
  </si>
  <si>
    <t>1008000300427</t>
  </si>
  <si>
    <t>RFK-H04-001016</t>
  </si>
  <si>
    <t>7666b22a6b124e27bac563621e4374a9</t>
  </si>
  <si>
    <t>a981fb0997d7456c876eea7b34f3989a</t>
  </si>
  <si>
    <t>2172746a19bb43d4b326e3adc28958b5</t>
  </si>
  <si>
    <t>201290679</t>
  </si>
  <si>
    <t>HDF19HM-004001</t>
  </si>
  <si>
    <t>e103fac0f002451590c325f56014d6a1</t>
  </si>
  <si>
    <t>a989a61c56b545ada0fb02113c182895</t>
  </si>
  <si>
    <t>9d3494ffc9c14cfa8dd84002fe85035f</t>
  </si>
  <si>
    <t>201308640</t>
  </si>
  <si>
    <t>密封基座毛坯</t>
  </si>
  <si>
    <t>VPF100-069008</t>
  </si>
  <si>
    <t>53f09eaccf0240389644db4d10270cc8</t>
  </si>
  <si>
    <t>a9b450e39b5d4091844db2ae39f8d189</t>
  </si>
  <si>
    <t>edd98d66aa8d4da483e58b30840693a1</t>
  </si>
  <si>
    <t>301050713</t>
  </si>
  <si>
    <t>TP2 H02 Φ25.2(×1.3)</t>
  </si>
  <si>
    <t>9776f4fc2cd94af697d0dd4a96c8f745</t>
  </si>
  <si>
    <t>aa6b5a6e81a142bf859bc93e4527a1a3</t>
  </si>
  <si>
    <t>dcfd38ee42974d849d5575cdff51ae85</t>
  </si>
  <si>
    <t>301160044</t>
  </si>
  <si>
    <t>6061-T6 φ23</t>
  </si>
  <si>
    <t>682e2837860742e498d85bbcd7b7c4b2</t>
  </si>
  <si>
    <t>aa91e53664d74182a91bdc3aa710bb1a</t>
  </si>
  <si>
    <t>c5617ee2b2cf45848deacc5c131818c2</t>
  </si>
  <si>
    <t>301220135</t>
  </si>
  <si>
    <t>SUS303 Φ32</t>
  </si>
  <si>
    <t>ae446c5c7c2444f0803b53879ee724f5</t>
  </si>
  <si>
    <t>aab14947ecdb4f08896ce4f3e776f054</t>
  </si>
  <si>
    <t>437ec83c665a43c2aef147d1e9e4a599</t>
  </si>
  <si>
    <t>201201422</t>
  </si>
  <si>
    <t>FDF-A02-818001</t>
  </si>
  <si>
    <t>3ddfc83762b146778a32ef33917e2ec9</t>
  </si>
  <si>
    <t>aac42c8dfeb142d0ae03a757723c35d1</t>
  </si>
  <si>
    <t>790bfbfc71484e1c98f02ea1d05c9294</t>
  </si>
  <si>
    <t>202010147</t>
  </si>
  <si>
    <t>RFK-H04-001019</t>
  </si>
  <si>
    <t>b2b55c6fa3cf4ba8b38877046b35f0a8</t>
  </si>
  <si>
    <t>aad7afc052d14896a62f1e3bc7c0dc3b</t>
  </si>
  <si>
    <t>ecfa20116b3c451a8778afc52f9d1176</t>
  </si>
  <si>
    <t>301110154</t>
  </si>
  <si>
    <t>C3604BDS Φ14/丰山</t>
  </si>
  <si>
    <t>afe6531eb66546b4b3826bbe4b1d428d</t>
  </si>
  <si>
    <t>ab3c1e6b1e8e4badb9928f30ffdc6aed</t>
  </si>
  <si>
    <t>0b94be4b222a4e618daa3867b7c58ba8</t>
  </si>
  <si>
    <t>301160042</t>
  </si>
  <si>
    <t>6061-T6 Φ62</t>
  </si>
  <si>
    <t>dd082125cb6647d2ba79a6b4d4592194</t>
  </si>
  <si>
    <t>ab89f2f69d97484c98859daab652531e</t>
  </si>
  <si>
    <t>2cc390d4c8e24a2cad4cde94a9ce3356</t>
  </si>
  <si>
    <t>301160017</t>
  </si>
  <si>
    <t>6061-T6 φ25</t>
  </si>
  <si>
    <t>8ff8a03123d84c5aa3441ab14c863164</t>
  </si>
  <si>
    <t>ac800b4fdb834627b07ed622ca59ecb1</t>
  </si>
  <si>
    <t>15f15fc4dd4442de91c96ecdc821de3d</t>
  </si>
  <si>
    <t>202052212</t>
  </si>
  <si>
    <t>RFG-D05-001022</t>
  </si>
  <si>
    <t>212c7598e17f46e3871b5e7dca823695</t>
  </si>
  <si>
    <t>ad204ff6a71e43f5afef7ba962b576f6</t>
  </si>
  <si>
    <t>b6d9bdd6b1fa4e52aa8c8be42e54a458</t>
  </si>
  <si>
    <t>301220152</t>
  </si>
  <si>
    <t>SUS303 S24</t>
  </si>
  <si>
    <t>c0bb9901f04e4fb5abaaa1cb309b788d</t>
  </si>
  <si>
    <t>ad4750029e1e4097b9332fc7d55fda65</t>
  </si>
  <si>
    <t>114ff299d3f14813add9dfa40ab4b3b8</t>
  </si>
  <si>
    <t>301110511</t>
  </si>
  <si>
    <t>圆形铜棒</t>
  </si>
  <si>
    <t>C3604 Φ10.5</t>
  </si>
  <si>
    <t>020dba888a614051947b9673f6bdffa5</t>
  </si>
  <si>
    <t>addda29d77524ccba11e17dbac4b7e65</t>
  </si>
  <si>
    <t>8f4c726ed76440438023e91957ed82c0</t>
  </si>
  <si>
    <t>301160012</t>
  </si>
  <si>
    <t>6061 T6,45×35.5</t>
  </si>
  <si>
    <t>28a8e959d6be49ff941359947a8d490c</t>
  </si>
  <si>
    <t>adf56bcace15453984b3ccf86781a65d</t>
  </si>
  <si>
    <t>4db38ae988534c3f967b8916157264e9</t>
  </si>
  <si>
    <t>301050043</t>
  </si>
  <si>
    <t>TP2 Y2 Φ18×1.0</t>
  </si>
  <si>
    <t>543dc5fb650d4f96b203de77d0a44cb5</t>
  </si>
  <si>
    <t>adffe3bc33674c6ea3391c81f47177c5</t>
  </si>
  <si>
    <t>be88b9343b1842ae8246f466fd68bbbf</t>
  </si>
  <si>
    <t>301220015</t>
  </si>
  <si>
    <t>SUS303Cu Φ19</t>
  </si>
  <si>
    <t>7672ba19b3284080987ef0bbf70725ec</t>
  </si>
  <si>
    <t>ae0fa35c2b3b4ae094d68fa85dc2d919</t>
  </si>
  <si>
    <t>30f8bb6999c144029a4a075e4270ced0</t>
  </si>
  <si>
    <t>201850068</t>
  </si>
  <si>
    <t>YCQB02-020005</t>
  </si>
  <si>
    <t>140e38292eef4d68821cc67457868839</t>
  </si>
  <si>
    <t>ae8e5bd1bb8243759fcf106b3c619a2f</t>
  </si>
  <si>
    <t>365f01ff2b464011a5be128cd2af577c</t>
  </si>
  <si>
    <t>201060011</t>
  </si>
  <si>
    <t>MZF25H-011001</t>
  </si>
  <si>
    <t>82ec118f3a494a02afa9996e8c106c76</t>
  </si>
  <si>
    <t>aee284908ac643c68168e050081ca3d4</t>
  </si>
  <si>
    <t>fe0540793ea14595b059da370ad1b8dd</t>
  </si>
  <si>
    <t>721250130</t>
  </si>
  <si>
    <t>MDF-B01-004001</t>
  </si>
  <si>
    <t>34edb624394c494aac5feb24b146ee74</t>
  </si>
  <si>
    <t>afbec849b62b48c697073e2b48682172</t>
  </si>
  <si>
    <t>5cb29f3d16304ad1a88dc647596abc7a</t>
  </si>
  <si>
    <t>301160040</t>
  </si>
  <si>
    <t>6061-T6  Φ35</t>
  </si>
  <si>
    <t>d02bc059f5b64b6fb3ba29a9046e953e</t>
  </si>
  <si>
    <t>afc2d17e5015443ca5fca06e3c511f58</t>
  </si>
  <si>
    <t>64ee09575b54403ab89c4bd8d392e843</t>
  </si>
  <si>
    <t>301060241</t>
  </si>
  <si>
    <t>TP2 050 Φ4.76×0.5 LWC(内抽式)</t>
  </si>
  <si>
    <t>52248e02ca554099bd49f5fc0beeb214</t>
  </si>
  <si>
    <t>afecfe753e7a41b0aa90d91e0429f058</t>
  </si>
  <si>
    <t>958eedf195c949fab03d4144b8dca730</t>
  </si>
  <si>
    <t>201250276</t>
  </si>
  <si>
    <t>MDF-A03-004014</t>
  </si>
  <si>
    <t>0f42da7159444b3186d9f9ce20fdf346</t>
  </si>
  <si>
    <t>aff948cd8cfb49beb382821de5c15b0f</t>
  </si>
  <si>
    <t>8eb24cefc07f48568cbe95ff35e990ed</t>
  </si>
  <si>
    <t>301160014</t>
  </si>
  <si>
    <t>6061 T6,S19</t>
  </si>
  <si>
    <t>7688920728c440dc808836d4012bdafc</t>
  </si>
  <si>
    <t>b15cf34685ee4a419ede8388e4870865</t>
  </si>
  <si>
    <t>6375582113af4736979289c707c5c092</t>
  </si>
  <si>
    <t>301220138</t>
  </si>
  <si>
    <t>SUS304 Φ15</t>
  </si>
  <si>
    <t>1336a41e2a764c809a297374c2328333</t>
  </si>
  <si>
    <t>b15d64cf9bd7431d9d0084f613268018</t>
  </si>
  <si>
    <t>a34f1d8296ad44b39dbbcdcf3c84f1d6</t>
  </si>
  <si>
    <t>201201477</t>
  </si>
  <si>
    <t>FDF-S02-005004</t>
  </si>
  <si>
    <t>b0dfa5f561dd4677bb1847fad498e02b</t>
  </si>
  <si>
    <t>b16f71caabb244279af57731101907a3</t>
  </si>
  <si>
    <t>218515499e494aec8b10a43c2c522779</t>
  </si>
  <si>
    <t>301220289</t>
  </si>
  <si>
    <t>SUS304 S14</t>
  </si>
  <si>
    <t>2399b69265704bda9ad65704ebbab7c2</t>
  </si>
  <si>
    <t>b1aed464ed07433fab86401a1295256b</t>
  </si>
  <si>
    <t>2333a1d325634ced97c239c7a263dcdc</t>
  </si>
  <si>
    <t>301050653</t>
  </si>
  <si>
    <t>TP2 Y2 Φ16(ID)×0.7</t>
  </si>
  <si>
    <t>b8e6614b61dc4bedaff712a25b046a37</t>
  </si>
  <si>
    <t>b2755abcd4cc4d1bb1bc8d21229755f8</t>
  </si>
  <si>
    <t>64b68b3a929a48449fbdb8933d439dd5</t>
  </si>
  <si>
    <t>203050012</t>
  </si>
  <si>
    <t>ZJF-D22-001007(F405K)</t>
  </si>
  <si>
    <t>5f6c8ef1babd40308aa6625ed186af7e</t>
  </si>
  <si>
    <t>b32e1a5349354bc7aa93faf3a7c726df</t>
  </si>
  <si>
    <t>3fa9d9d3ff06445da426b6c2e850452e</t>
  </si>
  <si>
    <t>301220310</t>
  </si>
  <si>
    <t>D型不锈钢棒</t>
  </si>
  <si>
    <t>SUS303 R28.6×46.8×16.2</t>
  </si>
  <si>
    <t>ecd334d06a0c4b658ca268e9074e36d3</t>
  </si>
  <si>
    <t>b35709d0e05848f7aa50786cb75a94bc</t>
  </si>
  <si>
    <t>75ee002938ef489baa164fa6f53f136e</t>
  </si>
  <si>
    <t>301220115</t>
  </si>
  <si>
    <t>SUS303 Φ38</t>
  </si>
  <si>
    <t>18d6362fab014328816a2bf445af4762</t>
  </si>
  <si>
    <t>b357e737fc314fceb2295f60b2e74612</t>
  </si>
  <si>
    <t>e99cd85bced3499189f32a3c16ef649c</t>
  </si>
  <si>
    <t>202050041</t>
  </si>
  <si>
    <t>RFG-D04-001003</t>
  </si>
  <si>
    <t>0219366948b54fe7b79d812d639669e3</t>
  </si>
  <si>
    <t>b36094072f0d478cb4e00273e1198d77</t>
  </si>
  <si>
    <t>e69d218eb3464a3ab408542bf237a096</t>
  </si>
  <si>
    <t>201500009</t>
  </si>
  <si>
    <t>SBV-A33-001123(Q117A)</t>
  </si>
  <si>
    <t>f615f088275c4478996f6a4f67e806fe</t>
  </si>
  <si>
    <t>b3b73b10d384423f839f6f7fac8cad0b</t>
  </si>
  <si>
    <t>cb0dc3aac331488f87ce5da44480fbb1</t>
  </si>
  <si>
    <t>301050712</t>
  </si>
  <si>
    <t>TP2 H02 Φ21.8(×1.2)</t>
  </si>
  <si>
    <t>e1725d27de254b41bf5f5c28da5adcc2</t>
  </si>
  <si>
    <t>b3e760af58dd4c51ab4a8b34bf7f6567</t>
  </si>
  <si>
    <t>13bc1c0d78ae486db8c9f73886a0bf35</t>
  </si>
  <si>
    <t>201250175</t>
  </si>
  <si>
    <t>MDF15H-004001</t>
  </si>
  <si>
    <t>e62dbd6a909142759d2ffdb6c01f6b3b</t>
  </si>
  <si>
    <t>b41a94e2c3e54186be639913085e5658</t>
  </si>
  <si>
    <t>bc177c572e7f4e8c91b280d9669d2078</t>
  </si>
  <si>
    <t>201250034</t>
  </si>
  <si>
    <t>MDF-A02-004001</t>
  </si>
  <si>
    <t>03542efa62fa4ea989b13ba1baac3791</t>
  </si>
  <si>
    <t>b43ca452959942d48ab16a2e5df53cbd</t>
  </si>
  <si>
    <t>1bc369619a1041c7962e639ac8c09136</t>
  </si>
  <si>
    <t>301050651</t>
  </si>
  <si>
    <t>TP2 Y2 Φ7.92(ID)×0.7</t>
  </si>
  <si>
    <t>c86191c36b94402495d9e62b0139cbb1</t>
  </si>
  <si>
    <t>b4517069ba564424ae609ec93801bff9</t>
  </si>
  <si>
    <t>b01e3754c1604cacba72014f260b4e58</t>
  </si>
  <si>
    <t>201502515</t>
  </si>
  <si>
    <t>SBV-A10-001175(Q155A)</t>
  </si>
  <si>
    <t>26f7a80d29f8444abdf82bd97d37eb48</t>
  </si>
  <si>
    <t>b453aca87fd84c31986147aba96b7155</t>
  </si>
  <si>
    <t>684b1cc3263a42e5a6b69a406e2f295b</t>
  </si>
  <si>
    <t>202051101</t>
  </si>
  <si>
    <t>RFG-D04-001005</t>
  </si>
  <si>
    <t>1a5dd751de58418d91c076258a878b2e</t>
  </si>
  <si>
    <t>b4ddc622fc984bd7b5f959e851c49246</t>
  </si>
  <si>
    <t>6b129f48227e4f60bedb75c17acd52e3</t>
  </si>
  <si>
    <t>201630023</t>
  </si>
  <si>
    <t>DXF-D25-001001</t>
  </si>
  <si>
    <t>276576746b0c4273964359fd0e31e2ef</t>
  </si>
  <si>
    <t>b5030e8f3cb74bbab13548d0729526e7</t>
  </si>
  <si>
    <t>033040149ad24c2893beed8f3bdd7635</t>
  </si>
  <si>
    <t>301240350</t>
  </si>
  <si>
    <t>ERGSTE 1.4310 FS t0.12×100</t>
  </si>
  <si>
    <t>17eddc29780a4da5b553348e751edf31</t>
  </si>
  <si>
    <t>b551b966cd4447f4b4581699224e33d6</t>
  </si>
  <si>
    <t>2161ec1e8b2e4065935409f28e489e7c</t>
  </si>
  <si>
    <t>201500037</t>
  </si>
  <si>
    <t>SBV-B10-001061(Q076A)</t>
  </si>
  <si>
    <t>fce7169af0e14ab5b1b0bc229561d28c</t>
  </si>
  <si>
    <t>b576bdbd54fa4951a091f45c91fc297f</t>
  </si>
  <si>
    <t>cc520c555430401585125c75c47c4afa</t>
  </si>
  <si>
    <t>301220127</t>
  </si>
  <si>
    <t>SUS416 Φ4</t>
  </si>
  <si>
    <t>3a7d2ed8c56f481e8be576a900480511</t>
  </si>
  <si>
    <t>b597376a545c4d28b7f73ec09f974663</t>
  </si>
  <si>
    <t>f877f82fae1b44e98e48d9faaa7cbc22</t>
  </si>
  <si>
    <t>721250125</t>
  </si>
  <si>
    <t>MDF-A01-004001</t>
  </si>
  <si>
    <t>758938620ef14d429f712dc6f4ad6f5c</t>
  </si>
  <si>
    <t>b5bdfff2974344ea8df5d57fbc9767c4</t>
  </si>
  <si>
    <t>888ef06465eb4b35a55696ae0899bb57</t>
  </si>
  <si>
    <t>301110646</t>
  </si>
  <si>
    <t>C3602 S24</t>
  </si>
  <si>
    <t>987ccfff1de04c54a9c379a81fc9c7a2</t>
  </si>
  <si>
    <t>b6508cfd963548dc8b3d94af70f5fd18</t>
  </si>
  <si>
    <t>d547e02bac5a44f1b620025e91ba8043</t>
  </si>
  <si>
    <t>201502462</t>
  </si>
  <si>
    <t>SBV-A17-001168(Q150A)</t>
  </si>
  <si>
    <t>08fa34230cc44a53be267f5b0ba212a4</t>
  </si>
  <si>
    <t>b685c03a6dcf43fda70df0c7de2316bc</t>
  </si>
  <si>
    <t>e7dde87afe9141ff85b01c4847d57069</t>
  </si>
  <si>
    <t>201502222</t>
  </si>
  <si>
    <t>SBV-A25-001150</t>
  </si>
  <si>
    <t>b166bdaf59274c9788c0ef0a8c346637</t>
  </si>
  <si>
    <t>b6c1b748359d430ea26cacddbe6f711c</t>
  </si>
  <si>
    <t>3fcfcc032b754f89a599116c7b578a08</t>
  </si>
  <si>
    <t>723050001</t>
  </si>
  <si>
    <t>ZJF-A33-001003(F361K)</t>
  </si>
  <si>
    <t>c1c3c7d1326847b6a93bd4e58b2d130a</t>
  </si>
  <si>
    <t>b6f0904915894cf492566c79ed0df52e</t>
  </si>
  <si>
    <t>e146934b25ca4e48a42fa246a24b13de</t>
  </si>
  <si>
    <t>201250158</t>
  </si>
  <si>
    <t>MDF22H-015001</t>
  </si>
  <si>
    <t>01f5da0898904bc59fc21d4ad5d51fa3</t>
  </si>
  <si>
    <t>b7173acff4fc462d9f584862e05a9d99</t>
  </si>
  <si>
    <t>e3d9bec1d2704beea640ed4bcb2b0b18</t>
  </si>
  <si>
    <t>301210108</t>
  </si>
  <si>
    <t>SUS304 Φ28×1.2</t>
  </si>
  <si>
    <t>67bea687c29b4ae4827d55d06fd7146c</t>
  </si>
  <si>
    <t>b84a355ad7ab400baed88fc2a3f2b644</t>
  </si>
  <si>
    <t>2fc9448ea413459ebbdf001ef0e32d7e</t>
  </si>
  <si>
    <t>301050144</t>
  </si>
  <si>
    <t>TP2 Y2 Φ9.52×1.0</t>
  </si>
  <si>
    <t>e6116723d8ef4c58983dac61587132f2</t>
  </si>
  <si>
    <t>b85fd20a901a43988e7537f3ce36657f</t>
  </si>
  <si>
    <t>727c45f46ab84194a02185982e47aa08</t>
  </si>
  <si>
    <t>201500369</t>
  </si>
  <si>
    <t>SBV-B10-001091</t>
  </si>
  <si>
    <t>59c8be7726ac4126a555207aed0a93c4</t>
  </si>
  <si>
    <t>b890dcc6abf44e3595422fe7b7276825</t>
  </si>
  <si>
    <t>bf86cc2635034028925c67ab45cd166a</t>
  </si>
  <si>
    <t>201240008</t>
  </si>
  <si>
    <t>TDF20-002002</t>
  </si>
  <si>
    <t>dbc0cf2bcc124bd8976d705978cca2db</t>
  </si>
  <si>
    <t>b9127ed2c75d42a2af39f2bff1f6a9e8</t>
  </si>
  <si>
    <t>b17ebc0793ee46869106ece8e7ec341d</t>
  </si>
  <si>
    <t>301060152</t>
  </si>
  <si>
    <t>TP2 M2 Ф19.6×1.2 LWC</t>
  </si>
  <si>
    <t>8a5abaf691db45e68242e1785ec825e1</t>
  </si>
  <si>
    <t>b9c6d02b2d52417089ad48ebbe6982e8</t>
  </si>
  <si>
    <t>cb9e0fb312db4c8a960494724bb637c0</t>
  </si>
  <si>
    <t>721250454</t>
  </si>
  <si>
    <t>MDF-A03-004003</t>
  </si>
  <si>
    <t>d812c1606a5d4a1d8896ba458f50d365</t>
  </si>
  <si>
    <t>b9f4233d0d5645e9a3e333601f9ff386</t>
  </si>
  <si>
    <t>9c9a4d0ccc2b4cedb2541f626cb36982</t>
  </si>
  <si>
    <t>301110583</t>
  </si>
  <si>
    <t>PWHSi76-3.2BDS Φ14</t>
  </si>
  <si>
    <t>a7f425bab24d40d3a11d274d0349d8ba</t>
  </si>
  <si>
    <t>b9ff22de20904c65879cad75033ad6d4</t>
  </si>
  <si>
    <t>1cb582845ddc485f9027686fa37ecd2c</t>
  </si>
  <si>
    <t>301210102</t>
  </si>
  <si>
    <t>SUS304 Φ42×3</t>
  </si>
  <si>
    <t>0e5cf02388c34761b489b40d79f6bcac</t>
  </si>
  <si>
    <t>ba9853afc549429bb7ce625b15a0ac69</t>
  </si>
  <si>
    <t>a0d95b5b79294975977588f057897a61</t>
  </si>
  <si>
    <t>301220243</t>
  </si>
  <si>
    <t>SUS303 Φ14</t>
  </si>
  <si>
    <t>429a87b8b4b044129dff1d7dd131cf47</t>
  </si>
  <si>
    <t>ba9e67f3fbe24fb6a24f3c5632cbc16e</t>
  </si>
  <si>
    <t>ed1fbb3254284356868e35ce8f616a3e</t>
  </si>
  <si>
    <t>301220142</t>
  </si>
  <si>
    <t>SUS303 S10</t>
  </si>
  <si>
    <t>8da2e7bdf3ac4d48aa011cdf4ce477ad</t>
  </si>
  <si>
    <t>baa50d66a8b841b898e33c3524dde3df</t>
  </si>
  <si>
    <t>11c76b2e78134ac7bf3dbf83b2671cd4</t>
  </si>
  <si>
    <t>301210307</t>
  </si>
  <si>
    <t>SUS304 Φ54×1.5</t>
  </si>
  <si>
    <t>061215dca6504ff1a7b5566e24f83740</t>
  </si>
  <si>
    <t>bb4ce06a1981427ea691c28b3faac52a</t>
  </si>
  <si>
    <t>0c6c50591c7940e1a608a37188b22776</t>
  </si>
  <si>
    <t>202050096</t>
  </si>
  <si>
    <t>RFG-D05-001012</t>
  </si>
  <si>
    <t>16f347e5c6f94b4b96712ace11a5251a</t>
  </si>
  <si>
    <t>bb633f63cb334b3cb4cd4a4b83cc31eb</t>
  </si>
  <si>
    <t>32e7b8608aae4d45837fe41c9e2bf6a7</t>
  </si>
  <si>
    <t>301110456</t>
  </si>
  <si>
    <t>C3602 S32</t>
  </si>
  <si>
    <t>24c2113b53d14baca2ff3df75800c133</t>
  </si>
  <si>
    <t>bbba64de55ca4223a2f14726921fc7cf</t>
  </si>
  <si>
    <t>2cc9bcc35cb84fc39110f255b6847de3</t>
  </si>
  <si>
    <t>201500018</t>
  </si>
  <si>
    <t>SBV-B03-001001(Q017A)</t>
  </si>
  <si>
    <t>9eaf674fd6454d8c934db39609f98c77</t>
  </si>
  <si>
    <t>bbcd6548fa1e4387966866c2071931f7</t>
  </si>
  <si>
    <t>8b0680b78a4146a7910112ca41ca57c2</t>
  </si>
  <si>
    <t>201360009</t>
  </si>
  <si>
    <t>LPF-017001</t>
  </si>
  <si>
    <t>1ae42b8550004336b22782fa708ddf6a</t>
  </si>
  <si>
    <t>bc36862c261c4c63b06405c005cec50d</t>
  </si>
  <si>
    <t>f9fbb4a65bdc46b0bafd42ea76ca8001</t>
  </si>
  <si>
    <t>203050100</t>
  </si>
  <si>
    <t>ZJF-B20-001023(Z001)</t>
  </si>
  <si>
    <t>92d0bc87a90f4c39baa191d3a374216e</t>
  </si>
  <si>
    <t>bc5f5441114b4f82b05b03f2babc4a4c</t>
  </si>
  <si>
    <t>f4c7d33ddee543aa9bc329084179ac87</t>
  </si>
  <si>
    <t>201600161</t>
  </si>
  <si>
    <t>DXF-B20-001005</t>
  </si>
  <si>
    <t>7937e23692c245968c9ca64bda2c88d8</t>
  </si>
  <si>
    <t>bd59233a62ad4de382467bd1170ff3ff</t>
  </si>
  <si>
    <t>4b9fac05e322425daa5225de2edaa9a9</t>
  </si>
  <si>
    <t>206600354</t>
  </si>
  <si>
    <t>PSV15-05002</t>
  </si>
  <si>
    <t>82cf794143f4449593a7e3812dee2078</t>
  </si>
  <si>
    <t>be552df863ac4ef7b6097fc4237e1585</t>
  </si>
  <si>
    <t>7d8062a0134348929ca60ed878be2e0f</t>
  </si>
  <si>
    <t>201500028</t>
  </si>
  <si>
    <t>SBV-B06-001018(Q006A)</t>
  </si>
  <si>
    <t>834f5314a4b4425eb37435239581afda</t>
  </si>
  <si>
    <t>bf5e3a79359e4032ae6bff987564cf9b</t>
  </si>
  <si>
    <t>b4ff528c7aba450da5b2eb3922be2b5b</t>
  </si>
  <si>
    <t>721250419</t>
  </si>
  <si>
    <t>MDF-B01-004005</t>
  </si>
  <si>
    <t>648e4ee45c084fb1a27aa0fc582ae86d</t>
  </si>
  <si>
    <t>bfc40d7e6a1e4c3a930c227a1b488533</t>
  </si>
  <si>
    <t>c58f10abeab345a188750d9d0eb5ac65</t>
  </si>
  <si>
    <t>301220037</t>
  </si>
  <si>
    <t>SUS303 34×34</t>
  </si>
  <si>
    <t>23c403e786f64813a5afb46bab7a761f</t>
  </si>
  <si>
    <t>bfccc528162a49b2a3ff5c9698a5af4b</t>
  </si>
  <si>
    <t>ed90b3cf11864870a6181671c2cc1520</t>
  </si>
  <si>
    <t>201600906</t>
  </si>
  <si>
    <t>DXF-D32-079004</t>
  </si>
  <si>
    <t>21602c0d23b1407ca0df92daaef1bdea</t>
  </si>
  <si>
    <t>bfd104b4b458401297de513489673f65</t>
  </si>
  <si>
    <t>cd54dce52e0745b4a3752a24a14fcb50</t>
  </si>
  <si>
    <t>301280100</t>
  </si>
  <si>
    <t>55CrSi Φ2.3/油55CrSi/中钢</t>
  </si>
  <si>
    <t>5b2fd7c7d4774cf3b67e1f2c301eed25</t>
  </si>
  <si>
    <t>bfe7945292b644bd8b76e5f07bc69dab</t>
  </si>
  <si>
    <t>5fd0b567c7fd476880f0f9f38dba291b</t>
  </si>
  <si>
    <t>301050737</t>
  </si>
  <si>
    <t>TP2 H02 Φ7.92(ID)×1</t>
  </si>
  <si>
    <t>660b464fd31c4976830b4004c084163a</t>
  </si>
  <si>
    <t>c060127e123a4f7b8948bccefaa2b2f7</t>
  </si>
  <si>
    <t>e728e9e697cc4df4beacb2e0bcfe4077</t>
  </si>
  <si>
    <t>301250104</t>
  </si>
  <si>
    <t>7C27Mo2 t=1.0mm</t>
  </si>
  <si>
    <t>8ec578faade04eefa8c596fdc935428a</t>
  </si>
  <si>
    <t>c0a4b4bde5854f02860fed6b5ab1ce68</t>
  </si>
  <si>
    <t>5902c470c3904351b5fcaa49d96a665f</t>
  </si>
  <si>
    <t>201500374</t>
  </si>
  <si>
    <t>SBV-A33-001102</t>
  </si>
  <si>
    <t>64812ddc1a4c4aae8465d6963b902070</t>
  </si>
  <si>
    <t>c0b42cb0a9134c18b2bef1444ba5caf5</t>
  </si>
  <si>
    <t>56c527a0589c409a9e95655580d68aac</t>
  </si>
  <si>
    <t>301110036</t>
  </si>
  <si>
    <t>C3604 Φ11.5</t>
  </si>
  <si>
    <t>ea11443239c54e79b961bedc7a72584f</t>
  </si>
  <si>
    <t>c1849b941db349638f839630e15b4fa1</t>
  </si>
  <si>
    <t>9919e91a135149459b90d8362cf25c1f</t>
  </si>
  <si>
    <t>301280101</t>
  </si>
  <si>
    <t>55SiCr Ф3.0</t>
  </si>
  <si>
    <t>d25c0f5e3b3e42818aaee4d76fb8ed6a</t>
  </si>
  <si>
    <t>c1973cc8c564434b8b1669d67cbf6533</t>
  </si>
  <si>
    <t>aca9bc3cb5bf4a7aa6bd845d033aca06</t>
  </si>
  <si>
    <t>741220006</t>
  </si>
  <si>
    <t>SUS303 Φ6</t>
  </si>
  <si>
    <t>3f49fd57d42745a4aa5ce5612f297f0f</t>
  </si>
  <si>
    <t>c1e3e6e877174b658ba6b87280d07f01</t>
  </si>
  <si>
    <t>13de757fe87f448a9e033bd7cc48ef14</t>
  </si>
  <si>
    <t>301050747</t>
  </si>
  <si>
    <t>TP2 Y2 Φ6×1.0</t>
  </si>
  <si>
    <t>4247bfe8fd0c43d9a7bb2ec9ac61ab52</t>
  </si>
  <si>
    <t>c22e03edecad43b0a7f2fe1c9482abca</t>
  </si>
  <si>
    <t>1e4794c397fd445fa2007fddccae3994</t>
  </si>
  <si>
    <t>301110382</t>
  </si>
  <si>
    <t>C3604BDS φ22</t>
  </si>
  <si>
    <t>85002b0740f44563956f014b051b8a67</t>
  </si>
  <si>
    <t>c27587128c2b47f196a1b2c6d986e482</t>
  </si>
  <si>
    <t>5249cbb94a814787b8f62db089cbf0cd</t>
  </si>
  <si>
    <t>1007000300074</t>
  </si>
  <si>
    <t>DXF-B23-001062</t>
  </si>
  <si>
    <t>4160434b99a74c5198dd8b5a00b98db7</t>
  </si>
  <si>
    <t>c3a4197b815142609e27d9a85645bfb1</t>
  </si>
  <si>
    <t>9880b23c7ff54777b964fa0393d815a0</t>
  </si>
  <si>
    <t>301110628</t>
  </si>
  <si>
    <t>无铅黄铜棒</t>
  </si>
  <si>
    <t>C6932 S14</t>
  </si>
  <si>
    <t>c2ef387dc606481db9e2689193b00205</t>
  </si>
  <si>
    <t>c3b0768432904bceaaf4ddb4a919567e</t>
  </si>
  <si>
    <t>7962d52675974656b964603924b75e2b</t>
  </si>
  <si>
    <t>301220209</t>
  </si>
  <si>
    <t>SUS303Cu(B) Φ10</t>
  </si>
  <si>
    <t>afc363bf90924abaa0f188cc20a95f5a</t>
  </si>
  <si>
    <t>c3c9f90871d04b7cb719003503a471f9</t>
  </si>
  <si>
    <t>85d4feae5a064c50aa5d781aed8c8ce0</t>
  </si>
  <si>
    <t>202850038</t>
  </si>
  <si>
    <t>视液镜毛坯</t>
  </si>
  <si>
    <t>SYJ-A00-919001</t>
  </si>
  <si>
    <t>4b479223ebee45569146dccfdf63952e</t>
  </si>
  <si>
    <t>c405313349664abea26998ba5a3487a0</t>
  </si>
  <si>
    <t>ec0e1f4c9f964992b7e393acf406fd3b</t>
  </si>
  <si>
    <t>201503130</t>
  </si>
  <si>
    <t>SBV-A05-001241(Q209A)</t>
  </si>
  <si>
    <t>d3792293dfea4b0f9c53207d4b9c9c2e</t>
  </si>
  <si>
    <t>c4128820f9394c7d962783b1b695bcb1</t>
  </si>
  <si>
    <t>2670bfb715dc417eb4a3f5e1ef6a74fe</t>
  </si>
  <si>
    <t>741220015</t>
  </si>
  <si>
    <t>OOCr13Si2S Φ11.6</t>
  </si>
  <si>
    <t>7f354825dbbd471e8ad210b39d205fce</t>
  </si>
  <si>
    <t>c41ce875068d4419bd8e6418380ecb38</t>
  </si>
  <si>
    <t>8d24a4c22ff146ba869c0d0f9e43a824</t>
  </si>
  <si>
    <t>301220078</t>
  </si>
  <si>
    <t>00Cr13Si2 Φ15.5</t>
  </si>
  <si>
    <t>46249e6beb234d3fa8edff9527e92846</t>
  </si>
  <si>
    <t>c42753f5f8554eaa8bdc2e20a8b0cfd7</t>
  </si>
  <si>
    <t>0fae1582ed6442a1aee9ee72fbc609ec</t>
  </si>
  <si>
    <t>201320178</t>
  </si>
  <si>
    <t>DBF12-069015</t>
  </si>
  <si>
    <t>c3eed99761654f849f2b947ecdbc996b</t>
  </si>
  <si>
    <t>c43ac2737455491d8663c9d89ccef8a3</t>
  </si>
  <si>
    <t>5939d251e94d4df2aa3aac29c1e7caae</t>
  </si>
  <si>
    <t>301200309</t>
  </si>
  <si>
    <t>不锈钢焊管 022Cr19Ni10 Φ19×0.7</t>
  </si>
  <si>
    <t>022Cr19Ni10 Φ19×0.7</t>
  </si>
  <si>
    <t>b99ab513fe4f4770b5353c34f9f7598a</t>
  </si>
  <si>
    <t>c5086709a76d421cb88c16544556552a</t>
  </si>
  <si>
    <t>fd53568356b34043871947fd80204291</t>
  </si>
  <si>
    <t>301110112</t>
  </si>
  <si>
    <t>C3771 S24</t>
  </si>
  <si>
    <t>bb08c7d48557473581f4777617ca5032</t>
  </si>
  <si>
    <t>c530945a42d54454a7625c47ac43a341</t>
  </si>
  <si>
    <t>f604f7cca2204ee295d69b9f25cb07d9</t>
  </si>
  <si>
    <t>301220306</t>
  </si>
  <si>
    <t>SUS303Cu(B) Φ34</t>
  </si>
  <si>
    <t>1f7e5773e60c4b769c8a5550ad08c01b</t>
  </si>
  <si>
    <t>c567c349b4fe4dc6847287b82e84887f</t>
  </si>
  <si>
    <t>a1cc4326c56144e8a4221e0c5abb0448</t>
  </si>
  <si>
    <t>301220234</t>
  </si>
  <si>
    <t>4105IL Φ9.98</t>
  </si>
  <si>
    <t>06935aef6bb84dd6a027fc68ca573286</t>
  </si>
  <si>
    <t>c590098a5af64b1fbb18a9f72fee9d69</t>
  </si>
  <si>
    <t>1df8838653e24546befb313e74d203d7</t>
  </si>
  <si>
    <t>301110626</t>
  </si>
  <si>
    <t>C3771 S36</t>
  </si>
  <si>
    <t>e16fdb959d9c4986a9dc5a15235312fc</t>
  </si>
  <si>
    <t>c5cccaa0dcaa4fdeb8bc514fd2d0049b</t>
  </si>
  <si>
    <t>38a663d480804c11aeb5fe41c4b39cb6</t>
  </si>
  <si>
    <t>201503518</t>
  </si>
  <si>
    <t>SBV-A09-001260</t>
  </si>
  <si>
    <t>5e6e5d135a9b4ccfb92564bb93d8828a</t>
  </si>
  <si>
    <t>c6dfd43da2fc4aa385ad93e96571dd34</t>
  </si>
  <si>
    <t>d5e0ec48a9fe476a8f09441c418bd4d0</t>
  </si>
  <si>
    <t>201230060</t>
  </si>
  <si>
    <t>XDF2F01-004001</t>
  </si>
  <si>
    <t>6f2410230bf049c1b6711e930ba1defa</t>
  </si>
  <si>
    <t>c7fa30fd64734521aeafed4d1aa16c8a</t>
  </si>
  <si>
    <t>0a1b153ca84f4b64b5460770b1f16e67</t>
  </si>
  <si>
    <t>301160041</t>
  </si>
  <si>
    <t>6061-T6 Φ65</t>
  </si>
  <si>
    <t>ffe3d98f5cd24052939d58d84f84367c</t>
  </si>
  <si>
    <t>c818718e2b4249dfa13c9020430ea92e</t>
  </si>
  <si>
    <t>3a9371b93b7f437e8f32653af57609c8</t>
  </si>
  <si>
    <t>301110041</t>
  </si>
  <si>
    <t>C3604BDS Φ14</t>
  </si>
  <si>
    <t>afb4384539b5474ea4b52af1455a7fa5</t>
  </si>
  <si>
    <t>c9d0a329f2e44334a9171b9b159e9907</t>
  </si>
  <si>
    <t>7c067831e15b4ce49277025ade21d72d</t>
  </si>
  <si>
    <t>201290501</t>
  </si>
  <si>
    <t>阀盖螺帽毛坯</t>
  </si>
  <si>
    <t>HDF19H-015001</t>
  </si>
  <si>
    <t>b06946a3d2a7448b8ce2d84dd6b5563d</t>
  </si>
  <si>
    <t>c9e1f63aaa48463fa997c9ef52483c51</t>
  </si>
  <si>
    <t>798c90887c834ed198580e885c3b35a5</t>
  </si>
  <si>
    <t>301050543</t>
  </si>
  <si>
    <t>TP2 Y2 Φ13.88(ID)×1.0</t>
  </si>
  <si>
    <t>2d60ebff5ae44b12943de94c1c7589b6</t>
  </si>
  <si>
    <t>ca25b53104b14efca087c17da460af38</t>
  </si>
  <si>
    <t>ae93dbf4a2f34cb4ac1bd99eb4098ad2</t>
  </si>
  <si>
    <t>301050799</t>
  </si>
  <si>
    <t>TP2 Y2 Φ12.9(ID)×1.2</t>
  </si>
  <si>
    <t>f35e7454a96f42bd861c55eb7b8854e6</t>
  </si>
  <si>
    <t>ca807bb1e883412e983a03035d23c778</t>
  </si>
  <si>
    <t>9da4c184366c4a7c9499f68966b08240</t>
  </si>
  <si>
    <t>201503654</t>
  </si>
  <si>
    <t>SBV-A05-001249(Q217A)</t>
  </si>
  <si>
    <t>1bdb9de2b8da4e8fb468162063fd80ff</t>
  </si>
  <si>
    <t>ca8791e3676740b2a46e8f40179fd694</t>
  </si>
  <si>
    <t>6b2c2ab1cf85472791792e93a0948570</t>
  </si>
  <si>
    <t>301220210</t>
  </si>
  <si>
    <t>SUS303Cu(B) Φ14</t>
  </si>
  <si>
    <t>400ade2f2e424f18b77b31fd68998201</t>
  </si>
  <si>
    <t>caddf9ce844c4fb18b2c3cb0ac9a56a9</t>
  </si>
  <si>
    <t>c66996becece47adb6f463a00a0d5d2b</t>
  </si>
  <si>
    <t>301050738</t>
  </si>
  <si>
    <t>TP2 Y2 Φ18×1.6</t>
  </si>
  <si>
    <t>d4513f92c547407fb2bb67cd7457b514</t>
  </si>
  <si>
    <t>caed52dc5c884ab4a09064bee6da0be9</t>
  </si>
  <si>
    <t>2533102c82e14870a1fd57e3f0edc770</t>
  </si>
  <si>
    <t>337100426</t>
  </si>
  <si>
    <t>SUS304 Φ20</t>
  </si>
  <si>
    <t>72cfbde1f8a9477e996afd8d555dcefa</t>
  </si>
  <si>
    <t>cb26c9622f1c4537bbe4cddac2194e48</t>
  </si>
  <si>
    <t>c6d81ab7a56b41d8bce81987d7428f23</t>
  </si>
  <si>
    <t>301050727</t>
  </si>
  <si>
    <t>TP2 H04(Y) Φ9.7(ID)(内径公差-0.02/-0.08)×0.9</t>
  </si>
  <si>
    <t>a93e33b56bb74213b3ba223de3262b29</t>
  </si>
  <si>
    <t>cb9b2ac7241646b4950dc4dd76b07de3</t>
  </si>
  <si>
    <t>701946090eea4f8ea4d909bf6000f926</t>
  </si>
  <si>
    <t>201290456</t>
  </si>
  <si>
    <t>HDF22H-004002</t>
  </si>
  <si>
    <t>76908a393d844a5dbb31fb34b513baa9</t>
  </si>
  <si>
    <t>cbaf5a7e4ecb4e278af95e45d04feb49</t>
  </si>
  <si>
    <t>c772e050574f48539d18724075a5ccf9</t>
  </si>
  <si>
    <t>301110477</t>
  </si>
  <si>
    <t>磨光黄铜棒</t>
  </si>
  <si>
    <t>C3604BDS φ14×2500</t>
  </si>
  <si>
    <t>7badaa5758464a6bb72b85696532145e</t>
  </si>
  <si>
    <t>cbde76d133a74926ab2cd106c714fd8e</t>
  </si>
  <si>
    <t>b422c048b2e94c0a8de53b6187bd6548</t>
  </si>
  <si>
    <t>301220344</t>
  </si>
  <si>
    <t>4105IL Φ11.84</t>
  </si>
  <si>
    <t>6880cdb301de4e0c8f978f111811356b</t>
  </si>
  <si>
    <t>cd752c8b206241078951211955db066b</t>
  </si>
  <si>
    <t>df56483298e0417aa2d74b1eeda8160b</t>
  </si>
  <si>
    <t>202010123</t>
  </si>
  <si>
    <t>RFK-H04-001012</t>
  </si>
  <si>
    <t>8f7a8f689f9e4ad8a4c69af42c7f2eb5</t>
  </si>
  <si>
    <t>cd7fa489780845869b7897ca7418adac</t>
  </si>
  <si>
    <t>47e4829937b74b87965f60502cc6cf0a</t>
  </si>
  <si>
    <t>201220068</t>
  </si>
  <si>
    <t>SDF19L-015001</t>
  </si>
  <si>
    <t>26f80eed2c07414cb3b1445636f1f54a</t>
  </si>
  <si>
    <t>cddb4703bf804ddcb11b1403fa71e8d5</t>
  </si>
  <si>
    <t>d80fc602722040c8a04b02cd7c3e844e</t>
  </si>
  <si>
    <t>203050015</t>
  </si>
  <si>
    <t>ZJF-E43-001008</t>
  </si>
  <si>
    <t>7874e5b368684d9f8b8a7c663cfc095c</t>
  </si>
  <si>
    <t>cddeec92aa9f4b71b8eeeabdf8fb7208</t>
  </si>
  <si>
    <t>378b8896f4f7447e9d4a0aea215a31a1</t>
  </si>
  <si>
    <t>301210147</t>
  </si>
  <si>
    <t>SUS304 φ12.7×1.0</t>
  </si>
  <si>
    <t>8318aa2de6974300b5eceabd8541a3ff</t>
  </si>
  <si>
    <t>ce155a66daf64b5c87a6753a4997abbd</t>
  </si>
  <si>
    <t>47b1dbc1fb5d41329f3b151d7c783395</t>
  </si>
  <si>
    <t>1109000300008</t>
  </si>
  <si>
    <t>SYJ-A00-919023</t>
  </si>
  <si>
    <t>481debc52965463f846c13a39f5819d5</t>
  </si>
  <si>
    <t>ceaf0c70a9074507b7507bf969300851</t>
  </si>
  <si>
    <t>5944402eacce48cfa0965b1a8f64ae66</t>
  </si>
  <si>
    <t>301110108</t>
  </si>
  <si>
    <t>C3604 S27</t>
  </si>
  <si>
    <t>7b6697c42e2d43cda023e5f177ed57dc</t>
  </si>
  <si>
    <t>ceb4b6a412fe409789318e0d5ccafd24</t>
  </si>
  <si>
    <t>ec4768cc1f3d4fd28c9478c68f49abea</t>
  </si>
  <si>
    <t>301050740</t>
  </si>
  <si>
    <t>TP2 Y2 Φ6×0.7</t>
  </si>
  <si>
    <t>81510fff06b84170b9f9a9fd83a4550f</t>
  </si>
  <si>
    <t>cfcd485ea56c4e74ac0ca44967a3ea5a</t>
  </si>
  <si>
    <t>bb60044a8fff4ab69182b73d7dca8f9c</t>
  </si>
  <si>
    <t>201200142</t>
  </si>
  <si>
    <t>FDF-A02-818002</t>
  </si>
  <si>
    <t>823e2f84a4d146d7a5fd4d0912e5c716</t>
  </si>
  <si>
    <t>cfdb07f4df9f428bbdb3750a0e6859ce</t>
  </si>
  <si>
    <t>47d453f29fe24a079e7f0396526e6dfb</t>
  </si>
  <si>
    <t>301050332</t>
  </si>
  <si>
    <t>TP2 M2 Φ6×0.5 LWC</t>
  </si>
  <si>
    <t>5173cd092cd74d1b9931fcadf60406c0</t>
  </si>
  <si>
    <t>cfdd6485866348b4ba9b8bc9840e5106</t>
  </si>
  <si>
    <t>e938eb00e72f4390b92073638b49e456</t>
  </si>
  <si>
    <t>301210134</t>
  </si>
  <si>
    <t>SUS304 Φ51×1.2</t>
  </si>
  <si>
    <t>4bb2759b319f42a981d23d489140c541</t>
  </si>
  <si>
    <t>cff4f7b2d25c4b49ae928c2fb7c05f32</t>
  </si>
  <si>
    <t>22bdea23fc6546e9aa9c6f3c6bdb0bbe</t>
  </si>
  <si>
    <t>301210155</t>
  </si>
  <si>
    <t>SUS304 Φ54×4</t>
  </si>
  <si>
    <t>25cd486591cc4706848a9d0366ecd629</t>
  </si>
  <si>
    <t>d0353541cf414e8dbdaefbab0d505ae5</t>
  </si>
  <si>
    <t>8cdd0360a1ef4d268919d613b01fa77d</t>
  </si>
  <si>
    <t>301210285</t>
  </si>
  <si>
    <t>SUS304L Φ36×1.2</t>
  </si>
  <si>
    <t>162ebee3746b44ab83cb3f9231014809</t>
  </si>
  <si>
    <t>d0b26f89317f49cc8f86f0c16d2cd474</t>
  </si>
  <si>
    <t>b8149d2f858948dba8f9cc3b1c1895e8</t>
  </si>
  <si>
    <t>301110512</t>
  </si>
  <si>
    <t>C3604 Φ16.2</t>
  </si>
  <si>
    <t>933bea2aba834ed994cdea2014db75eb</t>
  </si>
  <si>
    <t>d0f78cd57c5b4478a526deb2e0b949d1</t>
  </si>
  <si>
    <t>00095414f08749d7821a40baef588bf7</t>
  </si>
  <si>
    <t>301220370</t>
  </si>
  <si>
    <t>SUS304 (B) Φ14</t>
  </si>
  <si>
    <t>1b0709d619f44298995e564ac90f0b04</t>
  </si>
  <si>
    <t>d1300ec14cf34b69ad676e8badbee2fb</t>
  </si>
  <si>
    <t>1c5b79ca046849b685f2094151a762f2</t>
  </si>
  <si>
    <t>201503357</t>
  </si>
  <si>
    <t>阀体毛坯(V001)</t>
  </si>
  <si>
    <t>EBVW06L-001001</t>
  </si>
  <si>
    <t>ef41fca9697c4e01bbf3b69baae4d568</t>
  </si>
  <si>
    <t>d14db744a17349bfb9b94433347c8369</t>
  </si>
  <si>
    <t>87317187da28474eae1e1a0dfab8a3b9</t>
  </si>
  <si>
    <t>1008000300159</t>
  </si>
  <si>
    <t>RFK-H04-001015</t>
  </si>
  <si>
    <t>0cb9b2fc650546be8072d0de47610784</t>
  </si>
  <si>
    <t>d18fc3b7f4a543b7891df9e5593b6617</t>
  </si>
  <si>
    <t>98655039755141889be6a0f86e827243</t>
  </si>
  <si>
    <t>301050130</t>
  </si>
  <si>
    <t>TP2 Y2 Φ79.38×3.5</t>
  </si>
  <si>
    <t>02c857a504804991990ed329acabc4d2</t>
  </si>
  <si>
    <t>d1a10e352006497db75e23e811ce64f7</t>
  </si>
  <si>
    <t>9cee9586b1414d3596a3880263b5673a</t>
  </si>
  <si>
    <t>301220051</t>
  </si>
  <si>
    <t>00Cr13Si2 Φ13</t>
  </si>
  <si>
    <t>fa15ddd290db45f4a3879ca181cfb2ca</t>
  </si>
  <si>
    <t>d234807237344b649ae14fb99c0fd0c3</t>
  </si>
  <si>
    <t>6948b145f10549d4b44bace164344a22</t>
  </si>
  <si>
    <t>301110123</t>
  </si>
  <si>
    <t>C3604BDS Φ24</t>
  </si>
  <si>
    <t>f9884dda45224238a4527052c825bcbd</t>
  </si>
  <si>
    <t>d2a90e0a2d764eeeb36ec401d5dc6a53</t>
  </si>
  <si>
    <t>fdbca1203160489d85c0eab7753662d9</t>
  </si>
  <si>
    <t>301210314</t>
  </si>
  <si>
    <t>SUS304L/022Cr19Ni10 Φ35×0.8</t>
  </si>
  <si>
    <t>1377ac09ea0c42fa89492baf291f7dc6</t>
  </si>
  <si>
    <t>d2ce7fde056f47a7b7c105410e147c1d</t>
  </si>
  <si>
    <t>810faa0ea6cb41ecba0d54a9f311e6f9</t>
  </si>
  <si>
    <t>301220240</t>
  </si>
  <si>
    <t>00Cr13Si2S Φ9.98</t>
  </si>
  <si>
    <t>5fb223f97155492b9058689dd7a6505a</t>
  </si>
  <si>
    <t>d2f7c0091e004521873e7dcacbc2191d</t>
  </si>
  <si>
    <t>5c827b89c0784260a0d6418068a2180c</t>
  </si>
  <si>
    <t>201560173</t>
  </si>
  <si>
    <t>底座毛坯</t>
  </si>
  <si>
    <t>EBV03H-079002</t>
  </si>
  <si>
    <t>a4b87d839b52430e88887c25628cb6ad</t>
  </si>
  <si>
    <t>d345a8d029df4eda935737a309c79cb0</t>
  </si>
  <si>
    <t>a5e458ec28dc4b5bbc44298fbb2247b0</t>
  </si>
  <si>
    <t>722000037</t>
  </si>
  <si>
    <t>RFK-A04-001004</t>
  </si>
  <si>
    <t>74c7731124b7459ea1e3db322a7cd083</t>
  </si>
  <si>
    <t>d486abc32f494fcaa6f9e499c491629d</t>
  </si>
  <si>
    <t>6b2edff5c0484004b217a0d753094d95</t>
  </si>
  <si>
    <t>301050833</t>
  </si>
  <si>
    <t>TP2 H02 Φ26×1.7</t>
  </si>
  <si>
    <t>a12b064b9cf24bdbbe99438bfb9c8cce</t>
  </si>
  <si>
    <t>d58683baf8f048bb84e0c4d947772b66</t>
  </si>
  <si>
    <t>d458dd09b303435d942513c4127a6091</t>
  </si>
  <si>
    <t>301050132</t>
  </si>
  <si>
    <t>TP2 Y2 Φ8×0.75</t>
  </si>
  <si>
    <t>5355de61da834cdb84dd52277610718a</t>
  </si>
  <si>
    <t>d5912f533546476e89d7be82a25717e7</t>
  </si>
  <si>
    <t>f92d3c7d9b3744bf80147a8c585be66b</t>
  </si>
  <si>
    <t>201630079</t>
  </si>
  <si>
    <t>DXF-D38-001060</t>
  </si>
  <si>
    <t>49fd06e1df854ea5bce2390b44a01354</t>
  </si>
  <si>
    <t>d5dbc764d1b6415a922702ee383382ca</t>
  </si>
  <si>
    <t>247b011880a946db874d4ee801ea8151</t>
  </si>
  <si>
    <t>721300340</t>
  </si>
  <si>
    <t>外壳毛坯</t>
  </si>
  <si>
    <t>VPF100-069002</t>
  </si>
  <si>
    <t>8d87bcba1d6a4f7faf834a38fe0484ea</t>
  </si>
  <si>
    <t>d644e17fe513471a8b574af7fe19d161</t>
  </si>
  <si>
    <t>564bb917e23447dca1af895e0bb4c30f</t>
  </si>
  <si>
    <t>202010121</t>
  </si>
  <si>
    <t>RFK-H04-001013</t>
  </si>
  <si>
    <t>47e5b632334547e4a4fe0bf44d9d5885</t>
  </si>
  <si>
    <t>d65b0cdeccd84fcb8848b68ea3783bfd</t>
  </si>
  <si>
    <t>ea5d304ec4764ae0bb8b3eb7aca5585f</t>
  </si>
  <si>
    <t>301050007</t>
  </si>
  <si>
    <t>TP2 Y2 Φ10.05(ID)×0.8</t>
  </si>
  <si>
    <t>50adce4e531b4af9bd8615a49092cd60</t>
  </si>
  <si>
    <t>d6907a5a54d04185a30d3cc1420b5d73</t>
  </si>
  <si>
    <t>29d8db4b99904db39698e7c8f2b116bb</t>
  </si>
  <si>
    <t>301050077</t>
  </si>
  <si>
    <t>TP2 Y2 Φ25.4×1.3</t>
  </si>
  <si>
    <t>7ecf6ecdbeb64f2fba15d98d50d40eb2</t>
  </si>
  <si>
    <t>d71de8be882840858396f7e0995a0ab2</t>
  </si>
  <si>
    <t>279b2d08715949da844bcc8687cb0bae</t>
  </si>
  <si>
    <t>1008000300141</t>
  </si>
  <si>
    <t>RFG-D04-001009</t>
  </si>
  <si>
    <t>09934b04539449d29f5b7565b04f57e9</t>
  </si>
  <si>
    <t>d740327fa24e453b988588398d313cd2</t>
  </si>
  <si>
    <t>deee2f4babe740728e3a1a1ae2ae0b4e</t>
  </si>
  <si>
    <t>202850100</t>
  </si>
  <si>
    <t>SYJ-A00-919011</t>
  </si>
  <si>
    <t>516a930e91784dac8954be8c00d6d95b</t>
  </si>
  <si>
    <t>d79ad646cc0d4c42a51ddf406e8f9c46</t>
  </si>
  <si>
    <t>00947b6871e249d5877d4d4e217d0db0</t>
  </si>
  <si>
    <t>741220001</t>
  </si>
  <si>
    <t>SUS303 Φ10</t>
  </si>
  <si>
    <t>36d98782fb1e450cb47381e610f1347d</t>
  </si>
  <si>
    <t>d7fb6f4a708e4d3db868302ab4383bf8</t>
  </si>
  <si>
    <t>d45b4e41ed53425a94e7d50226071552</t>
  </si>
  <si>
    <t>301210304</t>
  </si>
  <si>
    <t>022Cr19Ni10 Φ28×1.0</t>
  </si>
  <si>
    <t>a122dacef3674b9e981fb7a27c39ed22</t>
  </si>
  <si>
    <t>d83b8e169100476894cc4fda41ceade7</t>
  </si>
  <si>
    <t>76aecda408ed48bfb0acb122ac81801d</t>
  </si>
  <si>
    <t>301110712</t>
  </si>
  <si>
    <t>C3604 Φ7</t>
  </si>
  <si>
    <t>215c5996cba2496d820984034967955b</t>
  </si>
  <si>
    <t>d84ef2265edd4cf68d6ec93b1c6db914</t>
  </si>
  <si>
    <t>2ea3c2fe15d04d98b0a3c85c0b45a143</t>
  </si>
  <si>
    <t>202050487</t>
  </si>
  <si>
    <t>RFG-K04-063003</t>
  </si>
  <si>
    <t>edf9d63ca58b42ecb881d4e3686e9572</t>
  </si>
  <si>
    <t>d857e9f2a40844f3afbe5948c478e690</t>
  </si>
  <si>
    <t>81d66fbfe82b41819cbc17c1fec73bd2</t>
  </si>
  <si>
    <t>301050032</t>
  </si>
  <si>
    <t>TP2 Y2 Φ15.88×1.0</t>
  </si>
  <si>
    <t>614e164e9359412b815f227923dd4e88</t>
  </si>
  <si>
    <t>d8df5e87fef64f569898175a250ea1fe</t>
  </si>
  <si>
    <t>d86c9f5286044e4f9e3243a3e00f77c0</t>
  </si>
  <si>
    <t>301080176</t>
  </si>
  <si>
    <t>QA-1/155 Φ0.224</t>
  </si>
  <si>
    <t>092412fd0dfe471fb9581036ddedc9f3</t>
  </si>
  <si>
    <t>d9a67419d30644fabd63910ac89acfaa</t>
  </si>
  <si>
    <t>a7d4b2cbe58c4af18ac0f2abffcc9e23</t>
  </si>
  <si>
    <t>741160002</t>
  </si>
  <si>
    <t>6061-T6 φ45</t>
  </si>
  <si>
    <t>c3a18d2ff1e74a15b52fccbef4e23e87</t>
  </si>
  <si>
    <t>d9b74560a285442a952d12ed0f0f1f5f</t>
  </si>
  <si>
    <t>aa5f8f2a520c47c29b6a3ea7eb967686</t>
  </si>
  <si>
    <t>301050141</t>
  </si>
  <si>
    <t>TP2 Y2 Φ9.52×0.8</t>
  </si>
  <si>
    <t>198fcd1860cb4bdcb1a2286b7b944c8c</t>
  </si>
  <si>
    <t>da162f2fb89546fda7d0db8fcc02a98b</t>
  </si>
  <si>
    <t>a29a641b5f55432a9dc39b4d32ca8ba5</t>
  </si>
  <si>
    <t>741220012</t>
  </si>
  <si>
    <t>SUS304 Φ5</t>
  </si>
  <si>
    <t>58075155cc9f429495ea2d12625b578b</t>
  </si>
  <si>
    <t>da3043c2786243c0b6e73c94d03c7651</t>
  </si>
  <si>
    <t>7235841fc30d400cb40b7a960cf8785c</t>
  </si>
  <si>
    <t>301220274</t>
  </si>
  <si>
    <t>SUS416 Φ6</t>
  </si>
  <si>
    <t>44ddc1a2696a42caa6f05d4bed3dcb37</t>
  </si>
  <si>
    <t>db80c6b347ff42839b4bc8ee7d51a967</t>
  </si>
  <si>
    <t>6a0a3652a4a6441899b81d230e934f7b</t>
  </si>
  <si>
    <t>201600889</t>
  </si>
  <si>
    <t>DXF-D32-001001</t>
  </si>
  <si>
    <t>b9055ef5ed4e4baea3628948cca7cc06</t>
  </si>
  <si>
    <t>dc0dfe2ae7ec4ef5a9fae9de2d04fdfe</t>
  </si>
  <si>
    <t>071acefca21745ac8a4a4e4e1c6bea70</t>
  </si>
  <si>
    <t>201601222</t>
  </si>
  <si>
    <t>DXF-D32-001003</t>
  </si>
  <si>
    <t>61d6bc6d18ae4ec99a5d062ca0f15c63</t>
  </si>
  <si>
    <t>dd326f70794d48ac8bd1f51e4604e0e1</t>
  </si>
  <si>
    <t>0bcdd3bd099a46e2b4550a4bc39f0b0c</t>
  </si>
  <si>
    <t>9810000080671</t>
  </si>
  <si>
    <t>00Cr18Si2Mo2_Φ10.8</t>
  </si>
  <si>
    <t>38b7ffd35db04f1dbd23154b2a422e46</t>
  </si>
  <si>
    <t>dd3c13e240f440d7a079789203edf404</t>
  </si>
  <si>
    <t>0547d05921c0482c858e0e7f754ef55c</t>
  </si>
  <si>
    <t>301220005</t>
  </si>
  <si>
    <t>SUS303 Φ26</t>
  </si>
  <si>
    <t>8e4287b2a81d4d9c93456382cfd62ab5</t>
  </si>
  <si>
    <t>dd57dcc7bfbf43739f9a389b5ade319d</t>
  </si>
  <si>
    <t>add0ae00070140fba19433396a2bff6e</t>
  </si>
  <si>
    <t>301220187</t>
  </si>
  <si>
    <t>SUS304 S24</t>
  </si>
  <si>
    <t>e714d17c958b4f949fa54ad0e653a856</t>
  </si>
  <si>
    <t>dd9205cc3b4b4082af9225556715f8b5</t>
  </si>
  <si>
    <t>e41faf6477e64fcea0f09e2a21f14977</t>
  </si>
  <si>
    <t>301050591</t>
  </si>
  <si>
    <t>TP2 Y2 Φ9.52×1.5</t>
  </si>
  <si>
    <t>4f40470d548f40f0ae1c2d9bff671a55</t>
  </si>
  <si>
    <t>de36fe525e324072a3e9b9ff5d0b37fa</t>
  </si>
  <si>
    <t>05bfad7ee1534a41b6f8c8809528637e</t>
  </si>
  <si>
    <t>201504253</t>
  </si>
  <si>
    <t>SBV-A05-001289(Q250A)</t>
  </si>
  <si>
    <t>95c898fe3f1648b0b84692bd3f62c779</t>
  </si>
  <si>
    <t>de6d6370cb4244e3a1c4399310c41df7</t>
  </si>
  <si>
    <t>25bfab344aed4f6d87002f03d7aacf52</t>
  </si>
  <si>
    <t>301250107</t>
  </si>
  <si>
    <t>7C27Mo2  t=0.508mm</t>
  </si>
  <si>
    <t>96e53fe2d050425ab009d918ae3cf890</t>
  </si>
  <si>
    <t>dedde6ee42f84630af760c98a85ef492</t>
  </si>
  <si>
    <t>9cb800d9318449b987f8138ca509b255</t>
  </si>
  <si>
    <t>301050096</t>
  </si>
  <si>
    <t>TP2 Y2 Φ35×2.0</t>
  </si>
  <si>
    <t>8e753197823e45c5a68b70473802003d</t>
  </si>
  <si>
    <t>df8d4a16f1d544a699580fe494ff4c27</t>
  </si>
  <si>
    <t>05ec2514278c4b75a8055a48b79439ce</t>
  </si>
  <si>
    <t>201502725</t>
  </si>
  <si>
    <t>SBV-A07-001202(Q176A)</t>
  </si>
  <si>
    <t>c433fb73fc4440de98f8f5facd1a45be</t>
  </si>
  <si>
    <t>dfad67aea38047f4a3236dfe5b0e3b4f</t>
  </si>
  <si>
    <t>7fde023a40064e49957b73f3c7e72522</t>
  </si>
  <si>
    <t>201502794</t>
  </si>
  <si>
    <t>SBV-A03-001213(Q187A)</t>
  </si>
  <si>
    <t>857ccbc614e7470da8cda7c79fc0554f</t>
  </si>
  <si>
    <t>dfb268ccd876449796a4561ec41142f9</t>
  </si>
  <si>
    <t>5e099a5050c449b2ae34ce2545ef4498</t>
  </si>
  <si>
    <t>301220350</t>
  </si>
  <si>
    <t>SUS303Cu(B) Φ7</t>
  </si>
  <si>
    <t>2b728a264b574aaca97a81598287a843</t>
  </si>
  <si>
    <t>dfe535276d684fa5bab545ea8e61b6e3</t>
  </si>
  <si>
    <t>94745dfe149e4591b6c69c225e2691e8</t>
  </si>
  <si>
    <t>201500039</t>
  </si>
  <si>
    <t>SBV-A11-001072(Q092A)</t>
  </si>
  <si>
    <t>aca8e94b408642119b648fe4ca07599a</t>
  </si>
  <si>
    <t>e1441e0c01a14e4ba8237fc2f555c657</t>
  </si>
  <si>
    <t>b8d376a558ff412d8788ca388bcc14f2</t>
  </si>
  <si>
    <t>301210191</t>
  </si>
  <si>
    <t>022Cr19Ni10 Φ23×0.8</t>
  </si>
  <si>
    <t>13d90a89098d4ad083877904a1ec30c8</t>
  </si>
  <si>
    <t>e17f3760b113483bb0bf837b4a4f45f5</t>
  </si>
  <si>
    <t>893fc6f9e4e845ba905c8fcb40fcd7bf</t>
  </si>
  <si>
    <t>201600180</t>
  </si>
  <si>
    <t>DXF-B10-001007</t>
  </si>
  <si>
    <t>096d4f6d4e3e4402b33030a46276b422</t>
  </si>
  <si>
    <t>e22b333dd2d14d56b3d688ecca490017</t>
  </si>
  <si>
    <t>a4b12dcb088c45d69854e586bada4fb8</t>
  </si>
  <si>
    <t>301050055</t>
  </si>
  <si>
    <t>TP2 Y2 Φ20×1.5</t>
  </si>
  <si>
    <t>c733e128ed39484593dc6ccb815be319</t>
  </si>
  <si>
    <t>e264ecddb79447aeb8812e5bb5ab0280</t>
  </si>
  <si>
    <t>2b54351e5d5a412993e200a0556115ec</t>
  </si>
  <si>
    <t>301220333</t>
  </si>
  <si>
    <t>SUS304 Φ23</t>
  </si>
  <si>
    <t>aa9ce0b25dfc464b9bbdddee39b57e9d</t>
  </si>
  <si>
    <t>e2745a11571e4685be32021371489ff8</t>
  </si>
  <si>
    <t>30e85c3b238e4c749a73d57ba906672e</t>
  </si>
  <si>
    <t>722050043</t>
  </si>
  <si>
    <t>RFG-D04-001002</t>
  </si>
  <si>
    <t>6b0bd152e28b41f99fc65ca555e5d13f</t>
  </si>
  <si>
    <t>e279632439da470aa72262e470f11df0</t>
  </si>
  <si>
    <t>1d36c313bb2a461bb5253b106db8d79a</t>
  </si>
  <si>
    <t>202850101</t>
  </si>
  <si>
    <t>SYJ-A00-919012</t>
  </si>
  <si>
    <t>0db5081be62748f597baa9493b3a2353</t>
  </si>
  <si>
    <t>e27f5bb835e34bc69f83e47eadc981b0</t>
  </si>
  <si>
    <t>c6d0d12e9b2841279f8e85c47d6e42f5</t>
  </si>
  <si>
    <t>201500371</t>
  </si>
  <si>
    <t>SBV-A25-001100</t>
  </si>
  <si>
    <t>62bae0900d294b36a96e5961a23ae9e4</t>
  </si>
  <si>
    <t>e2ad21765962448084a1ca342aa5da50</t>
  </si>
  <si>
    <t>587c71f7ac6547699d3d8cf77e5ef1e8</t>
  </si>
  <si>
    <t>202850011</t>
  </si>
  <si>
    <t>SYJ-A00-919005</t>
  </si>
  <si>
    <t>e317719398044635a7199dbcb9b7a844</t>
  </si>
  <si>
    <t>e2c60bb5043545fd8edf27c13ae04390</t>
  </si>
  <si>
    <t>5c6701beca0a43b9a63324b8928bc0f7</t>
  </si>
  <si>
    <t>201600444</t>
  </si>
  <si>
    <t>DXF-B10-001009(D01)</t>
  </si>
  <si>
    <t>0eeeee4b464540a2bf73da040c84d339</t>
  </si>
  <si>
    <t>e2daab2b915c476fb2bd58499645c28c</t>
  </si>
  <si>
    <t>0f249c7a99f048f9a51d78ef842e0df4</t>
  </si>
  <si>
    <t>201500022</t>
  </si>
  <si>
    <t>SBV-B05-001023(Q011A)</t>
  </si>
  <si>
    <t>db73ab35f6cf48d589b6aa56fb9c68fc</t>
  </si>
  <si>
    <t>e326d41eb3ba4ec4885d5b8eac8e3cf8</t>
  </si>
  <si>
    <t>da54db3eca35457ba0767fda121c6434</t>
  </si>
  <si>
    <t>301230018</t>
  </si>
  <si>
    <t>12L14 30×30</t>
  </si>
  <si>
    <t>63cee422889b4de6bd12533578acb870</t>
  </si>
  <si>
    <t>e3513232340d41b0bf3c8adc5b23a2de</t>
  </si>
  <si>
    <t>71f4bc75c8ec4784b742af702b780928</t>
  </si>
  <si>
    <t>301210292</t>
  </si>
  <si>
    <t>022Cr19Ni10 Φ42×1.3</t>
  </si>
  <si>
    <t>73eae53ff9024060b2f6630eb0ab84c8</t>
  </si>
  <si>
    <t>e3dd7f66ca0449baa51fb3c8467a6caf</t>
  </si>
  <si>
    <t>da85312135024d978344ee3d260749b4</t>
  </si>
  <si>
    <t>301050126</t>
  </si>
  <si>
    <t>TP2 Y2 Φ7.92(ID)×0.8</t>
  </si>
  <si>
    <t>8926871c03624c089dcd128c7591a080</t>
  </si>
  <si>
    <t>e40328e1d2ea4d3a855c5fc4faccdae0</t>
  </si>
  <si>
    <t>fdaea598a36b4041a543e25013ab4855</t>
  </si>
  <si>
    <t>301050092</t>
  </si>
  <si>
    <t>TP2 Y2 Φ31.75×1.8</t>
  </si>
  <si>
    <t>93d55c1cad7b44e3b15f0824afa6dbc0</t>
  </si>
  <si>
    <t>e42a9e9498d842f9a666ef8b62c61bef</t>
  </si>
  <si>
    <t>c6fa5366de8e43358b9bd10eb23159ad</t>
  </si>
  <si>
    <t>721200082</t>
  </si>
  <si>
    <t>XDF12F-021501</t>
  </si>
  <si>
    <t>24e7a2a3cd8042eb8f36225c1ed9b2af</t>
  </si>
  <si>
    <t>e4393a788ef94ffea7ed7d680a02640a</t>
  </si>
  <si>
    <t>391d4849028143a589ef7e7dc5fa3714</t>
  </si>
  <si>
    <t>301110342</t>
  </si>
  <si>
    <t>C3604 S34</t>
  </si>
  <si>
    <t>a7e36f08da9a4b929e2fd0f14c149bc0</t>
  </si>
  <si>
    <t>e45b076118944e2592a8e1f8bf5cbab1</t>
  </si>
  <si>
    <t>b9627f0d0e2142e58c23d96d788a4772</t>
  </si>
  <si>
    <t>301220004</t>
  </si>
  <si>
    <t>SUS303 Φ17</t>
  </si>
  <si>
    <t>acb3a82282a545bb82fe363f712c3499</t>
  </si>
  <si>
    <t>e4844a9dfa674e2c9dd504f5172c2cbf</t>
  </si>
  <si>
    <t>00bcfc5da7e7408b9bbd0618c181e18c</t>
  </si>
  <si>
    <t>301110531</t>
  </si>
  <si>
    <t>(FZ-2)C3531BDF Φ10×3000</t>
  </si>
  <si>
    <t>e817b0d2ae994c02946d6158164038e3</t>
  </si>
  <si>
    <t>e4948266577e45eeaaac17337e564f3c</t>
  </si>
  <si>
    <t>1444a0681f9a408188009657726e2be2</t>
  </si>
  <si>
    <t>202000048</t>
  </si>
  <si>
    <t>封盖1毛坯</t>
  </si>
  <si>
    <t>RFK-E04-063010</t>
  </si>
  <si>
    <t>91c42825a8984e93a8d96cba1b82a02d</t>
  </si>
  <si>
    <t>e59a7c9e6bac4c9fbc7993f1482a4c15</t>
  </si>
  <si>
    <t>c94af186410248d78d3dc7ee5cd0ac33</t>
  </si>
  <si>
    <t>301050736</t>
  </si>
  <si>
    <t>TP2 H02 Φ30×1.3</t>
  </si>
  <si>
    <t>73339c21189443eb84c9007c991cefac</t>
  </si>
  <si>
    <t>e6dcbcbd4c0b4675a06417f6f3810852</t>
  </si>
  <si>
    <t>02c1873501514a0296e5c13f89c0a5fb</t>
  </si>
  <si>
    <t>201500368</t>
  </si>
  <si>
    <t>SBV-A11-001094</t>
  </si>
  <si>
    <t>e7a24302424e409cb62b9269c30c3476</t>
  </si>
  <si>
    <t>e7547ea6a6cd4295bf65590361a130c5</t>
  </si>
  <si>
    <t>8951ef5cfe094c6dbe61706c3b4b6af8</t>
  </si>
  <si>
    <t>741110011</t>
  </si>
  <si>
    <t>圆铜棒</t>
  </si>
  <si>
    <t>C3604 φ58</t>
  </si>
  <si>
    <t>e40031d87589402faba842a333a88df9</t>
  </si>
  <si>
    <t>e765e8d723e441f9a77dbb187187a990</t>
  </si>
  <si>
    <t>9256f23fd3584d858f3ae26f1b3ad8b2</t>
  </si>
  <si>
    <t>301220007</t>
  </si>
  <si>
    <t>SUS303 Φ34</t>
  </si>
  <si>
    <t>230d9a9bea3c4d15a6360b42036b48e7</t>
  </si>
  <si>
    <t>e7a08076dd614f578eb8708a9227ee84</t>
  </si>
  <si>
    <t>a734e311c3d844de865acd11d709da28</t>
  </si>
  <si>
    <t>301220114</t>
  </si>
  <si>
    <t>SUS303Cu Φ20</t>
  </si>
  <si>
    <t>3d44019aec6042408261ddc404cdaecb</t>
  </si>
  <si>
    <t>e7b7aefecd434a47a0ce8c8c86d09a11</t>
  </si>
  <si>
    <t>cbc8138d3b5547359ca9041c84686362</t>
  </si>
  <si>
    <t>301220238</t>
  </si>
  <si>
    <t>00Cr13Si2S Φ8.98</t>
  </si>
  <si>
    <t>b4354854934f4dd8a4d04097738b5724</t>
  </si>
  <si>
    <t>e81e4cd041784375b9a41912cc2948ef</t>
  </si>
  <si>
    <t>ab5a1182504e4fefb9d3f5b252ec22d6</t>
  </si>
  <si>
    <t>301220182</t>
  </si>
  <si>
    <t>SUS303 S14</t>
  </si>
  <si>
    <t>b2f30aab5891473ba6864b2b6efb4c08</t>
  </si>
  <si>
    <t>e87468c34fe64258a87594c34f71571f</t>
  </si>
  <si>
    <t>938cf75404f048459d8c48d4bb381444</t>
  </si>
  <si>
    <t>301110432</t>
  </si>
  <si>
    <t>C3771 S22</t>
  </si>
  <si>
    <t>946bbf130f244f21b5decd6ace725a8c</t>
  </si>
  <si>
    <t>e9419ed7335142cbbd9d86f893d34972</t>
  </si>
  <si>
    <t>dec65ca5f2384e6993d1383f72272ef8</t>
  </si>
  <si>
    <t>201601194</t>
  </si>
  <si>
    <t>DXF-D50-001002</t>
  </si>
  <si>
    <t>1df9ccb6fb7445449053802d92a3640f</t>
  </si>
  <si>
    <t>e9a108d7e8a1473384a24d7cae427aff</t>
  </si>
  <si>
    <t>f9ddb4eb04754bbea5f7affc6b56e5f9</t>
  </si>
  <si>
    <t>301050634</t>
  </si>
  <si>
    <t>TP2 Y2 Φ4×0.6</t>
  </si>
  <si>
    <t>86e76e3585364c70a0a31f91f7569ad5</t>
  </si>
  <si>
    <t>e9c507668f964aa0b4e2686d68bcb632</t>
  </si>
  <si>
    <t>ab11adc769054732a89de5edadddd539</t>
  </si>
  <si>
    <t>301210187</t>
  </si>
  <si>
    <t>SUS304L Φ63.5(OD)×1.6</t>
  </si>
  <si>
    <t>b809a2c6d39049d2916c7b1425203d17</t>
  </si>
  <si>
    <t>e9d4b3aec72642c79d35ad87c9efff94</t>
  </si>
  <si>
    <t>a8e1380d66254ab4bb8d3155de44a5cc</t>
  </si>
  <si>
    <t>201500046</t>
  </si>
  <si>
    <t>SBV-A07-001111(Q107A)</t>
  </si>
  <si>
    <t>43534cb48cb04f95970f6e8309e524dd</t>
  </si>
  <si>
    <t>e9f6482cf1ad404da409c3fc2785f881</t>
  </si>
  <si>
    <t>8c4011c2ad2d44068d6a6779bc9ff068</t>
  </si>
  <si>
    <t>201850579</t>
  </si>
  <si>
    <t>YCQC02-020005</t>
  </si>
  <si>
    <t>a996087d30634895ba02d7ef60e43555</t>
  </si>
  <si>
    <t>e9fd2738106d4754aa6922c5b444127a</t>
  </si>
  <si>
    <t>9046d1b273374583ad2e2456e23d20d5</t>
  </si>
  <si>
    <t>721250205</t>
  </si>
  <si>
    <t>MDF-B01-044001</t>
  </si>
  <si>
    <t>ad023ffe9b9f41a1b09a219d49f7840b</t>
  </si>
  <si>
    <t>ea410094d7bc40b5bc2e518b3e3e3259</t>
  </si>
  <si>
    <t>8830bfd63e5048839af5e9c966d855e8</t>
  </si>
  <si>
    <t>301050849</t>
  </si>
  <si>
    <t>TP2 H02 Φ18.2×1.0</t>
  </si>
  <si>
    <t>1d3bce8b7fcb49a1a909d50a08194974</t>
  </si>
  <si>
    <t>ea4368ab6a3c4d89af6e63db872a0472</t>
  </si>
  <si>
    <t>c0822cfa9a5048f1aed2fe4e556436a2</t>
  </si>
  <si>
    <t>301110026</t>
  </si>
  <si>
    <t>C3602 Φ32</t>
  </si>
  <si>
    <t>03445674292443baa05b20fd8976b179</t>
  </si>
  <si>
    <t>ea7afb46db8546bf9cb7b24671988f64</t>
  </si>
  <si>
    <t>3b916e5257fc450ab9bae04ae2029789</t>
  </si>
  <si>
    <t>201503152</t>
  </si>
  <si>
    <t>SBV-A12-001243(Q211A)</t>
  </si>
  <si>
    <t>56d286508d164eecbb3139b82627e4d9</t>
  </si>
  <si>
    <t>ea94164c55a54c7380ea394d6ef29cf7</t>
  </si>
  <si>
    <t>01f84c76232f4574b4cc5a139a56344e</t>
  </si>
  <si>
    <t>201503530</t>
  </si>
  <si>
    <t>SBV-A13-001262(Q228A)</t>
  </si>
  <si>
    <t>e758d989694348b6a0a17eca9ef945df</t>
  </si>
  <si>
    <t>eb2630a3e1f54ae89655715540bd60c5</t>
  </si>
  <si>
    <t>f8584c5cba964a37985239f02a024e5a</t>
  </si>
  <si>
    <t>301110337</t>
  </si>
  <si>
    <t>C3604 S12.7</t>
  </si>
  <si>
    <t>51e03821a2944558868b1a8422e8b3dc</t>
  </si>
  <si>
    <t>eb718232f19b430fad0aaa2f3b24d3d0</t>
  </si>
  <si>
    <t>722aaa3bcccb4b5882fbc60e43e93ec6</t>
  </si>
  <si>
    <t>201306633</t>
  </si>
  <si>
    <t>VPF400-069002</t>
  </si>
  <si>
    <t>833ca21e2220482baf075c6896b67dd3</t>
  </si>
  <si>
    <t>eb78c9dbf13d42c9a2c1a6279ce45e65</t>
  </si>
  <si>
    <t>e11920ec708c44eb8fbc2cc16c1e933f</t>
  </si>
  <si>
    <t>1109000300039</t>
  </si>
  <si>
    <t>SYJ-A00-919025</t>
  </si>
  <si>
    <t>9eb1d0ebfb044a77b1509c5ea3c9ce77</t>
  </si>
  <si>
    <t>eb86ecd280e04dafa27493420b7c67fc</t>
  </si>
  <si>
    <t>7bc5038fd3324e20b0aa159c3256f5cd</t>
  </si>
  <si>
    <t>301110419</t>
  </si>
  <si>
    <t>C3771 S20</t>
  </si>
  <si>
    <t>f6d8047bb2424e2484b7810593e89786</t>
  </si>
  <si>
    <t>ec11183a7852491b866a82ac86377680</t>
  </si>
  <si>
    <t>014d5650c71e4f4d8cdea43de465709f</t>
  </si>
  <si>
    <t>301050054</t>
  </si>
  <si>
    <t>TP2 Y2 Φ20×1.3</t>
  </si>
  <si>
    <t>a89645ec4d93407daa87d441c8845326</t>
  </si>
  <si>
    <t>ec1d4f8fe30b47a096a9dbdcc2c2701e</t>
  </si>
  <si>
    <t>6a7c1c3cabec435185847afce7cc8956</t>
  </si>
  <si>
    <t>201600907</t>
  </si>
  <si>
    <t>DXF-D38-079005</t>
  </si>
  <si>
    <t>1eb0afb5805a4be1b936e4800c22749a</t>
  </si>
  <si>
    <t>ec29ee6dac884005af1186551898a084</t>
  </si>
  <si>
    <t>9927c31796ea4368a1fdf682cbda9b7b</t>
  </si>
  <si>
    <t>301050855</t>
  </si>
  <si>
    <t>TP2 H02 Φ45.6×2.0</t>
  </si>
  <si>
    <t>995053a6dbe7436fa40ce781aee31e01</t>
  </si>
  <si>
    <t>ecd69b8ec2b045bfb3c5a7b6a415837d</t>
  </si>
  <si>
    <t>1121d596519649bd99747cf980f46903</t>
  </si>
  <si>
    <t>301110039</t>
  </si>
  <si>
    <t>C3604BDS Φ11</t>
  </si>
  <si>
    <t>48160781f62d43e38bcd7b44babe9b6a</t>
  </si>
  <si>
    <t>ecd9eec01afe42968496f3f7064ee650</t>
  </si>
  <si>
    <t>4d7349794f5949d6932787b7c324cc41</t>
  </si>
  <si>
    <t>301160037</t>
  </si>
  <si>
    <t>6061-T6 Φ48</t>
  </si>
  <si>
    <t>3530c2273c274681ba8672a6544c0182</t>
  </si>
  <si>
    <t>ed4b2c79a9bf4de28f25490f6bbecb2f</t>
  </si>
  <si>
    <t>28695e639eb345039514438e4e111e5b</t>
  </si>
  <si>
    <t>301220012</t>
  </si>
  <si>
    <t>SUS303Cu Φ14</t>
  </si>
  <si>
    <t>4f9557af40034318b4cd517c4d2bb054</t>
  </si>
  <si>
    <t>ed4c77fa6b0a47378e74a013b7d23af7</t>
  </si>
  <si>
    <t>56b6dd92d6974f2694f4fd10dced898a</t>
  </si>
  <si>
    <t>301220221</t>
  </si>
  <si>
    <t>SUS304 Φ3</t>
  </si>
  <si>
    <t>d9c6344e711140a780edf6e0e1d6f553</t>
  </si>
  <si>
    <t>ee5970118b264714ab61180e89939c6a</t>
  </si>
  <si>
    <t>bdde2345cf06466abcf1c853ef7a75de</t>
  </si>
  <si>
    <t>301210320</t>
  </si>
  <si>
    <t>SUS304 Φ32×4</t>
  </si>
  <si>
    <t>3b0a715f2b0149eba96b93dcad2374a8</t>
  </si>
  <si>
    <t>ee865e9ca5f84b03b74715eb7fd2daad</t>
  </si>
  <si>
    <t>aed488c751a74dc4bd2448e436f6a70f</t>
  </si>
  <si>
    <t>202850077</t>
  </si>
  <si>
    <t>视镜座（毛坯）</t>
  </si>
  <si>
    <t>SYJ-A00-919009</t>
  </si>
  <si>
    <t>4593976b08fa4421901ab9b79446d63f</t>
  </si>
  <si>
    <t>ee9f8afff8844c73b3568f001911b809</t>
  </si>
  <si>
    <t>4d895648c80341be851c60047fab5e72</t>
  </si>
  <si>
    <t>301050801</t>
  </si>
  <si>
    <t>TP2 Y2 Φ26.18(ID)×1.2</t>
  </si>
  <si>
    <t>8c8368a168c74588b2c1034d61afe26b</t>
  </si>
  <si>
    <t>eed8eccfbb5e427f9244a19fedf9b30a</t>
  </si>
  <si>
    <t>a313b47e17bb44e3b3fc9409b0447708</t>
  </si>
  <si>
    <t>201500004</t>
  </si>
  <si>
    <t>SBV-B06-001011(F116A)</t>
  </si>
  <si>
    <t>e3cef1bd9de147389868324f8697af23</t>
  </si>
  <si>
    <t>ef9b7e1034574c5491b9ed157d9e21f7</t>
  </si>
  <si>
    <t>bd1cc77e765b4472bc5ccb8091b9b66b</t>
  </si>
  <si>
    <t>1001000300323</t>
  </si>
  <si>
    <t>MZF15H-015001,电镀(锌/锡/镍/PTFE/铜)</t>
  </si>
  <si>
    <t>7ddad7a8c3d3493083a2cd0818e879bb</t>
  </si>
  <si>
    <t>efd5da2fe1e842fc8c61d1620d8d0c30</t>
  </si>
  <si>
    <t>db61be754c7845a5aff971fe1bf49979</t>
  </si>
  <si>
    <t>301160043</t>
  </si>
  <si>
    <t>6061-T6 Φ38</t>
  </si>
  <si>
    <t>fa5e933f96a14a18a47d6aebe1a9c621</t>
  </si>
  <si>
    <t>f00f11a2495d4d2ca2a736b4ae87b6e3</t>
  </si>
  <si>
    <t>f55d47168c38421e92bedd02b74f8706</t>
  </si>
  <si>
    <t>301220161</t>
  </si>
  <si>
    <t>软磁不锈钢磨光棒料</t>
  </si>
  <si>
    <t>00Cr13Si2S Φ13.81(+0.01/-0.02)</t>
  </si>
  <si>
    <t>0ebe6d5d98da482da130dbafa27e48a1</t>
  </si>
  <si>
    <t>f02f5acf3ba7465a9971207182b2e2cd</t>
  </si>
  <si>
    <t>9122f2919bfa4b1480c87f0b164b3cbb</t>
  </si>
  <si>
    <t>301220219</t>
  </si>
  <si>
    <t>00Cr13Si2 Φ10.35(+0.01,-0.02)</t>
  </si>
  <si>
    <t>739b913d37614e44871750e83e415797</t>
  </si>
  <si>
    <t>f041ac0512fd4f10a1e8a6e722c4ad2d</t>
  </si>
  <si>
    <t>a0251b353bff4b89ae7290234e96f1dd</t>
  </si>
  <si>
    <t>201230009</t>
  </si>
  <si>
    <t>XDF3F-902001</t>
  </si>
  <si>
    <t>c2f871f38fda48e4945c1b4f46797a19</t>
  </si>
  <si>
    <t>f04525133c764d179f51068f8208eed2</t>
  </si>
  <si>
    <t>f2dea62205004bde947826fdebe82d3d</t>
  </si>
  <si>
    <t>301050866</t>
  </si>
  <si>
    <t>TP2 Y2 Φ27.8×1.6</t>
  </si>
  <si>
    <t>3264970226c24000a4563f359f2b9e26</t>
  </si>
  <si>
    <t>f0e9cb87b90f408493c389d05837fe41</t>
  </si>
  <si>
    <t>6ba4b0c3ce6c4845b56c8326c20d06af</t>
  </si>
  <si>
    <t>301220207</t>
  </si>
  <si>
    <t>SUS304(B) Φ11</t>
  </si>
  <si>
    <t>2b9ea254be89459e8f6b690e735a973f</t>
  </si>
  <si>
    <t>f18be59dfab6495591201656096f8864</t>
  </si>
  <si>
    <t>420f138ed96940d890f0b02f81515c5d</t>
  </si>
  <si>
    <t>201060054</t>
  </si>
  <si>
    <t>MZF20H-015001</t>
  </si>
  <si>
    <t>fd74e020b0344f30b85482ae24082594</t>
  </si>
  <si>
    <t>f1c027d16382441699cbcba96e9fdbf2</t>
  </si>
  <si>
    <t>46b3dc9dc5dd4aaebe23b3e38e34b968</t>
  </si>
  <si>
    <t>201503030</t>
  </si>
  <si>
    <t>SBV-A04-001240(Q208A)</t>
  </si>
  <si>
    <t>94aa0ccbedbd4cfd9b37b7b387d28f53</t>
  </si>
  <si>
    <t>f22e9adb67374e2092661a537a6c4c7e</t>
  </si>
  <si>
    <t>eb72d0f9711f439f963d790d120a4db7</t>
  </si>
  <si>
    <t>301110465</t>
  </si>
  <si>
    <t>C3604 S14</t>
  </si>
  <si>
    <t>62dde9bd40614a7bbcd61cb50266dcae</t>
  </si>
  <si>
    <t>f2b1637a7c02410aa6cb910fd21882c8</t>
  </si>
  <si>
    <t>220f7a4f997145a8af4d5e21560ef560</t>
  </si>
  <si>
    <t>301050035</t>
  </si>
  <si>
    <t>TP2 Y2 Φ16(ID)×1.0</t>
  </si>
  <si>
    <t>fa898737894d48458d45ee8cb4f68b21</t>
  </si>
  <si>
    <t>f32a3b4ef6db4b92b0a3ac05fb79d2fa</t>
  </si>
  <si>
    <t>af1c88dc97be492a8ceccb1c2c0d0564</t>
  </si>
  <si>
    <t>301220006</t>
  </si>
  <si>
    <t>SUS303 Φ30</t>
  </si>
  <si>
    <t>bea847fe3dc74bcdaea938c3334781a0</t>
  </si>
  <si>
    <t>f338f65e75174a9fbe3ff2f1e31e9504</t>
  </si>
  <si>
    <t>e15f73c7982e4a2c9a2a108517da0b43</t>
  </si>
  <si>
    <t>202010122</t>
  </si>
  <si>
    <t>RFK-H04-001011</t>
  </si>
  <si>
    <t>b714faad5312456eb51f180790d2b1c1</t>
  </si>
  <si>
    <t>f3470f1b656c44d8a76ede277508eb7c</t>
  </si>
  <si>
    <t>196293b5ce264cecb006174c858778c1</t>
  </si>
  <si>
    <t>201308906</t>
  </si>
  <si>
    <t>VPF250-069006</t>
  </si>
  <si>
    <t>528d6f474e334fbc8a7652352b7b9c40</t>
  </si>
  <si>
    <t>f3b2f41cb34a4d96bd6030cce70bb47b</t>
  </si>
  <si>
    <t>98672a5adab646b48719626b9349f750</t>
  </si>
  <si>
    <t>301210232</t>
  </si>
  <si>
    <t>022Cr19Ni10 Φ16×0.7</t>
  </si>
  <si>
    <t>c84f4a42bae4421185abf4aae195be3f</t>
  </si>
  <si>
    <t>f3cfeb674a924e10a507bc27c28c89a5</t>
  </si>
  <si>
    <t>432f047430514f8a9e7d0d3ba02c1860</t>
  </si>
  <si>
    <t>301110052</t>
  </si>
  <si>
    <t>C3771 Φ32</t>
  </si>
  <si>
    <t>701d0f5c725a49fa9e03d5656883dddb</t>
  </si>
  <si>
    <t>f43f2600b3e441738dae2e771263da4c</t>
  </si>
  <si>
    <t>1507c8a96cc84261a2ba1d054182e16c</t>
  </si>
  <si>
    <t>201290677</t>
  </si>
  <si>
    <t>HDF25HM-004002</t>
  </si>
  <si>
    <t>0604ad0506d54e51a06b53453683990f</t>
  </si>
  <si>
    <t>f4a7c480e0ba4aa8bdf16626f81c8c1b</t>
  </si>
  <si>
    <t>47b3394ac10b49219017814ba08ed2a5</t>
  </si>
  <si>
    <t>721250465</t>
  </si>
  <si>
    <t>HDF22H-004001</t>
  </si>
  <si>
    <t>dbc4af41746d4b47861bd044e1e219b8</t>
  </si>
  <si>
    <t>f4dbb04c0c464475aa55e9fee6148d7b</t>
  </si>
  <si>
    <t>00ba44f1c5f44e088c4ea275ad7aaee3</t>
  </si>
  <si>
    <t>201250277</t>
  </si>
  <si>
    <t>MDF-A03-004015</t>
  </si>
  <si>
    <t>cbfc72dc19204c79826013a89db4e43d</t>
  </si>
  <si>
    <t>f51627eeb6d54b309305107adcc57bc1</t>
  </si>
  <si>
    <t>64ff4d62bb01489786ec046fb10f7c13</t>
  </si>
  <si>
    <t>301110310</t>
  </si>
  <si>
    <t>C3771A Φ16</t>
  </si>
  <si>
    <t>3042fd4b45a141a9896ec1518498ccc9</t>
  </si>
  <si>
    <t>f521846ed2294fbb8b49e047c4fb7725</t>
  </si>
  <si>
    <t>e9f3ee50d91548f98db7bf0be60080fc</t>
  </si>
  <si>
    <t>301110486</t>
  </si>
  <si>
    <t>C3604 φ20.2</t>
  </si>
  <si>
    <t>3ba8f7964c6c46cc898584adc893a604</t>
  </si>
  <si>
    <t>f54276ce7efd4041b205da507325ea07</t>
  </si>
  <si>
    <t>2d49c0e666204528886b1c316499870e</t>
  </si>
  <si>
    <t>721300176</t>
  </si>
  <si>
    <t>DPF-S03-023004</t>
  </si>
  <si>
    <t>eeffe8159470431db2f715b94ca6516e</t>
  </si>
  <si>
    <t>f5b5b3c7794540c6a5a34ec7ea1c53e0</t>
  </si>
  <si>
    <t>6d8a183b1d2f4c6f911af2da207e8f31</t>
  </si>
  <si>
    <t>201560014</t>
  </si>
  <si>
    <t>EBVW06L-001002</t>
  </si>
  <si>
    <t>494031f50c524e4c87118590b2042676</t>
  </si>
  <si>
    <t>f5c430f5f4d84e04b4605e86be7749e3</t>
  </si>
  <si>
    <t>da27f2dafd544d33a70d81e54bbfa09e</t>
  </si>
  <si>
    <t>201501254</t>
  </si>
  <si>
    <t>SBV-A03-001129(Q121A)</t>
  </si>
  <si>
    <t>18fa3f95e36446868809ebe07b5ca9fd</t>
  </si>
  <si>
    <t>f61863461f354365a89b86655ca10a63</t>
  </si>
  <si>
    <t>030c486640b14f7c86b935e1dd8fbfa7</t>
  </si>
  <si>
    <t>301220128</t>
  </si>
  <si>
    <t>SUS303 S13</t>
  </si>
  <si>
    <t>08a21d0114d64924a9545a08cfac7aea</t>
  </si>
  <si>
    <t>f68fcc09497c4d31bbd9a9ac3abac65f</t>
  </si>
  <si>
    <t>624a7772d7c04f64816ebc6159c4420e</t>
  </si>
  <si>
    <t>201600905</t>
  </si>
  <si>
    <t>DXF-D17-079001</t>
  </si>
  <si>
    <t>a6d016309f4a4ca7bcecb3ea7acd2e23</t>
  </si>
  <si>
    <t>f6959bea0bdf4686a169b1741494bf32</t>
  </si>
  <si>
    <t>b0968bb218864c4dace755a2c4932803</t>
  </si>
  <si>
    <t>301210164</t>
  </si>
  <si>
    <t>SUS304 Φ28×1.5</t>
  </si>
  <si>
    <t>3d7181929801437eb9cc88204ca8bfbd</t>
  </si>
  <si>
    <t>f6da4d8fcf7f419eb45fbe12f3f5db80</t>
  </si>
  <si>
    <t>9895619144aa4393911c2ea50d411828</t>
  </si>
  <si>
    <t>301050088</t>
  </si>
  <si>
    <t>TP2 Y2 Φ28.58×1.2</t>
  </si>
  <si>
    <t>86bc2d26a9a940449f903bf489a58f0a</t>
  </si>
  <si>
    <t>f70e81fd2fee474ea52a989561efec99</t>
  </si>
  <si>
    <t>9bb8dcd4e31d4da09123a59fc30ee3bb</t>
  </si>
  <si>
    <t>301220295</t>
  </si>
  <si>
    <t>SUS303Cu(B) Φ24</t>
  </si>
  <si>
    <t>48dd72329039490bba142dd9c0d32967</t>
  </si>
  <si>
    <t>f73a687d201f4b1d8410ac44ab22ee6a</t>
  </si>
  <si>
    <t>49b45af6f90f4cdaa6dc0bd03848ede4</t>
  </si>
  <si>
    <t>201504144</t>
  </si>
  <si>
    <t>SBV-B10-001278(Q239A)</t>
  </si>
  <si>
    <t>138c560fa65e4631977473c61959eb1b</t>
  </si>
  <si>
    <t>f760bb03d6204de6a9746ac910f682bb</t>
  </si>
  <si>
    <t>9359185a2d824d649587be52f808a8a9</t>
  </si>
  <si>
    <t>301200228</t>
  </si>
  <si>
    <t>SUS304 Φ23×0.8</t>
  </si>
  <si>
    <t>148edb5849704cdb87a3139cfb83aafe</t>
  </si>
  <si>
    <t>f794a7d435004d5f8b02f6afca3afddd</t>
  </si>
  <si>
    <t>c8381a08878d428ca2ddd1429d45eb23</t>
  </si>
  <si>
    <t>301110541</t>
  </si>
  <si>
    <t>C3604 Φ17</t>
  </si>
  <si>
    <t>702be9ba05634ae7b1554f4c54914c44</t>
  </si>
  <si>
    <t>f7d2770e243c465cbc810b67e7419097</t>
  </si>
  <si>
    <t>6b1d683866984182a2e64a6bf51fc8b7</t>
  </si>
  <si>
    <t>201503531</t>
  </si>
  <si>
    <t>SBV-A17-001267</t>
  </si>
  <si>
    <t>a6aba3f6492940dd95b7863c0209060c</t>
  </si>
  <si>
    <t>f80dc72df6b549ccac58986ada70c0cf</t>
  </si>
  <si>
    <t>cffa6beb2421437e8210f2f3df0dbe38</t>
  </si>
  <si>
    <t>301050116</t>
  </si>
  <si>
    <t>TP2 Y2 Φ6.35×0.7</t>
  </si>
  <si>
    <t>d6326da4a8d547a19e3456217ff0a5c8</t>
  </si>
  <si>
    <t>f8790d2fefaa47709b2077c62eca0714</t>
  </si>
  <si>
    <t>702ffe8ca74b4d3e80cf0c2f6693b5e1</t>
  </si>
  <si>
    <t>721250063</t>
  </si>
  <si>
    <t>MDF-A01-015002</t>
  </si>
  <si>
    <t>25dede74822b4f7483cf6cb60af4fc0a</t>
  </si>
  <si>
    <t>f87f58a491674e6bb1c288143399a036</t>
  </si>
  <si>
    <t>5ad401495dea4d6694cf82f8d46e75cf</t>
  </si>
  <si>
    <t>201290821</t>
  </si>
  <si>
    <t>HDF3H-004001</t>
  </si>
  <si>
    <t>1c24acb1d0cd4dbdb8281c3f60d6ecbc</t>
  </si>
  <si>
    <t>f89cd2f69a954ce88feb8456fc351370</t>
  </si>
  <si>
    <t>9e1c4be1c92d437d9ce9d5356fb2b41c</t>
  </si>
  <si>
    <t>301060091</t>
  </si>
  <si>
    <t>TP2 M2 Φ6.35×1.0 LWC</t>
  </si>
  <si>
    <t>4b8797abe8fb422e82d508e875756f26</t>
  </si>
  <si>
    <t>f90fccda4e7f4b4993d3bade378faf79</t>
  </si>
  <si>
    <t>86e6ec49e9614549a1ffb7ee25f05897</t>
  </si>
  <si>
    <t>301220129</t>
  </si>
  <si>
    <t>SUS303 S25.4</t>
  </si>
  <si>
    <t>77d09790716c47d184c953b78adb9db9</t>
  </si>
  <si>
    <t>f938e7043fd049f3aef4ed5f9afb6f1e</t>
  </si>
  <si>
    <t>e11b118bd0584e84a56d6e3f3114d714</t>
  </si>
  <si>
    <t>301240248</t>
  </si>
  <si>
    <t>带12R11 1250 t0.12×38</t>
  </si>
  <si>
    <t>5d611ad7cd70466cae3a4cf332b9d62f</t>
  </si>
  <si>
    <t>f94d38d212504c408acbde54064b51d7</t>
  </si>
  <si>
    <t>47be55e20b8f4c5fa862d69d94d7d0b0</t>
  </si>
  <si>
    <t>301050112</t>
  </si>
  <si>
    <t>TP2 Y2 Φ6×0.5</t>
  </si>
  <si>
    <t>edcee2fa81e84edbb1fe180b66ebf14a</t>
  </si>
  <si>
    <t>f985bb6ab9bc45a59c6c793592953fb8</t>
  </si>
  <si>
    <t>beee99997f3946458ff03dd65495d914</t>
  </si>
  <si>
    <t>301110524</t>
  </si>
  <si>
    <t>C3771 S46</t>
  </si>
  <si>
    <t>932fe47ab6d64633992c6c2fa8ac1a68</t>
  </si>
  <si>
    <t>fa3658c55dbe4d7c95019cd92ae7e4b7</t>
  </si>
  <si>
    <t>b3a8e4e3cc4243338fdf583f4731c148</t>
  </si>
  <si>
    <t>201500017</t>
  </si>
  <si>
    <t>SBV-B05-001002(Q016A)</t>
  </si>
  <si>
    <t>33e5530f54f24561918668b91a6a3b93</t>
  </si>
  <si>
    <t>fabd8a96e4e04484aaa50d44041d9b66</t>
  </si>
  <si>
    <t>7f0d68205d854928948d364a37872c89</t>
  </si>
  <si>
    <t>201600896</t>
  </si>
  <si>
    <t>DXF-D38-001001</t>
  </si>
  <si>
    <t>ac64088631e34def9677c28dc75ffac8</t>
  </si>
  <si>
    <t>fb27f24a62d54306ab39efaf9f093f17</t>
  </si>
  <si>
    <t>d4757d73c4584892873921a11ee12212</t>
  </si>
  <si>
    <t>201250157</t>
  </si>
  <si>
    <t>MDF22H-004001</t>
  </si>
  <si>
    <t>9d65d847c0264e74b6171df49eb5fc2d</t>
  </si>
  <si>
    <t>fc3dbe6c006a4bf3bec9e7efc132060a</t>
  </si>
  <si>
    <t>c344ca28056b4b4497ea679e32a79966</t>
  </si>
  <si>
    <t>201290457</t>
  </si>
  <si>
    <t>HDF22H-015002</t>
  </si>
  <si>
    <t>6bed2994ceed40bcbf21b9ad374d472d</t>
  </si>
  <si>
    <t>fc52e080f7b64d12b1d18c2c7596417b</t>
  </si>
  <si>
    <t>d1b42326268047b09cf756b90678f38d</t>
  </si>
  <si>
    <t>301210141</t>
  </si>
  <si>
    <t>不锈钢接管</t>
  </si>
  <si>
    <t>SUS304 Φ57×3</t>
  </si>
  <si>
    <t>d4c692a025ac4945982fc7fe9634b015</t>
  </si>
  <si>
    <t>fc5a279a6f754bef883ef08af19314e4</t>
  </si>
  <si>
    <t>64cfdc858f104837b84a733cf2fa675a</t>
  </si>
  <si>
    <t>301110102</t>
  </si>
  <si>
    <t>C3602 S27</t>
  </si>
  <si>
    <t>eeca39eb35e242b0b24486b99a37a221</t>
  </si>
  <si>
    <t>fc61d2bf97ed427ea6d115ccdb21284a</t>
  </si>
  <si>
    <t>9f4436d7165c42079b67769c6c85ab9a</t>
  </si>
  <si>
    <t>301110428</t>
  </si>
  <si>
    <t>C3771 Φ11</t>
  </si>
  <si>
    <t>46f4a827d758426baee2bde713a3b9c4</t>
  </si>
  <si>
    <t>fcce0ff05a944561862c36d913c6d724</t>
  </si>
  <si>
    <t>4db4d0aafb8a459cb822064e429298fd</t>
  </si>
  <si>
    <t>301110351</t>
  </si>
  <si>
    <t>C3604 φ53</t>
  </si>
  <si>
    <t>cdbca39274f04b769c3e8ab12d8affda</t>
  </si>
  <si>
    <t>fd2645f71e1d45769261e68af968a5d1</t>
  </si>
  <si>
    <t>217f202e52e14a5095c44678f0551f90</t>
  </si>
  <si>
    <t>301220239</t>
  </si>
  <si>
    <t>00Cr13Si2S Φ9.88</t>
  </si>
  <si>
    <t>ce9a66d5edb9434f9d520585c8b63a37</t>
  </si>
  <si>
    <t>fe95a098a19f4ebd94b93fb425dd2fc9</t>
  </si>
  <si>
    <t>68a8322ab8d6465f9a81e4450b6384fb</t>
  </si>
  <si>
    <t>203050116</t>
  </si>
  <si>
    <t>ZJF-A66-001027</t>
  </si>
  <si>
    <t>dcad339498cf446f9164c5329e13bd98</t>
  </si>
  <si>
    <t>ff026073cb8d48508618e3a248922ac4</t>
  </si>
  <si>
    <t>2d6f23e69b7b4bcca627ce1849daec5b</t>
  </si>
  <si>
    <t>301210197</t>
  </si>
  <si>
    <t>SUS304L Φ45×1</t>
  </si>
  <si>
    <t>6d86c5593a944cd38048ed054919fa5b</t>
  </si>
  <si>
    <t>ff1d94f25e114698abc1596588e8944a</t>
  </si>
  <si>
    <t>d4b59a2602564f51800a352d8b255ba5</t>
  </si>
  <si>
    <t>201250278</t>
  </si>
  <si>
    <t>MDF-A03-004017</t>
  </si>
  <si>
    <t>a8cccee1915b4dd9945dd097ba52efd4</t>
  </si>
  <si>
    <t>ff95e4d3e2954cca9f80901ddf435eac</t>
  </si>
  <si>
    <t>d2417fae980c419ca55d516bc1dbd0f2</t>
  </si>
  <si>
    <t>301260158</t>
  </si>
  <si>
    <t>YL(304)-2.0×125×995</t>
  </si>
  <si>
    <t>2025-07-24 15:45:40</t>
  </si>
  <si>
    <t>b9a7fb7d53ea4c339b43166a9dc82cb3</t>
  </si>
  <si>
    <t>094201e14c8b4e40a1d4c9838e9225e3</t>
  </si>
  <si>
    <t>系统管理员的原材料对应回收废料信息-单据2025-07-24 15:45:39</t>
  </si>
  <si>
    <t>87174597fb52429d966f00e106d9efbf</t>
  </si>
  <si>
    <t>2025-07-24</t>
  </si>
  <si>
    <t>301991027</t>
  </si>
  <si>
    <t>废铜(T2)</t>
  </si>
  <si>
    <t>3cc7c92b4ece486e86782e263032ef5b</t>
  </si>
  <si>
    <t>0b3b218643ec4c9aa5f175ff8a2222e6</t>
  </si>
  <si>
    <t>9e85e735bfae465584066914da0df545</t>
  </si>
  <si>
    <t>2f5455d6a7dd4a79ae34082bb069b3ab</t>
  </si>
  <si>
    <t>0b611e47e84d4c0d98884b6707ce2106</t>
  </si>
  <si>
    <t>5bb711c3f50c484fad28ed00e6fc213a</t>
  </si>
  <si>
    <t>301260148</t>
  </si>
  <si>
    <t>YL(304)-2.0×83×1015</t>
  </si>
  <si>
    <t>9353768c1fbb46c68d8e34a2c92154ae</t>
  </si>
  <si>
    <t>0d6880fa60484274bd4a6ba138d0a27a</t>
  </si>
  <si>
    <t>ca63d7741ea94e57b3427d29c581f54f</t>
  </si>
  <si>
    <t>301260106</t>
  </si>
  <si>
    <t>YL(304)-2438×1219×2</t>
  </si>
  <si>
    <t>6be67980f2834e3bb0b9fef47799a3b9</t>
  </si>
  <si>
    <t>12a910ddd69d4eee8b228ef1bcd0ea6b</t>
  </si>
  <si>
    <t>b1f7bd6d511f4977aee6d9d5355c2aa2</t>
  </si>
  <si>
    <t>301240324</t>
  </si>
  <si>
    <t>0.4厚×204宽不锈钢卷</t>
  </si>
  <si>
    <t>YL(316L)-0.4-204</t>
  </si>
  <si>
    <t>0dde5ac8c74a4274ad1f5b87cdb2f3e1</t>
  </si>
  <si>
    <t>189ff1fab0744707b0d677ea0e2d586c</t>
  </si>
  <si>
    <t>c1fd59a8014447f593b56209d54c80fa</t>
  </si>
  <si>
    <t>301240312</t>
  </si>
  <si>
    <t>0.3厚×128宽不锈钢卷</t>
  </si>
  <si>
    <t>YL(316L)-0.3-128</t>
  </si>
  <si>
    <t>279006f7151e41f3b86649f68e69404d</t>
  </si>
  <si>
    <t>1c471e9a3da744979ea5c7f32bf1eb18</t>
  </si>
  <si>
    <t>d5c02810fa754588a86d29d2bc4bef3c</t>
  </si>
  <si>
    <t>3e30bd29704d436987697ebd1acce58f</t>
  </si>
  <si>
    <t>1fbfc8f509f743ed9e77754bc45fd6a4</t>
  </si>
  <si>
    <t>c98007952a0f4f4ea9783c67b259dae0</t>
  </si>
  <si>
    <t>301240334</t>
  </si>
  <si>
    <t>不锈钢带(BA)</t>
  </si>
  <si>
    <t>YL(304)-1-92-BA</t>
  </si>
  <si>
    <t>060f4d14ca5746d0a34f1038a879e8c3</t>
  </si>
  <si>
    <t>1fcaf58c165a4b7ea1f05b2df4e12d47</t>
  </si>
  <si>
    <t>9adaa720a9d14ec1a26d849e4d9ea233</t>
  </si>
  <si>
    <t>301260180</t>
  </si>
  <si>
    <t>SUS304_t2×128×1100</t>
  </si>
  <si>
    <t>2e0e7bf11cf740b48e8b1e85a2a60d2e</t>
  </si>
  <si>
    <t>1fe1638065d644c1b972730705b4f0d5</t>
  </si>
  <si>
    <t>1571c8968da2439ba77d12b76f9106eb</t>
  </si>
  <si>
    <t>301240319</t>
  </si>
  <si>
    <t>0.4厚×120宽不锈钢卷</t>
  </si>
  <si>
    <t>YL(304)-0.4-120</t>
  </si>
  <si>
    <t>5d4b6ed4a3c242fdbec873449bf24e1b</t>
  </si>
  <si>
    <t>259f966322934f7ba2025b9c104cf205</t>
  </si>
  <si>
    <t>5ee86e06b8644a59b5c4900a553685ed</t>
  </si>
  <si>
    <t>301240411</t>
  </si>
  <si>
    <t>YL(304)-1-105</t>
  </si>
  <si>
    <t>f7c5b298e0704b28be35002185cc49b3</t>
  </si>
  <si>
    <t>289c4b3681664356ab6fd351f91241a2</t>
  </si>
  <si>
    <t>f444f9fd493848be947227bb62d832aa</t>
  </si>
  <si>
    <t>301240331</t>
  </si>
  <si>
    <t>YL(304)-1-83-BA</t>
  </si>
  <si>
    <t>44403bbceb0a4277b52443537f0e9b82</t>
  </si>
  <si>
    <t>29664677a9844e14b67dbbec0d1bfe98</t>
  </si>
  <si>
    <t>997212a161a04646ba31fd8cd1c21e4f</t>
  </si>
  <si>
    <t>205687505</t>
  </si>
  <si>
    <t>S200端板落料板</t>
  </si>
  <si>
    <t>张</t>
  </si>
  <si>
    <t>c28abfb4e0054c75a04ba9f0181d17df</t>
  </si>
  <si>
    <t>2eec4d7e087147f9a0d6105852f91207</t>
  </si>
  <si>
    <t>443767bb605b4184b3ec26c4445b584a</t>
  </si>
  <si>
    <t>176bfe939881425d80b1822ea9a40b0b</t>
  </si>
  <si>
    <t>2f77234cc55d4909acbe3cdf5eb01d1e</t>
  </si>
  <si>
    <t>563af80ec98a4da0994a4fc7a71418ae</t>
  </si>
  <si>
    <t>301240387</t>
  </si>
  <si>
    <t>YL(316L)-0.3-104</t>
  </si>
  <si>
    <t>fda0eeb8f8dd4dd48994c94620b3aaa5</t>
  </si>
  <si>
    <t>2fa34fc38a874e3dae15f81aa431bc22</t>
  </si>
  <si>
    <t>f5744c3da70e46018871783b68832c4e</t>
  </si>
  <si>
    <t>301240325</t>
  </si>
  <si>
    <t>0.4厚×261宽不锈钢卷</t>
  </si>
  <si>
    <t>YL(304)-0.4-261</t>
  </si>
  <si>
    <t>4916ece5b56f4043a7379616e89060d8</t>
  </si>
  <si>
    <t>30cc817598bb40188f0fae1ebd888dbf</t>
  </si>
  <si>
    <t>3e323e1678964c4197d06b9399931a6a</t>
  </si>
  <si>
    <t>301240302</t>
  </si>
  <si>
    <t>0.3厚×84宽不锈钢卷</t>
  </si>
  <si>
    <t>YL(316L)-0.3-84</t>
  </si>
  <si>
    <t>5eb37d84fbb54312a7192456d9616b6d</t>
  </si>
  <si>
    <t>38f5fc2b08f04f0388d4255ff58d4abf</t>
  </si>
  <si>
    <t>5265ebb937fe444bbd6b5c5a0ae4a00e</t>
  </si>
  <si>
    <t>301240320</t>
  </si>
  <si>
    <t>YL(316L)-0.4-120</t>
  </si>
  <si>
    <t>e71613f8cc424b3993a85a38a7a9f447</t>
  </si>
  <si>
    <t>3e48b7ce24194ef998a0a58762554125</t>
  </si>
  <si>
    <t>8b52043b289447e1adc844e25fee937f</t>
  </si>
  <si>
    <t>301240311</t>
  </si>
  <si>
    <t>YL(304)-0.3-128</t>
  </si>
  <si>
    <t>830dc73520b741e08930e70b0d2c6e86</t>
  </si>
  <si>
    <t>3f801db1eb864814b3b99368ed8af75d</t>
  </si>
  <si>
    <t>cf1d06405149479fbbe7af391d2559fa</t>
  </si>
  <si>
    <t>301260124</t>
  </si>
  <si>
    <t>YL(304)-2438×1219×0.75</t>
  </si>
  <si>
    <t>f3ae2cd96a274afaaa627e5ccd7f4052</t>
  </si>
  <si>
    <t>42f492515f424d57b292c8e5d7433151</t>
  </si>
  <si>
    <t>aa4b537c60b1484cae28ca2ee8042b82</t>
  </si>
  <si>
    <t>301260167</t>
  </si>
  <si>
    <t>YL(304)-1.5×88.5×1219</t>
  </si>
  <si>
    <t>12ee6d0730464c0ead7382acec39fa6a</t>
  </si>
  <si>
    <t>460f03e72c2e4a5c8475b06d98e32c44</t>
  </si>
  <si>
    <t>a7204a5a210640018196dfba9a4ce168</t>
  </si>
  <si>
    <t>301240322</t>
  </si>
  <si>
    <t>0.4厚×125宽不锈钢卷</t>
  </si>
  <si>
    <t>YL(316L)-0.4-125</t>
  </si>
  <si>
    <t>4159ae6cb20f438ea588bc8b24c78f4d</t>
  </si>
  <si>
    <t>471f2f51215149158ddec446035f8e0a</t>
  </si>
  <si>
    <t>91d4f259803c4c7dbeacfac4dcc02739</t>
  </si>
  <si>
    <t>084435dcf6f84ab5ade182f4cea45e11</t>
  </si>
  <si>
    <t>48968da9aac148e7aa6f4f593e8e7ff1</t>
  </si>
  <si>
    <t>0cabfa9cc31c424fb1ee0449ef89c4a6</t>
  </si>
  <si>
    <t>301240376</t>
  </si>
  <si>
    <t>0.35厚×204宽不锈钢卷</t>
  </si>
  <si>
    <t>YL(316L)-0.35-204</t>
  </si>
  <si>
    <t>0a318976e66643ed8dd0459c2004a6fe</t>
  </si>
  <si>
    <t>4a254b88b58441ac81c7865f9ef79d30</t>
  </si>
  <si>
    <t>5eb56ab68b7d42a9ba192e7255a4076d</t>
  </si>
  <si>
    <t>69b6efe812564289ae7f17490eb4db69</t>
  </si>
  <si>
    <t>4a871cacd89c49f095fa035593bb1550</t>
  </si>
  <si>
    <t>21b1e5e672ba42138b10cdd968850dba</t>
  </si>
  <si>
    <t>301260139</t>
  </si>
  <si>
    <t>YL(304)-1150×94×2</t>
  </si>
  <si>
    <t>e32288e445304aa890e463b652f1729a</t>
  </si>
  <si>
    <t>4b0aa44c20ae4d659fee9a12383e5a17</t>
  </si>
  <si>
    <t>5a2c6f85bcc34bc29dc569866f795889</t>
  </si>
  <si>
    <t>ca05253f8ecf44e6b2fde7c3c0a6834d</t>
  </si>
  <si>
    <t>4bf77b7845da4026b98892b4615a9c9f</t>
  </si>
  <si>
    <t>4e09c99c7d2640a09da11fe60fd1b2e4</t>
  </si>
  <si>
    <t>bc52b0a4e6994f4eb233f9085a59d158</t>
  </si>
  <si>
    <t>4c8f0bf7707b4b9fbd12d27a172349bd</t>
  </si>
  <si>
    <t>9c28a09bef344fafa478e24cf7ff1506</t>
  </si>
  <si>
    <t>301260141</t>
  </si>
  <si>
    <t>YL(304)-2×206×1280</t>
  </si>
  <si>
    <t>593c58d3166349969569a87e724bc683</t>
  </si>
  <si>
    <t>4d96020cb98f42e0859b429751e7d195</t>
  </si>
  <si>
    <t>cc6f164a11a64cb0bd54aa76eebc306f</t>
  </si>
  <si>
    <t>301240303</t>
  </si>
  <si>
    <t>YL(304)-0.3-87</t>
  </si>
  <si>
    <t>47dd31445d684985bb8d9d2822bf1c1e</t>
  </si>
  <si>
    <t>4ee6f7275e0c44458e722c48586ce9b1</t>
  </si>
  <si>
    <t>158d450f69b24bdd9ab8b5c779022fb4</t>
  </si>
  <si>
    <t>301240401</t>
  </si>
  <si>
    <t>YL(304)-1-86</t>
  </si>
  <si>
    <t>3fbf05ac426a4db2a904f75a3521197c</t>
  </si>
  <si>
    <t>4fa9602ae74345e18916cb3d5babdc15</t>
  </si>
  <si>
    <t>fc26b14a1ce441849426feb57ded77f9</t>
  </si>
  <si>
    <t>231c9a2c78924691a68bd91e73fb79c0</t>
  </si>
  <si>
    <t>52dd220b59924d1583ecbfcf21cf1f69</t>
  </si>
  <si>
    <t>0724842461444000818a14d1e6029195</t>
  </si>
  <si>
    <t>ea985db5662541c28795af5bfadb1bd1</t>
  </si>
  <si>
    <t>5393134a0272432aa243876be41a7034</t>
  </si>
  <si>
    <t>5bb158fea5e54839bbca17a2509a2d76</t>
  </si>
  <si>
    <t>ca5f49a625bf42979aec4f3346c63792</t>
  </si>
  <si>
    <t>54fb53e7935d44cbbe5eb6fdd9b49a29</t>
  </si>
  <si>
    <t>94d96c20480a45d38cfd4c4fcd75f644</t>
  </si>
  <si>
    <t>301240305</t>
  </si>
  <si>
    <t>0.3厚×94宽不锈钢卷</t>
  </si>
  <si>
    <t>YL(304)-0.3-94</t>
  </si>
  <si>
    <t>4364ee9466dd421daa5f2d9b89ce551d</t>
  </si>
  <si>
    <t>552777faecbf45e8a575524f390dfd3f</t>
  </si>
  <si>
    <t>96f0a7a17931430498ed17999788909f</t>
  </si>
  <si>
    <t>6d27f80cccaf4e608e06c080e96bfe5a</t>
  </si>
  <si>
    <t>56999146865b40938cfba757f6fcc8e0</t>
  </si>
  <si>
    <t>e5b5762147c04364a08849cc3046908b</t>
  </si>
  <si>
    <t>301240321</t>
  </si>
  <si>
    <t>YL(304)-0.4-125</t>
  </si>
  <si>
    <t>c97b027634d3411fb758e5e243719e5d</t>
  </si>
  <si>
    <t>56cc8f775c8041cda1d39f13b767a4bf</t>
  </si>
  <si>
    <t>198eac7671e44627a30675d097be6c75</t>
  </si>
  <si>
    <t>43c215baa776420b9f659e9642195d78</t>
  </si>
  <si>
    <t>5cd0e4b0d54746d59e5631594a78c12c</t>
  </si>
  <si>
    <t>33525f6d82ca41a6b09b2731aef86c78</t>
  </si>
  <si>
    <t>301240333</t>
  </si>
  <si>
    <t>YL(304)-1-91-BA</t>
  </si>
  <si>
    <t>af1ef5290bb648e9b77049250fa73df1</t>
  </si>
  <si>
    <t>5f6832f9805741bfa7a5e3acd2e149c6</t>
  </si>
  <si>
    <t>f2f58a78caec42b28e02919c489a3c04</t>
  </si>
  <si>
    <t>301240375</t>
  </si>
  <si>
    <t>YL(304)-0.35-204</t>
  </si>
  <si>
    <t>c6252cea90c04f0aa217d2cb7eaf1c92</t>
  </si>
  <si>
    <t>606f693655af45ee82e30561713bd260</t>
  </si>
  <si>
    <t>5dfeea45613f46aab640028c3517bff3</t>
  </si>
  <si>
    <t>301260116</t>
  </si>
  <si>
    <t>YL(304)-2438×1219×1.9</t>
  </si>
  <si>
    <t>6d999ad05cc24150b633ef32b3502c52</t>
  </si>
  <si>
    <t>610d8175f8b544abacf5a930029f64ed</t>
  </si>
  <si>
    <t>0f9f4ae2fde645f4ae23705b47c1ff45</t>
  </si>
  <si>
    <t>301260157</t>
  </si>
  <si>
    <t>YL(304)-2.0×121×980</t>
  </si>
  <si>
    <t>4e1b58a540234bd1be70f620cf6707ae</t>
  </si>
  <si>
    <t>63bc8ea22bc246848fb274a3d502c581</t>
  </si>
  <si>
    <t>d8f276babe4144568ad52be3801d75af</t>
  </si>
  <si>
    <t>301240315</t>
  </si>
  <si>
    <t>0.3厚×166宽不锈钢卷</t>
  </si>
  <si>
    <t>YL(304)-0.3-166</t>
  </si>
  <si>
    <t>7141745f34b4405ebcc5d8f8e877ce9c</t>
  </si>
  <si>
    <t>64b89dbdbc0546398e0ca3a985066afc</t>
  </si>
  <si>
    <t>940cf1828e2e4a1db525b60b22a6c112</t>
  </si>
  <si>
    <t>301260149</t>
  </si>
  <si>
    <t>YL(304)-2.0×80×1000</t>
  </si>
  <si>
    <t>20b5c4a99d6f418ab151613e53f8380d</t>
  </si>
  <si>
    <t>664f912589714c208186e4d2c5e70d8d</t>
  </si>
  <si>
    <t>675755404a33430ab4fd8268fe50c2e4</t>
  </si>
  <si>
    <t>301240409</t>
  </si>
  <si>
    <t>YL(304)-1-127</t>
  </si>
  <si>
    <t>6dd42dfe146c462d8c16ce6b74b83211</t>
  </si>
  <si>
    <t>7140109c36f3466da3a8f95ad48c8063</t>
  </si>
  <si>
    <t>a95c48f75399450f9084109ef134df14</t>
  </si>
  <si>
    <t>0bff104233164939827b73d92ca39768</t>
  </si>
  <si>
    <t>7161d3e8d37847cca337f4fa8b7a0688</t>
  </si>
  <si>
    <t>82a82b50142b4858b7d454f7441dc505</t>
  </si>
  <si>
    <t>301240338</t>
  </si>
  <si>
    <t>2厚×85宽不锈钢卷</t>
  </si>
  <si>
    <t>YL(304)-2-85</t>
  </si>
  <si>
    <t>35380be2d90141209c2b5d0d78abd3b9</t>
  </si>
  <si>
    <t>795837fdc6bd45ee81a0ff82df33bc2a</t>
  </si>
  <si>
    <t>383ffe22f1264695ad4663505eb54f80</t>
  </si>
  <si>
    <t>301260145</t>
  </si>
  <si>
    <t>YL(304)-2.0×115×1080</t>
  </si>
  <si>
    <t>f416aa9080a3459fa41951a3dad01110</t>
  </si>
  <si>
    <t>7a205b3e6eb442979428f0ed5389ac72</t>
  </si>
  <si>
    <t>3c651953517a4c1fbb5998d5cb38ff6b</t>
  </si>
  <si>
    <t>301260113</t>
  </si>
  <si>
    <t>YL(304)-2438×1219×1</t>
  </si>
  <si>
    <t>211a3eb73e3242f7954a0314fe867456</t>
  </si>
  <si>
    <t>7a9fdf858e104c1a9c529784a4f5b2a8</t>
  </si>
  <si>
    <t>6eca0f8aa20d48a381c9adf5fadc8c55</t>
  </si>
  <si>
    <t>e5ed08d87b144fefb069d64ea0199d1e</t>
  </si>
  <si>
    <t>7e7ff354773745cf9ece44def0d5db34</t>
  </si>
  <si>
    <t>67d112adde9e445d85354f7a947421f4</t>
  </si>
  <si>
    <t>301240356</t>
  </si>
  <si>
    <t>0.3厚×82宽不锈钢卷</t>
  </si>
  <si>
    <t>YL(304)-0.3-82</t>
  </si>
  <si>
    <t>a2f4c14f83c24bcf81f799f68a6999c0</t>
  </si>
  <si>
    <t>83273468272141428fdd97b7b02aa7d6</t>
  </si>
  <si>
    <t>c6a6f68b8a3f44af9d50b42e864e3df0</t>
  </si>
  <si>
    <t>54157d2b8cad4475a2ac11bc2d2ddb5f</t>
  </si>
  <si>
    <t>88dd375e7c95478cb9e327cfe323b694</t>
  </si>
  <si>
    <t>5e0afa9a623e46f6aedc85288857d224</t>
  </si>
  <si>
    <t>301240396</t>
  </si>
  <si>
    <t>YL(316L)-0.3×123</t>
  </si>
  <si>
    <t>2927044b69c549d98e0f9350de378a4b</t>
  </si>
  <si>
    <t>8c6541427737491baaad397d5d04d184</t>
  </si>
  <si>
    <t>d5e535f7f922426c8078b656c07eed49</t>
  </si>
  <si>
    <t>301240402</t>
  </si>
  <si>
    <t>YL(304)-1-83</t>
  </si>
  <si>
    <t>5d7f654135e848229ec9a7b295ab8b7c</t>
  </si>
  <si>
    <t>8cba5d2d873649ebbcf6ad366acaf938</t>
  </si>
  <si>
    <t>5a4a62d618734f4e8cf1940ee460e27f</t>
  </si>
  <si>
    <t>301240297</t>
  </si>
  <si>
    <t>0.3厚×60宽不锈钢卷</t>
  </si>
  <si>
    <t>YL(304)-0.3-60</t>
  </si>
  <si>
    <t>96c3b85e1cf4497a8fe89e634e59988c</t>
  </si>
  <si>
    <t>90e68df0410c4261ab6e8f02e4b765d7</t>
  </si>
  <si>
    <t>7be341f839f341d2a814f0ffc33a479f</t>
  </si>
  <si>
    <t>301260170</t>
  </si>
  <si>
    <t>SUS304_t2×126×1100</t>
  </si>
  <si>
    <t>d655680a62b74b508bc0f252c6f2e618</t>
  </si>
  <si>
    <t>92e998abd93d402196f1364014e45f46</t>
  </si>
  <si>
    <t>cc2f38e6a1bb4de09d0157a260837969</t>
  </si>
  <si>
    <t>205687619</t>
  </si>
  <si>
    <t>S120端板落料板</t>
  </si>
  <si>
    <t>27d2fd3601f94270b969eb8a0dbf629f</t>
  </si>
  <si>
    <t>9537c71b9adf4d68803103aabd30b7a6</t>
  </si>
  <si>
    <t>e07bcb5a4af441eeb353f3f6f1d8c160</t>
  </si>
  <si>
    <t>301240307</t>
  </si>
  <si>
    <t>0.3厚×97宽不锈钢卷</t>
  </si>
  <si>
    <t>YL(304)-0.3-97</t>
  </si>
  <si>
    <t>63ac271ecbbd47e8b85013be227c0ecc</t>
  </si>
  <si>
    <t>95d2ccdaffbc451f8e04a74323778fcc</t>
  </si>
  <si>
    <t>9d0ec70b8b004899b3f92a3b76aeb316</t>
  </si>
  <si>
    <t>301240329</t>
  </si>
  <si>
    <t>YL(304)-1-62-BA</t>
  </si>
  <si>
    <t>7362dc2eed12443f8067b407af0a19d4</t>
  </si>
  <si>
    <t>9949a18da3a04da985ca31c371799f64</t>
  </si>
  <si>
    <t>6aa50807d8734458863504044e2a3853</t>
  </si>
  <si>
    <t>301240408</t>
  </si>
  <si>
    <t>YL(304)-1-85</t>
  </si>
  <si>
    <t>f5230ce189c342fe8a04d9506f1f6fbc</t>
  </si>
  <si>
    <t>998de5a022ab48db998301fe459648b8</t>
  </si>
  <si>
    <t>fd9c17189b6d4511b20756416ebd8c4d</t>
  </si>
  <si>
    <t>301240309</t>
  </si>
  <si>
    <t>0.3厚×126宽不锈钢卷</t>
  </si>
  <si>
    <t>YL(304)-0.3-126</t>
  </si>
  <si>
    <t>e103bb56c3c64575aa96964e41b5a43c</t>
  </si>
  <si>
    <t>99a68e7848194a99b623e14d853e8a0a</t>
  </si>
  <si>
    <t>6cf580258c71485a8dabc0ba9da8f69a</t>
  </si>
  <si>
    <t>301240330</t>
  </si>
  <si>
    <t>YL(304)-1-81-BA</t>
  </si>
  <si>
    <t>51b92592e32b46248706294944e1b3bd</t>
  </si>
  <si>
    <t>99cbbc315d414a659a14607df5d82f59</t>
  </si>
  <si>
    <t>578137e9c5f64ea09b975d6a5fd54e2c</t>
  </si>
  <si>
    <t>301240364</t>
  </si>
  <si>
    <t>带SUS304 2.0×60×1200</t>
  </si>
  <si>
    <t>3c56f32faddd421483b294779686d3e9</t>
  </si>
  <si>
    <t>9ace4ebaeda7412b8a846884d030c7bf</t>
  </si>
  <si>
    <t>3cbf3f1ea42643b0b5924f008b6fb66c</t>
  </si>
  <si>
    <t>301260140</t>
  </si>
  <si>
    <t>YL(304)-2×203×1275</t>
  </si>
  <si>
    <t>af81194124034e939ff2924a7ae8e2f0</t>
  </si>
  <si>
    <t>9d7967fbf217402786c1a2c322a922b7</t>
  </si>
  <si>
    <t>be7e6f77091d44cbaac34b514845c27f</t>
  </si>
  <si>
    <t>301240310</t>
  </si>
  <si>
    <t>YL(316L)-0.3-126</t>
  </si>
  <si>
    <t>5b15d0f6c4d1430ba69187d14c31e287</t>
  </si>
  <si>
    <t>9e97382cb5a04aa2b320feff45e53591</t>
  </si>
  <si>
    <t>f5cfbbffab784ee3af87cbca9f864b48</t>
  </si>
  <si>
    <t>301240317</t>
  </si>
  <si>
    <t>0.3厚×251宽不锈钢卷</t>
  </si>
  <si>
    <t>YL(304)-0.3-251</t>
  </si>
  <si>
    <t>a494d8e01c324cf69022bfd7d7f67dc4</t>
  </si>
  <si>
    <t>9eb05bd1452c4d238058337f49cb7d4f</t>
  </si>
  <si>
    <t>a139744fe74d4a0482a2de8411d2011c</t>
  </si>
  <si>
    <t>c044335f102a446c95192acc78ab2ae0</t>
  </si>
  <si>
    <t>a272ba7652f94016a08c7ed8eaee5bcc</t>
  </si>
  <si>
    <t>a910ef53c023446d9785bc086cad5c0c</t>
  </si>
  <si>
    <t>301240327</t>
  </si>
  <si>
    <t>0.4厚×332宽不锈钢卷</t>
  </si>
  <si>
    <t>YL(304)-0.4-332</t>
  </si>
  <si>
    <t>abfa5236b6324f4d8a4e0f506f03ba41</t>
  </si>
  <si>
    <t>a325b8f031d140988a4cf03d646c82db</t>
  </si>
  <si>
    <t>2683a33a1d6f40b3a4b0b53b4f77e432</t>
  </si>
  <si>
    <t>e2bfab4a878640dea06aa69d79503022</t>
  </si>
  <si>
    <t>a429afa747a24232a725d99a7bf50a0b</t>
  </si>
  <si>
    <t>e81f0a729a0744d48c5739d6b1b7d25d</t>
  </si>
  <si>
    <t>301240403</t>
  </si>
  <si>
    <t>YL(304)-1-81</t>
  </si>
  <si>
    <t>17dd72fcd38140c6b580a9954106e221</t>
  </si>
  <si>
    <t>a66d7337dc8144ffa6043a2a222eb967</t>
  </si>
  <si>
    <t>9536414043c84dd19710dbee11da6773</t>
  </si>
  <si>
    <t>301240300</t>
  </si>
  <si>
    <t>0.3厚×80宽不锈钢卷</t>
  </si>
  <si>
    <t>YL(316L)-0.3-80</t>
  </si>
  <si>
    <t>e48cea737d904ce89091efea3f410030</t>
  </si>
  <si>
    <t>a7cb413b595846889d479a0892826d28</t>
  </si>
  <si>
    <t>ea85c2aedcc44c6784de01097ed65053</t>
  </si>
  <si>
    <t>301260144</t>
  </si>
  <si>
    <t>YL(304)-2.0×121×1090</t>
  </si>
  <si>
    <t>68650c7d5fa4430c9725fd0c01ebf3d4</t>
  </si>
  <si>
    <t>aeaab7601d054aceb4091a462dbaa7c9</t>
  </si>
  <si>
    <t>3a77d5d61f904a81a21027f557966824</t>
  </si>
  <si>
    <t>301260154</t>
  </si>
  <si>
    <t>YL(304)-2.0×100×1200</t>
  </si>
  <si>
    <t>e7db365f5f7c4dfab0423f24a0bcedd2</t>
  </si>
  <si>
    <t>b24e9343bbea48a1a37f7f9540f571e3</t>
  </si>
  <si>
    <t>1392b607bdfb46ecbc7029dc3df4af47</t>
  </si>
  <si>
    <t>301240397</t>
  </si>
  <si>
    <t>YL(304)-0.25×60</t>
  </si>
  <si>
    <t>76c6c766e216481e878120af0ea8a5a8</t>
  </si>
  <si>
    <t>b2613cb0103947ac9d5db6c995101a39</t>
  </si>
  <si>
    <t>2a3e9a804ac4418ea15e14bc8662bdec</t>
  </si>
  <si>
    <t>3560bca076d6498781c0e655adc27e4b</t>
  </si>
  <si>
    <t>b43ef0338a9a4be9b829c5eed28d1303</t>
  </si>
  <si>
    <t>8a34e627e1314fffbb20069c8fc17ea6</t>
  </si>
  <si>
    <t>301260164</t>
  </si>
  <si>
    <t>YL(304)-1.5×82×1165</t>
  </si>
  <si>
    <t>9ff26bed24994e0c81d6f2a88eebb8bf</t>
  </si>
  <si>
    <t>b469a993c0914ab8b580eb8ad9008208</t>
  </si>
  <si>
    <t>868e0ae22e1a41b99c2528d0b85540b5</t>
  </si>
  <si>
    <t>09eff8340a794598910789553e8a067d</t>
  </si>
  <si>
    <t>bac5e1b61f16455982c9d744bf02c2ff</t>
  </si>
  <si>
    <t>8a53a9f132c943af89fc078c0341fb6c</t>
  </si>
  <si>
    <t>301240373</t>
  </si>
  <si>
    <t>0.3厚×104宽不锈钢卷</t>
  </si>
  <si>
    <t>YL(304)-0.3-104</t>
  </si>
  <si>
    <t>72ccf5efad6646208bd5467f33b2ed61</t>
  </si>
  <si>
    <t>c41be02e20ef4e0a9fbe4dda293c6ab3</t>
  </si>
  <si>
    <t>5accc77f4d5b422f9cc6e62bea429d18</t>
  </si>
  <si>
    <t>205687554</t>
  </si>
  <si>
    <t>S110端底板落料板</t>
  </si>
  <si>
    <t>d7f495a7152c4a3698e7880edada7226</t>
  </si>
  <si>
    <t>c58ccdc0947544f59ae58c1b9d998915</t>
  </si>
  <si>
    <t>1be440883d17455ab9bf168e7a4d0f0e</t>
  </si>
  <si>
    <t>301260135</t>
  </si>
  <si>
    <t>YL(304)-1095×125×2</t>
  </si>
  <si>
    <t>949c2112513b471e9a8120b3c75dc2aa</t>
  </si>
  <si>
    <t>c98f932a6fd4418fa80482b2d84b65ff</t>
  </si>
  <si>
    <t>cb28b6636eea43e3a97ad4a47618edde</t>
  </si>
  <si>
    <t>301240398</t>
  </si>
  <si>
    <t>YL(304)-0.3×123</t>
  </si>
  <si>
    <t>7a4c5a7c0a454eba87d7c27f65988148</t>
  </si>
  <si>
    <t>cc9aef26bb7d4d18b00ba07ed36b2549</t>
  </si>
  <si>
    <t>40e59fdcd57b41cfb70a590624a036df</t>
  </si>
  <si>
    <t>301240347</t>
  </si>
  <si>
    <t>2厚×94宽不锈钢卷</t>
  </si>
  <si>
    <t>YL(304)-2-94</t>
  </si>
  <si>
    <t>4c5a27d63473403bb1c7fe86b5c90496</t>
  </si>
  <si>
    <t>d381b754f73b4f1f866d20e7df45ffde</t>
  </si>
  <si>
    <t>f795f29041d0427eacc8f620f924db42</t>
  </si>
  <si>
    <t>301240415</t>
  </si>
  <si>
    <t>YL(316L)-0.25×126</t>
  </si>
  <si>
    <t>10d2854abac747eda7a7a3a219b87cfc</t>
  </si>
  <si>
    <t>d3b57ec246c645f088439b4b4f99a836</t>
  </si>
  <si>
    <t>49acf98a6c874ed28e17c941553b5eba</t>
  </si>
  <si>
    <t>301260129</t>
  </si>
  <si>
    <t>YL(304)-2438×1219×1.5</t>
  </si>
  <si>
    <t>dd3e7864864549b9aa63b716fb516a7a</t>
  </si>
  <si>
    <t>d51680edda5940cca5c64b53e0299642</t>
  </si>
  <si>
    <t>f89d962fa2434817841ae95363f956ef</t>
  </si>
  <si>
    <t>96dc202773bf43c7b7e475a2e5aee82d</t>
  </si>
  <si>
    <t>d87b1895dd0b4cac92406153ab7a702f</t>
  </si>
  <si>
    <t>2117b0db13254bf89e0a461ca8cab2ac</t>
  </si>
  <si>
    <t>301260136</t>
  </si>
  <si>
    <t>YL(304)-1090×128×2</t>
  </si>
  <si>
    <t>05bd659101294600abffb0cea08a6c9a</t>
  </si>
  <si>
    <t>daa3666a63bf41c59c7b3a0e0f247a67</t>
  </si>
  <si>
    <t>c1723f99cf3f49efa2c7284ab8fb4309</t>
  </si>
  <si>
    <t>205687618</t>
  </si>
  <si>
    <t>S120底板落料板</t>
  </si>
  <si>
    <t>e5092e74137d4fdcbcac50588ca562b8</t>
  </si>
  <si>
    <t>daab647148b640d38781ca6450df46e1</t>
  </si>
  <si>
    <t>91d6ae6291464ded95f943e342531d46</t>
  </si>
  <si>
    <t>6775f4aa900c4c098fbd40c55e257275</t>
  </si>
  <si>
    <t>dadcb781965643718bc038de88b8a045</t>
  </si>
  <si>
    <t>8fe9cd06371448e9a4b1c426254dab48</t>
  </si>
  <si>
    <t>301240299</t>
  </si>
  <si>
    <t>YL(304)-0.3-80</t>
  </si>
  <si>
    <t>7ac59161cfc843edaf717ec0aa79df85</t>
  </si>
  <si>
    <t>dda78c4a087d4da18bb1f53d2e35036b</t>
  </si>
  <si>
    <t>89e3e0e2015d4e00ad5eccf78351bea9</t>
  </si>
  <si>
    <t>301240335</t>
  </si>
  <si>
    <t>YL(304)-1-97-BA</t>
  </si>
  <si>
    <t>27efb5aedf614bd48686c4e8c109b715</t>
  </si>
  <si>
    <t>dea4367496dc4b96ae0337407cf59a5b</t>
  </si>
  <si>
    <t>2c72e6f31f1348a6a8d67e0d3bf97188</t>
  </si>
  <si>
    <t>b18a625e3c484f05864600601ad028a0</t>
  </si>
  <si>
    <t>e1664986cf9d4d0e84791ea4aae73a46</t>
  </si>
  <si>
    <t>53370ee68c564a93b36d46a9862a5230</t>
  </si>
  <si>
    <t>205680426</t>
  </si>
  <si>
    <t>110端底板加强板</t>
  </si>
  <si>
    <t>JQB-110-01</t>
  </si>
  <si>
    <t>片</t>
  </si>
  <si>
    <t>4490c361f743478abdb17b9da86b071a</t>
  </si>
  <si>
    <t>e1d4d856bc844da6a000e4202b35d8c6</t>
  </si>
  <si>
    <t>40ed0ea863604c02ac97ebcd85452b59</t>
  </si>
  <si>
    <t>301240410</t>
  </si>
  <si>
    <t>YL(304)-1-125</t>
  </si>
  <si>
    <t>d491fa0cd2d546468a550a6db509ccce</t>
  </si>
  <si>
    <t>e22b770941a943ac93bfee807278f796</t>
  </si>
  <si>
    <t>2710c3c1e3804ce89b8282a1310016c6</t>
  </si>
  <si>
    <t>301240332</t>
  </si>
  <si>
    <t>YL(304)-1-86-BA</t>
  </si>
  <si>
    <t>b2d9c8b1d3034dea90415b9a5b3ce1b1</t>
  </si>
  <si>
    <t>e4b9fe69316b48ba99210b52d2980acd</t>
  </si>
  <si>
    <t>75d1a82e38f84c4895e21367123e4757</t>
  </si>
  <si>
    <t>204e6538691b4ebe992a48ae227583a1</t>
  </si>
  <si>
    <t>e51e9971502a48719f3f8cdb402a7ef7</t>
  </si>
  <si>
    <t>a9c7f7d17a0a4f4dac1f987034684f20</t>
  </si>
  <si>
    <t>859fc06e26bc4e7a9f7457f8bb98587f</t>
  </si>
  <si>
    <t>eb852129052f4b749c0f088c0579d741</t>
  </si>
  <si>
    <t>aa69a8ffee6145a5a3413888d4420add</t>
  </si>
  <si>
    <t>301240337</t>
  </si>
  <si>
    <t>2厚×83宽不锈钢卷</t>
  </si>
  <si>
    <t>YL(304)-2-83</t>
  </si>
  <si>
    <t>c2f0bf1fd38449039e517aaf4c5028d9</t>
  </si>
  <si>
    <t>ebabfcf7632c413a9735eef54174f7bf</t>
  </si>
  <si>
    <t>6de0fecc615846b4ad07384290c54b3b</t>
  </si>
  <si>
    <t>58a2f39bd4bc428fa37e41056b2e423e</t>
  </si>
  <si>
    <t>eec384c0f4b5446e8e53b2c1fb8a1430</t>
  </si>
  <si>
    <t>edbad2d0991341b287561e2cca7e0c8d</t>
  </si>
  <si>
    <t>301240318</t>
  </si>
  <si>
    <t>YL(316L)-0.3-251</t>
  </si>
  <si>
    <t>a1c679c63d86422c9ee4d2807e86a4d3</t>
  </si>
  <si>
    <t>f0e2346f4cbe46949c12280db1ebfb08</t>
  </si>
  <si>
    <t>a5519a5287f3410596773a6c16551d0c</t>
  </si>
  <si>
    <t>301240301</t>
  </si>
  <si>
    <t>YL(304)-0.3-84</t>
  </si>
  <si>
    <t>037842b28d364df2a1136a333061fc1a</t>
  </si>
  <si>
    <t>f476cdee672f4d568dd120ec1b4c68b6</t>
  </si>
  <si>
    <t>abab6d8014a54b6fb49092d53c17d391</t>
  </si>
  <si>
    <t>301240357</t>
  </si>
  <si>
    <t>YL(316L)-0.3-82</t>
  </si>
  <si>
    <t>f74bca1f835a48a3afe387b034257610</t>
  </si>
  <si>
    <t>f5ca370706ac4691af4838a6e77ceb8e</t>
  </si>
  <si>
    <t>3de4d717c7834ccc8167d788da067f5d</t>
  </si>
  <si>
    <t>36453f834f0b48f197c0c771a38d0281</t>
  </si>
  <si>
    <t>f8721e89bafe4b7191aafc3913d78ee6</t>
  </si>
  <si>
    <t>6aff0e51be4d45ada625edf506f5f5f5</t>
  </si>
  <si>
    <t>301240323</t>
  </si>
  <si>
    <t>YL(304)-0.4-204</t>
  </si>
  <si>
    <t>e7c593f27002475bb40223e4b8940616</t>
  </si>
  <si>
    <t>f87fa0ed09a3484d915dae15ca0e791f</t>
  </si>
  <si>
    <t>6cf1c5fb5dae44abadc4d31d25210c29</t>
  </si>
  <si>
    <t>联动公式</t>
  </si>
  <si>
    <t>不含税价</t>
  </si>
  <si>
    <t>价格类型</t>
  </si>
  <si>
    <t>来源</t>
  </si>
  <si>
    <t>批单类型</t>
  </si>
  <si>
    <t>批单编号</t>
  </si>
  <si>
    <t>1#电解铜价</t>
  </si>
  <si>
    <t>元/㎏</t>
  </si>
  <si>
    <t>固定价</t>
  </si>
  <si>
    <t>批单</t>
  </si>
  <si>
    <t>价格审批表</t>
  </si>
  <si>
    <t>SC-SC-001-20260706-007</t>
  </si>
  <si>
    <t>美国柜装黄铜</t>
  </si>
  <si>
    <t>SC-SC-001-20260727-003</t>
  </si>
  <si>
    <t>长江现货A00</t>
  </si>
  <si>
    <t>1#电解铜价格*0.982</t>
  </si>
  <si>
    <t>联动价</t>
  </si>
  <si>
    <t>美国柜装黄铜*1.039</t>
  </si>
  <si>
    <t>1#电解铜价格*0.965</t>
  </si>
  <si>
    <t>1#电解铜*0.845</t>
  </si>
  <si>
    <t>SC-SC-001-20251022-001</t>
  </si>
  <si>
    <t>长江现货A00*0.76</t>
  </si>
  <si>
    <r>
      <rPr>
        <sz val="12"/>
        <rFont val="宋体"/>
        <charset val="134"/>
      </rPr>
      <t xml:space="preserve"> 2026年10月份原材料调价 </t>
    </r>
    <r>
      <rPr>
        <sz val="12"/>
        <color indexed="10"/>
        <rFont val="宋体"/>
        <charset val="134"/>
      </rPr>
      <t>（浅蓝已调整）-注意未标的均为不含税价格</t>
    </r>
  </si>
  <si>
    <t>当月</t>
  </si>
  <si>
    <t>调整后-9万</t>
  </si>
  <si>
    <t>调整后-10万</t>
  </si>
  <si>
    <t>调整后-11万</t>
  </si>
  <si>
    <t>调整后-12万</t>
  </si>
  <si>
    <t>序号</t>
  </si>
  <si>
    <t>材料</t>
  </si>
  <si>
    <t>不含税价（元/公斤）</t>
  </si>
  <si>
    <t xml:space="preserve">铜 </t>
  </si>
  <si>
    <t>本月</t>
  </si>
  <si>
    <t>上月</t>
  </si>
  <si>
    <t>锌</t>
  </si>
  <si>
    <t>基价名称</t>
  </si>
  <si>
    <t>基价代号</t>
  </si>
  <si>
    <t>计量单位</t>
  </si>
  <si>
    <t>上月均价
（含税）</t>
  </si>
  <si>
    <t>联动基价调整
-90000元/吨</t>
  </si>
  <si>
    <t>联动基价调整
-100000元/吨</t>
  </si>
  <si>
    <t>联动基价调整
-110000万/吨</t>
  </si>
  <si>
    <t>联动基价调整
-120000元/吨</t>
  </si>
  <si>
    <t>电解铜价格(含税)</t>
  </si>
  <si>
    <r>
      <rPr>
        <sz val="10"/>
        <color theme="1"/>
        <rFont val="宋体"/>
        <charset val="134"/>
      </rPr>
      <t>白银价格</t>
    </r>
    <r>
      <rPr>
        <sz val="10"/>
        <color rgb="FFFF0000"/>
        <rFont val="宋体"/>
        <charset val="134"/>
      </rPr>
      <t>(含税)</t>
    </r>
  </si>
  <si>
    <t>1#电解铜</t>
  </si>
  <si>
    <t>1#Cu</t>
  </si>
  <si>
    <t>元/公斤</t>
  </si>
  <si>
    <t>锌价格(含税)</t>
  </si>
  <si>
    <r>
      <rPr>
        <sz val="10"/>
        <rFont val="宋体"/>
        <charset val="134"/>
      </rPr>
      <t>锡</t>
    </r>
    <r>
      <rPr>
        <sz val="10"/>
        <color rgb="FFFF0000"/>
        <rFont val="宋体"/>
        <charset val="134"/>
      </rPr>
      <t>(含税)</t>
    </r>
  </si>
  <si>
    <t>1#锌</t>
  </si>
  <si>
    <t>1#Zn</t>
  </si>
  <si>
    <r>
      <rPr>
        <sz val="10"/>
        <rFont val="宋体"/>
        <charset val="134"/>
      </rPr>
      <t>美国柜装黄铜</t>
    </r>
    <r>
      <rPr>
        <sz val="10"/>
        <color rgb="FFFF0000"/>
        <rFont val="宋体"/>
        <charset val="134"/>
      </rPr>
      <t>(不含税)</t>
    </r>
  </si>
  <si>
    <r>
      <rPr>
        <sz val="10"/>
        <rFont val="宋体"/>
        <charset val="134"/>
      </rPr>
      <t>铝</t>
    </r>
    <r>
      <rPr>
        <sz val="10"/>
        <color rgb="FFFF0000"/>
        <rFont val="宋体"/>
        <charset val="134"/>
      </rPr>
      <t>(含税)</t>
    </r>
  </si>
  <si>
    <t>氧化钕</t>
  </si>
  <si>
    <t>9月</t>
  </si>
  <si>
    <t>A00铝</t>
  </si>
  <si>
    <t>A00</t>
  </si>
  <si>
    <r>
      <rPr>
        <sz val="10"/>
        <rFont val="宋体"/>
        <charset val="134"/>
      </rPr>
      <t>H65黄铜边料</t>
    </r>
    <r>
      <rPr>
        <sz val="10"/>
        <color rgb="FFFF0000"/>
        <rFont val="宋体"/>
        <charset val="134"/>
      </rPr>
      <t>(不含税)</t>
    </r>
  </si>
  <si>
    <r>
      <rPr>
        <sz val="10"/>
        <rFont val="宋体"/>
        <charset val="134"/>
      </rPr>
      <t>SUS304/2Bδ0.7</t>
    </r>
    <r>
      <rPr>
        <sz val="10"/>
        <color rgb="FFFF0000"/>
        <rFont val="宋体"/>
        <charset val="134"/>
      </rPr>
      <t>(含税)</t>
    </r>
  </si>
  <si>
    <t>8月</t>
  </si>
  <si>
    <t>1#白银</t>
  </si>
  <si>
    <t>1#Ag</t>
  </si>
  <si>
    <t>C3771A（江西三花 英豪）</t>
  </si>
  <si>
    <r>
      <rPr>
        <sz val="10"/>
        <rFont val="宋体"/>
        <charset val="134"/>
      </rPr>
      <t>SUS304/2Bδ0.8</t>
    </r>
    <r>
      <rPr>
        <sz val="10"/>
        <color rgb="FFFF0000"/>
        <rFont val="宋体"/>
        <charset val="134"/>
      </rPr>
      <t>(含税)</t>
    </r>
  </si>
  <si>
    <t>7月</t>
  </si>
  <si>
    <t>期货交易所电解铜收盘价</t>
  </si>
  <si>
    <t>Cu</t>
  </si>
  <si>
    <t>C3771A（ 科宇）100%</t>
  </si>
  <si>
    <t>SUS304/2Bδ1.0（太钢）(含税)</t>
  </si>
  <si>
    <t>1#锡</t>
  </si>
  <si>
    <t>1#Sn</t>
  </si>
  <si>
    <t>C3604A（江西三花 英豪）</t>
  </si>
  <si>
    <r>
      <rPr>
        <sz val="10"/>
        <rFont val="宋体"/>
        <charset val="134"/>
      </rPr>
      <t>SUS304/2Bδ1.2</t>
    </r>
    <r>
      <rPr>
        <sz val="10"/>
        <color rgb="FFFF0000"/>
        <rFont val="宋体"/>
        <charset val="134"/>
      </rPr>
      <t>(含税)</t>
    </r>
  </si>
  <si>
    <t>C3604A（ 科宇）100%</t>
  </si>
  <si>
    <r>
      <rPr>
        <sz val="10"/>
        <rFont val="宋体"/>
        <charset val="134"/>
      </rPr>
      <t>SUS304/2Bδ1.5</t>
    </r>
    <r>
      <rPr>
        <sz val="10"/>
        <color rgb="FFFF0000"/>
        <rFont val="宋体"/>
        <charset val="134"/>
      </rPr>
      <t>(含税)</t>
    </r>
  </si>
  <si>
    <t>H65黄铜边料</t>
  </si>
  <si>
    <t>C3771\C3771C\C3604φ</t>
  </si>
  <si>
    <t>黄金(含税)</t>
  </si>
  <si>
    <t>黄金AU9999</t>
  </si>
  <si>
    <t>元/克</t>
  </si>
  <si>
    <t>C3602φ</t>
  </si>
  <si>
    <t>电解铜×0.59/0.98+电解锌×0.41/0.95+加工费 科宇1.9</t>
  </si>
  <si>
    <t>冷轧无取向硅钢 50WW800(含税)</t>
  </si>
  <si>
    <t>C3602A/Bφ</t>
  </si>
  <si>
    <t>Cu*0.6/0.98+Zn*0.4/0.95+2.3 科宇</t>
  </si>
  <si>
    <r>
      <rPr>
        <sz val="10"/>
        <rFont val="宋体"/>
        <charset val="134"/>
      </rPr>
      <t xml:space="preserve">国产磁粉(钕铁硼NEOLET-6HR)
</t>
    </r>
    <r>
      <rPr>
        <sz val="10"/>
        <color rgb="FFFF0000"/>
        <rFont val="宋体"/>
        <charset val="134"/>
      </rPr>
      <t>不含税</t>
    </r>
  </si>
  <si>
    <t>1#镍板</t>
  </si>
  <si>
    <t>1#Ni</t>
  </si>
  <si>
    <t>元/吨</t>
  </si>
  <si>
    <t>C3602BDS Φ22</t>
  </si>
  <si>
    <t>(Cu*0.6+Zn*0.4)*1.02+加工费1.1</t>
  </si>
  <si>
    <t>磷铜合金</t>
  </si>
  <si>
    <t>Pcu</t>
  </si>
  <si>
    <t>C3604 φ88</t>
  </si>
  <si>
    <t>TP2 050 Φ4.76×0.5 LWC(内抽式)301060241</t>
  </si>
  <si>
    <t>1#电解锰</t>
  </si>
  <si>
    <t>1#Mn</t>
  </si>
  <si>
    <t>H65铜棒φ</t>
  </si>
  <si>
    <t>电解铜×0.59/0.98+电解锌×0.41/0.95+加工费</t>
  </si>
  <si>
    <t>拉制铜管4.76×0.7 /4×0.6（新增）</t>
  </si>
  <si>
    <t>入库月上月磁粉价格</t>
  </si>
  <si>
    <t>NEOLET-6HR</t>
  </si>
  <si>
    <t>方铜棒C3602</t>
  </si>
  <si>
    <t>(Cu*0.65+Zn*0.35）*1.04+2300</t>
  </si>
  <si>
    <t>TP2盘管(除φ4-6外所有）龙阳</t>
  </si>
  <si>
    <r>
      <rPr>
        <sz val="10"/>
        <rFont val="宋体"/>
        <charset val="134"/>
      </rPr>
      <t>上海龙阳：3.6</t>
    </r>
    <r>
      <rPr>
        <sz val="10"/>
        <rFont val="宋体"/>
        <charset val="134"/>
      </rPr>
      <t xml:space="preserve"> 海亮3.45</t>
    </r>
  </si>
  <si>
    <t>六角铜棒C3604/C3771/BDS
非气密性</t>
  </si>
  <si>
    <t>电解铜×0.59/0.98+电解锌×0.41/0.95+加工费 科宇3.3</t>
  </si>
  <si>
    <t>TP2盘管(φ4-6）龙阳</t>
  </si>
  <si>
    <t>同诚：4.6 海亮3.45</t>
  </si>
  <si>
    <t>电解铜×0.59/0.98+电解锌×0.41/0.95+加工费 科宇2.3</t>
  </si>
  <si>
    <r>
      <rPr>
        <sz val="10"/>
        <rFont val="宋体"/>
        <charset val="134"/>
      </rPr>
      <t xml:space="preserve">TP2铜管(φ6≤外径＜9)
 同诚 </t>
    </r>
    <r>
      <rPr>
        <sz val="10"/>
        <color rgb="FFFF0000"/>
        <rFont val="宋体"/>
        <charset val="134"/>
      </rPr>
      <t>55%</t>
    </r>
  </si>
  <si>
    <t>SY-JGTZ-2022080201</t>
  </si>
  <si>
    <t>C3602 Φ31</t>
  </si>
  <si>
    <r>
      <rPr>
        <sz val="10"/>
        <rFont val="宋体"/>
        <charset val="134"/>
      </rPr>
      <t xml:space="preserve">TP2铜管(φ9≤外径≤30) 
同诚 </t>
    </r>
    <r>
      <rPr>
        <sz val="10"/>
        <color rgb="FFFF0000"/>
        <rFont val="宋体"/>
        <charset val="134"/>
      </rPr>
      <t>55%</t>
    </r>
  </si>
  <si>
    <t>六角铜棒C3604/C3771/BDS
气密性</t>
  </si>
  <si>
    <t>铜管(TP2 H02-φ31.6*2.1)
 同诚</t>
  </si>
  <si>
    <t>六角铜棒C3602</t>
  </si>
  <si>
    <r>
      <rPr>
        <sz val="10"/>
        <rFont val="宋体"/>
        <charset val="134"/>
      </rPr>
      <t xml:space="preserve">TP2铜管(φ30＜外径≤φ40)
 海亮100%  </t>
    </r>
    <r>
      <rPr>
        <sz val="10"/>
        <color rgb="FFFF0000"/>
        <rFont val="宋体"/>
        <charset val="134"/>
      </rPr>
      <t>改为30以上</t>
    </r>
  </si>
  <si>
    <r>
      <rPr>
        <sz val="10"/>
        <rFont val="宋体"/>
        <charset val="134"/>
      </rPr>
      <t>O</t>
    </r>
    <r>
      <rPr>
        <sz val="10"/>
        <rFont val="宋体"/>
        <charset val="134"/>
      </rPr>
      <t>EM联动</t>
    </r>
  </si>
  <si>
    <t>TP2铜管(40＜外径≤φ104.8)
 海亮100%</t>
  </si>
  <si>
    <t>海亮</t>
  </si>
  <si>
    <t>黄铜棒C3604BDS(科宇)（磨光）φ11/14*2500</t>
  </si>
  <si>
    <t>Cu*0.6/0.98+Zn*0.4/0.95+2.6 科宇</t>
  </si>
  <si>
    <t>黄铜棒C3604BDS(上海丰山)</t>
  </si>
  <si>
    <t>黄铜棒C3604BDS(科宇)φ圆棒 具体规格见批注</t>
  </si>
  <si>
    <t>铜棒C6782所有规格</t>
  </si>
  <si>
    <t>-</t>
  </si>
  <si>
    <t>黄铜棒C3604BDS(科宇)S17</t>
  </si>
  <si>
    <t>美元汇率</t>
  </si>
  <si>
    <t>?</t>
  </si>
  <si>
    <t>黄铜棒C3604BDS(科宇)气密性具体规格Φ18（新增验证不调整）</t>
  </si>
  <si>
    <t>日元汇率</t>
  </si>
  <si>
    <t>黄铜棒C3604BDS(科宇)气密性具体规格见批注（含18）</t>
  </si>
  <si>
    <t>欧元汇率</t>
  </si>
  <si>
    <t>HBi61-2 Φ46</t>
  </si>
  <si>
    <t>比索</t>
  </si>
  <si>
    <r>
      <rPr>
        <sz val="10"/>
        <rFont val="宋体"/>
        <charset val="134"/>
        <scheme val="minor"/>
      </rPr>
      <t>黄铜棒C</t>
    </r>
    <r>
      <rPr>
        <sz val="10"/>
        <rFont val="宋体"/>
        <charset val="134"/>
      </rPr>
      <t xml:space="preserve">46500 </t>
    </r>
  </si>
  <si>
    <t>电解铜×0.59/0.98+电解锌×0.41/0.95+加工费2.9</t>
  </si>
  <si>
    <t xml:space="preserve">硅黄铜 PWHSi76-3.2 S14 </t>
  </si>
  <si>
    <r>
      <rPr>
        <sz val="10"/>
        <rFont val="宋体"/>
        <charset val="134"/>
        <scheme val="minor"/>
      </rPr>
      <t>紫铜带 T2</t>
    </r>
    <r>
      <rPr>
        <sz val="10"/>
        <rFont val="宋体"/>
        <charset val="134"/>
      </rPr>
      <t xml:space="preserve"> 060  t0.035</t>
    </r>
  </si>
  <si>
    <t>电解铜×0.59/0.98+电解锌×0.41/0.95+加工费1.9</t>
  </si>
  <si>
    <r>
      <rPr>
        <sz val="10"/>
        <rFont val="宋体"/>
        <charset val="134"/>
        <scheme val="minor"/>
      </rPr>
      <t>硅黄铜 PWHSi76-3.2</t>
    </r>
    <r>
      <rPr>
        <sz val="10"/>
        <rFont val="宋体"/>
        <charset val="134"/>
      </rPr>
      <t xml:space="preserve">BDS  Φ14 </t>
    </r>
  </si>
  <si>
    <r>
      <rPr>
        <sz val="10"/>
        <rFont val="宋体"/>
        <charset val="134"/>
        <scheme val="minor"/>
      </rPr>
      <t>紫铜带 T2</t>
    </r>
    <r>
      <rPr>
        <sz val="10"/>
        <rFont val="宋体"/>
        <charset val="134"/>
      </rPr>
      <t xml:space="preserve"> 060  t0.04</t>
    </r>
  </si>
  <si>
    <r>
      <rPr>
        <sz val="10"/>
        <rFont val="宋体"/>
        <charset val="134"/>
        <scheme val="minor"/>
      </rPr>
      <t>不锈钢带 带SUS304 1.5</t>
    </r>
    <r>
      <rPr>
        <sz val="10"/>
        <color indexed="10"/>
        <rFont val="宋体"/>
        <charset val="134"/>
      </rPr>
      <t xml:space="preserve"> 加工费</t>
    </r>
  </si>
  <si>
    <r>
      <rPr>
        <sz val="10"/>
        <rFont val="宋体"/>
        <charset val="134"/>
        <scheme val="minor"/>
      </rPr>
      <t>紫铜带 T2</t>
    </r>
    <r>
      <rPr>
        <sz val="10"/>
        <rFont val="宋体"/>
        <charset val="134"/>
      </rPr>
      <t xml:space="preserve"> 060  t0.03</t>
    </r>
  </si>
  <si>
    <r>
      <rPr>
        <sz val="10"/>
        <rFont val="宋体"/>
        <charset val="134"/>
        <scheme val="minor"/>
      </rPr>
      <t xml:space="preserve">不锈钢带 带SUS316L(0.25±0.015 </t>
    </r>
    <r>
      <rPr>
        <sz val="10"/>
        <color indexed="10"/>
        <rFont val="宋体"/>
        <charset val="134"/>
      </rPr>
      <t>加工费</t>
    </r>
  </si>
  <si>
    <r>
      <rPr>
        <sz val="10"/>
        <rFont val="宋体"/>
        <charset val="134"/>
        <scheme val="minor"/>
      </rPr>
      <t>紫铜带 T2</t>
    </r>
    <r>
      <rPr>
        <sz val="10"/>
        <rFont val="宋体"/>
        <charset val="134"/>
      </rPr>
      <t xml:space="preserve"> 060  t0.05</t>
    </r>
  </si>
  <si>
    <t>废硅黄铜料头</t>
  </si>
  <si>
    <t>废301不锈钢</t>
  </si>
  <si>
    <t>废紫铜管/CD521青铜焊环</t>
  </si>
  <si>
    <r>
      <rPr>
        <sz val="10"/>
        <rFont val="宋体"/>
        <charset val="134"/>
      </rPr>
      <t>1#电解铜*0.982/1.13、1#电解铜</t>
    </r>
    <r>
      <rPr>
        <sz val="10"/>
        <color rgb="FFFF0000"/>
        <rFont val="宋体"/>
        <charset val="134"/>
      </rPr>
      <t>*0.962/1.13</t>
    </r>
  </si>
  <si>
    <t>1#电解铜*0.982/1.13、1#电解铜*0.962/1.13</t>
  </si>
  <si>
    <t>废不锈钢件(303、304、铁)</t>
  </si>
  <si>
    <r>
      <rPr>
        <sz val="10"/>
        <rFont val="宋体"/>
        <charset val="134"/>
        <scheme val="major"/>
      </rPr>
      <t>废S</t>
    </r>
    <r>
      <rPr>
        <sz val="10"/>
        <rFont val="宋体"/>
        <charset val="134"/>
      </rPr>
      <t>US303CU</t>
    </r>
  </si>
  <si>
    <t>废封头</t>
  </si>
  <si>
    <r>
      <rPr>
        <sz val="10"/>
        <rFont val="宋体"/>
        <charset val="134"/>
        <scheme val="major"/>
      </rPr>
      <t>废铝/铝合金棒6061</t>
    </r>
    <r>
      <rPr>
        <sz val="10"/>
        <rFont val="宋体"/>
        <charset val="134"/>
      </rPr>
      <t>/</t>
    </r>
    <r>
      <rPr>
        <sz val="10"/>
        <color rgb="FFFF0000"/>
        <rFont val="宋体"/>
        <charset val="134"/>
      </rPr>
      <t>废铝沫</t>
    </r>
  </si>
  <si>
    <r>
      <rPr>
        <sz val="10"/>
        <rFont val="宋体"/>
        <charset val="134"/>
      </rPr>
      <t>铝*0.85/1.13、铝沫</t>
    </r>
    <r>
      <rPr>
        <sz val="10"/>
        <color rgb="FFFF0000"/>
        <rFont val="宋体"/>
        <charset val="134"/>
      </rPr>
      <t>*0.76/1.13</t>
    </r>
  </si>
  <si>
    <t>铝*0.85/1.13、铝沫*0.76/1.13</t>
  </si>
  <si>
    <t>废软磁料头（芯铁、封头）</t>
  </si>
  <si>
    <t>废304不锈钢</t>
  </si>
  <si>
    <t>废不锈钢沫丝网（仅限301、303、304）</t>
  </si>
  <si>
    <t>废430不锈钢</t>
  </si>
  <si>
    <t>废不锈钢SUS301</t>
  </si>
  <si>
    <t>废不锈钢混合铁</t>
  </si>
  <si>
    <t>废软磁不锈铁沫（仅限4105、00Cr13i2）</t>
  </si>
  <si>
    <t>废铁混合料</t>
  </si>
  <si>
    <t>废钢指数*0.95/1.13</t>
  </si>
  <si>
    <t>废紫铜沫</t>
  </si>
  <si>
    <t>1#电解铜*0.965/1.13、</t>
  </si>
  <si>
    <r>
      <rPr>
        <sz val="10"/>
        <rFont val="宋体"/>
        <charset val="134"/>
        <scheme val="minor"/>
      </rPr>
      <t xml:space="preserve">不锈钢带 带SUS316L(0.3+0.01/0)*126（-0.1/-0.2)0.015 </t>
    </r>
    <r>
      <rPr>
        <sz val="10"/>
        <color indexed="10"/>
        <rFont val="宋体"/>
        <charset val="134"/>
      </rPr>
      <t>加工费</t>
    </r>
  </si>
  <si>
    <r>
      <rPr>
        <sz val="10"/>
        <color rgb="FF000000"/>
        <rFont val="宋体"/>
        <charset val="134"/>
      </rPr>
      <t>SUS301,H,t0.15×21(</t>
    </r>
    <r>
      <rPr>
        <sz val="10"/>
        <color rgb="FFFF0000"/>
        <rFont val="宋体"/>
        <charset val="134"/>
      </rPr>
      <t>含税加工费）</t>
    </r>
  </si>
  <si>
    <t>漆包线 Q（ZY/XY-1-200 0.335）</t>
  </si>
  <si>
    <t>漆包线Q(ZY/XY)-1/200 Φ0.3</t>
  </si>
  <si>
    <t>($C$4+26.0731)/1.13</t>
  </si>
  <si>
    <t>漆包线 Q（QZY-1/180 Ф0.09）</t>
  </si>
  <si>
    <t>Q(ZY/XY)-1/200_圆铜线_Φ0.3_黄色</t>
  </si>
  <si>
    <t>未联动</t>
  </si>
  <si>
    <t>漆包线 QZY-1/180 Φ0.071</t>
  </si>
  <si>
    <t>废不锈钢沫丝网（仅限四通阀事业部）</t>
  </si>
  <si>
    <t>漆包线 QA-1/155+s Φ0.20</t>
  </si>
  <si>
    <t>YL(T2)-0.035厚紫铜卷</t>
  </si>
  <si>
    <t>漆包线 QZY-1/180 Φ0.18</t>
  </si>
  <si>
    <t>YL(T2)-0.04厚紫铜卷 （1-3月价格）</t>
  </si>
  <si>
    <t>漆包线 QZY-1/180 Φ0.28</t>
  </si>
  <si>
    <t>漆包线 QA-1/155 Φ0.224</t>
  </si>
  <si>
    <t>漆包线Q(ZY/XY)-1/200 Φ0.145</t>
  </si>
  <si>
    <t>漆包线QA-1/180 Φ0.224</t>
  </si>
  <si>
    <t>铜包铝圆线CCAW/QZY - 1/180
_Φ0.1_黄色</t>
  </si>
  <si>
    <t>CCAW/QZY-1/180_铜包铝圆线_Φ0.08_黄色</t>
  </si>
  <si>
    <t>漆包线Q(ZY/XY)-1/200_Φ0.28</t>
  </si>
  <si>
    <t>漆包线QZY-1/180 Φ0.145</t>
  </si>
  <si>
    <t>漆包线Q(ZY/XY)-1/200_Φ0.25</t>
  </si>
  <si>
    <t>漆包线 Q（ZY/XY-2/200 0.85</t>
  </si>
  <si>
    <t>铝棒6061-T6Φ45</t>
  </si>
  <si>
    <t>漆包线Q(ZY/XY)-1/200 Φ0.236</t>
  </si>
  <si>
    <t>漆包线 QZY-1/180 Φ0.1</t>
  </si>
  <si>
    <t>漆包线 QZY-1/180 Φ0.15</t>
  </si>
  <si>
    <t>漆包线 QZY-1/180 Φ0.14</t>
  </si>
  <si>
    <t>漆包线 QA-1/155 Φ0.25</t>
  </si>
  <si>
    <t>漆包线 QZY-1/180 Φ0.08</t>
  </si>
  <si>
    <t>漆包线 QZY-1/180 Φ0.335</t>
  </si>
  <si>
    <t>漆包线 QZY-1-180 φ0.118</t>
  </si>
  <si>
    <t>废不锈钢303铜</t>
  </si>
  <si>
    <t>Q(ZY/XY)-1/200_Φ0.4</t>
  </si>
  <si>
    <t>CCAW/QZY-1/180_铜包铝圆线
_Φ0.08_黄色</t>
  </si>
  <si>
    <t>QA-1/155 Φ0.19</t>
  </si>
  <si>
    <t>CCAW/QZY-1/180_铜包铝圆线
_Φ0.09_黄色</t>
  </si>
  <si>
    <t>QZY-1/180 0.265</t>
  </si>
  <si>
    <t>CCAW/QZY-1/180_铜包铝圆线_Φ0.12_黄色</t>
  </si>
  <si>
    <t>CCAW/QZY-1/180_铜包铝圆线_Φ0.18_黄色</t>
  </si>
  <si>
    <t>CCAW/QZY-1/180_铜包铝圆线_Φ0.145_黄色</t>
  </si>
  <si>
    <t>CCAW/QZY-1/180_铜包铝圆线_Φ0.13_黄色</t>
  </si>
  <si>
    <t>TP2盘管</t>
  </si>
  <si>
    <t>上海龙阳65%,海亮35%</t>
  </si>
  <si>
    <t>紫铜管</t>
  </si>
  <si>
    <t>TP2直管6-30</t>
  </si>
  <si>
    <t>海亮35% 同城55%，龙阳15%</t>
  </si>
  <si>
    <t>TP2直管30以上</t>
  </si>
  <si>
    <t>海亮100%</t>
  </si>
  <si>
    <t>C3771A连铸棒</t>
  </si>
  <si>
    <t>科宇100%</t>
  </si>
  <si>
    <r>
      <rPr>
        <sz val="10"/>
        <rFont val="宋体"/>
        <charset val="134"/>
      </rPr>
      <t>C3604挤压棒/C3602/C3771</t>
    </r>
    <r>
      <rPr>
        <sz val="10"/>
        <rFont val="宋体"/>
        <charset val="134"/>
      </rPr>
      <t>（无气密性要求）</t>
    </r>
  </si>
  <si>
    <t>C3604挤压棒（有气密性要求）</t>
  </si>
  <si>
    <t>丰山100%</t>
  </si>
  <si>
    <t xml:space="preserve">SUS303CU /303F/303/304(无气密性要求） </t>
  </si>
  <si>
    <t>腾龙100%</t>
  </si>
  <si>
    <t xml:space="preserve">SUS303CU /303F/303/304(有气密性要求）小于φ20 </t>
  </si>
  <si>
    <t>腾龙55%、康健45%</t>
  </si>
  <si>
    <t>软磁不锈棒</t>
  </si>
  <si>
    <t xml:space="preserve">低碳低硫00Cr13Si2(主要用于封头） </t>
  </si>
  <si>
    <t>衡阳金则利100%</t>
  </si>
  <si>
    <t>普通00Cr13Si2(主要用于芯铁）</t>
  </si>
  <si>
    <t>腾龙55%、康健30%</t>
  </si>
  <si>
    <t>焊料</t>
  </si>
  <si>
    <t>杭州华光为主</t>
  </si>
  <si>
    <t>杭州华光100%</t>
  </si>
  <si>
    <t>各规格</t>
  </si>
  <si>
    <t>杭州弘通100%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</si>
</sst>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_ * #,##0.000_ ;_ * \-#,##0.000_ ;_ * &quot;-&quot;??.0_ ;_ @_ "/>
    <numFmt numFmtId="178" formatCode="0.000_);[Red]\(0.000\)"/>
    <numFmt numFmtId="179" formatCode="_ * #,##0_ ;_ * \-#,##0_ ;_ * &quot;-&quot;??_ ;_ @_ "/>
    <numFmt numFmtId="180" formatCode="0.000%"/>
    <numFmt numFmtId="181" formatCode="0.00_ "/>
    <numFmt numFmtId="182" formatCode="_ * #,##0.000_ ;_ * \-#,##0.000_ ;_ * &quot;-&quot;???_ ;_ @_ "/>
    <numFmt numFmtId="183" formatCode="[$-F800]dddd\,\ mmmm\ dd\,\ yyyy"/>
    <numFmt numFmtId="184" formatCode="0.000_ "/>
    <numFmt numFmtId="185" formatCode="_ * #,##0.000_ ;_ * \-#,##0.000_ ;_ * &quot;-&quot;??_ ;_ @_ "/>
    <numFmt numFmtId="186" formatCode="0_ "/>
    <numFmt numFmtId="187" formatCode="_ * #,##0.0000_ ;_ * \-#,##0.0000_ ;_ * &quot;-&quot;??.00_ ;_ @_ "/>
    <numFmt numFmtId="188" formatCode="0.0000_);[Red]\(0.0000\)"/>
    <numFmt numFmtId="189" formatCode="0.000000_);[Red]\(0.000000\)"/>
    <numFmt numFmtId="190" formatCode="0.0000_ "/>
  </numFmts>
  <fonts count="44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1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  <scheme val="major"/>
    </font>
    <font>
      <sz val="10.5"/>
      <color rgb="FF000000"/>
      <name val="Arial"/>
      <charset val="134"/>
    </font>
    <font>
      <sz val="12"/>
      <color rgb="FF000000"/>
      <name val="宋体"/>
      <charset val="134"/>
    </font>
    <font>
      <sz val="10"/>
      <color theme="5"/>
      <name val="宋体"/>
      <charset val="134"/>
    </font>
    <font>
      <b/>
      <sz val="13"/>
      <name val="Calibri"/>
      <charset val="134"/>
    </font>
    <font>
      <b/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10"/>
      <name val="宋体"/>
      <charset val="134"/>
    </font>
    <font>
      <sz val="12"/>
      <color indexed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  <font>
      <sz val="1"/>
      <color indexed="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indexed="8"/>
      </top>
      <bottom style="thin">
        <color auto="1"/>
      </bottom>
      <diagonal/>
    </border>
    <border>
      <left/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medium">
        <color indexed="8"/>
      </left>
      <right/>
      <top style="medium">
        <color indexed="8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auto="1"/>
      </top>
      <bottom style="thin">
        <color auto="1"/>
      </bottom>
      <diagonal/>
    </border>
    <border>
      <left style="medium">
        <color indexed="0"/>
      </left>
      <right style="thin">
        <color auto="1"/>
      </right>
      <top style="medium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0"/>
      </top>
      <bottom style="thin">
        <color auto="1"/>
      </bottom>
      <diagonal/>
    </border>
    <border>
      <left style="thin">
        <color auto="1"/>
      </left>
      <right style="medium">
        <color indexed="0"/>
      </right>
      <top style="medium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0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auto="1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8"/>
      </bottom>
      <diagonal/>
    </border>
    <border>
      <left/>
      <right style="medium">
        <color auto="1"/>
      </right>
      <top style="thin">
        <color auto="1"/>
      </top>
      <bottom style="medium">
        <color indexed="8"/>
      </bottom>
      <diagonal/>
    </border>
    <border>
      <left/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medium">
        <color indexed="8"/>
      </bottom>
      <diagonal/>
    </border>
    <border>
      <left style="medium">
        <color indexed="0"/>
      </left>
      <right style="thin">
        <color auto="1"/>
      </right>
      <top style="thin">
        <color auto="1"/>
      </top>
      <bottom style="medium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0"/>
      </bottom>
      <diagonal/>
    </border>
    <border>
      <left style="thin">
        <color auto="1"/>
      </left>
      <right style="medium">
        <color indexed="0"/>
      </right>
      <top style="thin">
        <color auto="1"/>
      </top>
      <bottom style="medium">
        <color indexed="0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13" borderId="4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6" applyNumberFormat="0" applyFill="0" applyAlignment="0" applyProtection="0">
      <alignment vertical="center"/>
    </xf>
    <xf numFmtId="0" fontId="24" fillId="0" borderId="46" applyNumberFormat="0" applyFill="0" applyAlignment="0" applyProtection="0">
      <alignment vertical="center"/>
    </xf>
    <xf numFmtId="0" fontId="25" fillId="0" borderId="4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4" borderId="48" applyNumberFormat="0" applyAlignment="0" applyProtection="0">
      <alignment vertical="center"/>
    </xf>
    <xf numFmtId="0" fontId="27" fillId="15" borderId="49" applyNumberFormat="0" applyAlignment="0" applyProtection="0">
      <alignment vertical="center"/>
    </xf>
    <xf numFmtId="0" fontId="28" fillId="15" borderId="48" applyNumberFormat="0" applyAlignment="0" applyProtection="0">
      <alignment vertical="center"/>
    </xf>
    <xf numFmtId="0" fontId="29" fillId="16" borderId="50" applyNumberFormat="0" applyAlignment="0" applyProtection="0">
      <alignment vertical="center"/>
    </xf>
    <xf numFmtId="0" fontId="30" fillId="0" borderId="51" applyNumberFormat="0" applyFill="0" applyAlignment="0" applyProtection="0">
      <alignment vertical="center"/>
    </xf>
    <xf numFmtId="0" fontId="31" fillId="0" borderId="52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232">
    <xf numFmtId="0" fontId="0" fillId="0" borderId="0" xfId="0" applyFont="1">
      <alignment vertical="center"/>
    </xf>
    <xf numFmtId="0" fontId="1" fillId="0" borderId="0" xfId="49" applyFont="1" applyAlignment="1">
      <alignment horizontal="center" vertical="center" wrapText="1"/>
    </xf>
    <xf numFmtId="0" fontId="1" fillId="0" borderId="0" xfId="49" applyFont="1" applyFill="1"/>
    <xf numFmtId="0" fontId="1" fillId="0" borderId="0" xfId="49" applyFont="1" applyFill="1" applyBorder="1"/>
    <xf numFmtId="0" fontId="1" fillId="0" borderId="0" xfId="49" applyFont="1" applyAlignment="1">
      <alignment horizontal="center"/>
    </xf>
    <xf numFmtId="0" fontId="1" fillId="2" borderId="0" xfId="49" applyFont="1" applyFill="1"/>
    <xf numFmtId="176" fontId="2" fillId="2" borderId="0" xfId="49" applyNumberFormat="1" applyFont="1" applyFill="1" applyAlignment="1">
      <alignment horizontal="center" vertical="center" wrapText="1"/>
    </xf>
    <xf numFmtId="177" fontId="2" fillId="2" borderId="0" xfId="49" applyNumberFormat="1" applyFont="1" applyFill="1"/>
    <xf numFmtId="178" fontId="2" fillId="2" borderId="0" xfId="49" applyNumberFormat="1" applyFont="1" applyFill="1"/>
    <xf numFmtId="0" fontId="2" fillId="2" borderId="0" xfId="49" applyFont="1" applyFill="1"/>
    <xf numFmtId="176" fontId="1" fillId="2" borderId="0" xfId="49" applyNumberFormat="1" applyFont="1" applyFill="1"/>
    <xf numFmtId="43" fontId="1" fillId="0" borderId="0" xfId="50" applyNumberFormat="1" applyFont="1"/>
    <xf numFmtId="0" fontId="1" fillId="0" borderId="0" xfId="49" applyFont="1"/>
    <xf numFmtId="0" fontId="3" fillId="3" borderId="0" xfId="49" applyFont="1" applyFill="1" applyAlignment="1">
      <alignment horizontal="center" vertical="center"/>
    </xf>
    <xf numFmtId="43" fontId="1" fillId="0" borderId="0" xfId="50" applyNumberFormat="1" applyFont="1" applyFill="1"/>
    <xf numFmtId="0" fontId="1" fillId="0" borderId="1" xfId="49" applyFont="1" applyBorder="1" applyAlignment="1">
      <alignment horizontal="center" vertical="center" wrapText="1"/>
    </xf>
    <xf numFmtId="0" fontId="1" fillId="0" borderId="2" xfId="49" applyFont="1" applyBorder="1" applyAlignment="1">
      <alignment horizontal="center" vertical="center" wrapText="1"/>
    </xf>
    <xf numFmtId="0" fontId="1" fillId="0" borderId="3" xfId="49" applyFont="1" applyBorder="1" applyAlignment="1">
      <alignment horizontal="center" vertical="center" wrapText="1"/>
    </xf>
    <xf numFmtId="0" fontId="1" fillId="0" borderId="4" xfId="49" applyFont="1" applyBorder="1" applyAlignment="1">
      <alignment horizontal="center" vertical="center" wrapText="1"/>
    </xf>
    <xf numFmtId="0" fontId="1" fillId="0" borderId="5" xfId="49" applyFont="1" applyBorder="1" applyAlignment="1">
      <alignment horizontal="center" vertical="center" wrapText="1"/>
    </xf>
    <xf numFmtId="0" fontId="1" fillId="0" borderId="6" xfId="49" applyFont="1" applyFill="1" applyBorder="1" applyAlignment="1">
      <alignment horizontal="center" vertical="center" wrapText="1"/>
    </xf>
    <xf numFmtId="0" fontId="1" fillId="0" borderId="7" xfId="49" applyFont="1" applyFill="1" applyBorder="1" applyAlignment="1">
      <alignment horizontal="center" vertical="center"/>
    </xf>
    <xf numFmtId="176" fontId="2" fillId="0" borderId="7" xfId="49" applyNumberFormat="1" applyFont="1" applyFill="1" applyBorder="1" applyAlignment="1">
      <alignment horizontal="center" vertical="center" wrapText="1"/>
    </xf>
    <xf numFmtId="177" fontId="3" fillId="0" borderId="7" xfId="0" applyNumberFormat="1" applyFont="1" applyFill="1" applyBorder="1" applyAlignment="1"/>
    <xf numFmtId="0" fontId="2" fillId="0" borderId="7" xfId="49" applyFont="1" applyFill="1" applyBorder="1" applyAlignment="1">
      <alignment horizontal="center" vertical="center" wrapText="1"/>
    </xf>
    <xf numFmtId="0" fontId="2" fillId="0" borderId="7" xfId="49" applyFont="1" applyFill="1" applyBorder="1" applyAlignment="1">
      <alignment horizontal="center" vertical="center"/>
    </xf>
    <xf numFmtId="0" fontId="3" fillId="0" borderId="4" xfId="0" applyFont="1" applyFill="1" applyBorder="1" applyAlignment="1"/>
    <xf numFmtId="43" fontId="1" fillId="0" borderId="0" xfId="50" applyNumberFormat="1" applyFont="1" applyFill="1" applyAlignment="1">
      <alignment horizontal="center" vertical="center" wrapText="1"/>
    </xf>
    <xf numFmtId="0" fontId="1" fillId="0" borderId="0" xfId="49" applyFont="1" applyFill="1" applyAlignment="1">
      <alignment horizontal="center" vertical="center" wrapText="1"/>
    </xf>
    <xf numFmtId="0" fontId="1" fillId="0" borderId="8" xfId="49" applyFont="1" applyBorder="1"/>
    <xf numFmtId="177" fontId="1" fillId="3" borderId="9" xfId="49" applyNumberFormat="1" applyFont="1" applyFill="1" applyBorder="1" applyAlignment="1">
      <alignment vertical="center" wrapText="1"/>
    </xf>
    <xf numFmtId="10" fontId="1" fillId="4" borderId="10" xfId="3" applyNumberFormat="1" applyFont="1" applyFill="1" applyBorder="1" applyAlignment="1" applyProtection="1"/>
    <xf numFmtId="179" fontId="1" fillId="3" borderId="11" xfId="49" applyNumberFormat="1" applyFont="1" applyFill="1" applyBorder="1" applyAlignment="1">
      <alignment vertical="center" wrapText="1"/>
    </xf>
    <xf numFmtId="10" fontId="1" fillId="5" borderId="12" xfId="3" applyNumberFormat="1" applyFont="1" applyFill="1" applyBorder="1" applyAlignment="1" applyProtection="1">
      <alignment horizontal="center" vertical="center" wrapText="1"/>
    </xf>
    <xf numFmtId="180" fontId="1" fillId="6" borderId="12" xfId="3" applyNumberFormat="1" applyFont="1" applyFill="1" applyBorder="1" applyAlignment="1" applyProtection="1">
      <alignment horizontal="center" vertical="center" wrapText="1"/>
    </xf>
    <xf numFmtId="10" fontId="1" fillId="6" borderId="13" xfId="3" applyNumberFormat="1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>
      <alignment horizontal="center"/>
    </xf>
    <xf numFmtId="0" fontId="1" fillId="0" borderId="15" xfId="49" applyFont="1" applyFill="1" applyBorder="1" applyAlignment="1">
      <alignment horizontal="center" vertical="center"/>
    </xf>
    <xf numFmtId="176" fontId="2" fillId="0" borderId="15" xfId="49" applyNumberFormat="1" applyFont="1" applyFill="1" applyBorder="1" applyAlignment="1">
      <alignment horizontal="center" vertical="center" wrapText="1"/>
    </xf>
    <xf numFmtId="177" fontId="2" fillId="0" borderId="15" xfId="49" applyNumberFormat="1" applyFont="1" applyFill="1" applyBorder="1" applyAlignment="1">
      <alignment horizontal="center" vertical="center" wrapText="1"/>
    </xf>
    <xf numFmtId="0" fontId="2" fillId="0" borderId="15" xfId="49" applyFont="1" applyFill="1" applyBorder="1"/>
    <xf numFmtId="0" fontId="2" fillId="0" borderId="15" xfId="49" applyFont="1" applyFill="1" applyBorder="1" applyAlignment="1">
      <alignment horizontal="center" vertical="center"/>
    </xf>
    <xf numFmtId="176" fontId="2" fillId="0" borderId="12" xfId="49" applyNumberFormat="1" applyFont="1" applyFill="1" applyBorder="1" applyAlignment="1">
      <alignment horizontal="center" vertical="center" wrapText="1"/>
    </xf>
    <xf numFmtId="0" fontId="1" fillId="0" borderId="16" xfId="49" applyFont="1" applyBorder="1"/>
    <xf numFmtId="177" fontId="1" fillId="4" borderId="10" xfId="49" applyNumberFormat="1" applyFont="1" applyFill="1" applyBorder="1" applyAlignment="1">
      <alignment horizontal="center" vertical="center" wrapText="1"/>
    </xf>
    <xf numFmtId="177" fontId="1" fillId="3" borderId="11" xfId="49" applyNumberFormat="1" applyFont="1" applyFill="1" applyBorder="1" applyAlignment="1">
      <alignment vertical="center" wrapText="1"/>
    </xf>
    <xf numFmtId="0" fontId="1" fillId="5" borderId="12" xfId="49" applyFont="1" applyFill="1" applyBorder="1" applyAlignment="1">
      <alignment horizontal="center" vertical="center" wrapText="1"/>
    </xf>
    <xf numFmtId="0" fontId="1" fillId="6" borderId="12" xfId="49" applyFont="1" applyFill="1" applyBorder="1"/>
    <xf numFmtId="0" fontId="1" fillId="6" borderId="13" xfId="49" applyFont="1" applyFill="1" applyBorder="1"/>
    <xf numFmtId="0" fontId="4" fillId="0" borderId="17" xfId="0" applyFont="1" applyFill="1" applyBorder="1" applyAlignment="1">
      <alignment horizontal="center" vertical="center" wrapText="1"/>
    </xf>
    <xf numFmtId="0" fontId="5" fillId="0" borderId="18" xfId="49" applyFont="1" applyBorder="1" applyAlignment="1">
      <alignment horizontal="center" vertical="center"/>
    </xf>
    <xf numFmtId="181" fontId="5" fillId="0" borderId="18" xfId="49" applyNumberFormat="1" applyFont="1" applyBorder="1" applyAlignment="1">
      <alignment horizontal="center" vertical="center" wrapText="1"/>
    </xf>
    <xf numFmtId="0" fontId="5" fillId="0" borderId="18" xfId="49" applyFont="1" applyBorder="1" applyAlignment="1">
      <alignment horizontal="center" vertical="center" wrapText="1"/>
    </xf>
    <xf numFmtId="0" fontId="5" fillId="0" borderId="18" xfId="49" applyFont="1" applyBorder="1" applyAlignment="1">
      <alignment horizontal="center" wrapText="1"/>
    </xf>
    <xf numFmtId="0" fontId="5" fillId="0" borderId="18" xfId="49" applyFont="1" applyBorder="1" applyAlignment="1">
      <alignment horizontal="center"/>
    </xf>
    <xf numFmtId="0" fontId="5" fillId="0" borderId="19" xfId="49" applyFont="1" applyBorder="1" applyAlignment="1">
      <alignment horizontal="center"/>
    </xf>
    <xf numFmtId="0" fontId="1" fillId="0" borderId="14" xfId="49" applyFont="1" applyFill="1" applyBorder="1" applyAlignment="1">
      <alignment horizontal="center"/>
    </xf>
    <xf numFmtId="0" fontId="1" fillId="0" borderId="15" xfId="49" applyFont="1" applyFill="1" applyBorder="1"/>
    <xf numFmtId="177" fontId="1" fillId="3" borderId="15" xfId="49" applyNumberFormat="1" applyFont="1" applyFill="1" applyBorder="1" applyAlignment="1">
      <alignment vertical="center" wrapText="1"/>
    </xf>
    <xf numFmtId="177" fontId="1" fillId="7" borderId="20" xfId="49" applyNumberFormat="1" applyFont="1" applyFill="1" applyBorder="1" applyAlignment="1">
      <alignment vertical="center" wrapText="1"/>
    </xf>
    <xf numFmtId="0" fontId="2" fillId="0" borderId="15" xfId="51" applyFont="1" applyFill="1" applyBorder="1"/>
    <xf numFmtId="43" fontId="1" fillId="3" borderId="15" xfId="49" applyNumberFormat="1" applyFont="1" applyFill="1" applyBorder="1" applyAlignment="1">
      <alignment vertical="center" wrapText="1"/>
    </xf>
    <xf numFmtId="178" fontId="1" fillId="7" borderId="12" xfId="1" applyNumberFormat="1" applyFont="1" applyFill="1" applyBorder="1" applyAlignment="1">
      <alignment horizontal="center" vertical="center" wrapText="1"/>
    </xf>
    <xf numFmtId="182" fontId="1" fillId="0" borderId="0" xfId="49" applyNumberFormat="1" applyFont="1" applyFill="1"/>
    <xf numFmtId="176" fontId="1" fillId="0" borderId="0" xfId="49" applyNumberFormat="1" applyFont="1" applyFill="1"/>
    <xf numFmtId="0" fontId="1" fillId="0" borderId="11" xfId="49" applyFont="1" applyFill="1" applyBorder="1"/>
    <xf numFmtId="0" fontId="1" fillId="0" borderId="12" xfId="49" applyFont="1" applyFill="1" applyBorder="1"/>
    <xf numFmtId="0" fontId="1" fillId="0" borderId="13" xfId="49" applyFont="1" applyFill="1" applyBorder="1"/>
    <xf numFmtId="0" fontId="3" fillId="0" borderId="21" xfId="0" applyFont="1" applyFill="1" applyBorder="1" applyAlignment="1">
      <alignment horizontal="center" vertical="center" wrapText="1"/>
    </xf>
    <xf numFmtId="183" fontId="6" fillId="2" borderId="15" xfId="0" applyNumberFormat="1" applyFont="1" applyFill="1" applyBorder="1" applyAlignment="1">
      <alignment horizontal="left" vertical="center" wrapText="1"/>
    </xf>
    <xf numFmtId="0" fontId="1" fillId="0" borderId="15" xfId="49" applyFont="1" applyBorder="1"/>
    <xf numFmtId="184" fontId="7" fillId="2" borderId="15" xfId="0" applyNumberFormat="1" applyFont="1" applyFill="1" applyBorder="1" applyAlignment="1">
      <alignment horizontal="center" vertical="center" wrapText="1"/>
    </xf>
    <xf numFmtId="10" fontId="6" fillId="2" borderId="15" xfId="3" applyNumberFormat="1" applyFont="1" applyFill="1" applyBorder="1" applyAlignment="1">
      <alignment horizontal="center" vertical="center" wrapText="1"/>
    </xf>
    <xf numFmtId="43" fontId="1" fillId="0" borderId="15" xfId="49" applyNumberFormat="1" applyFont="1" applyFill="1" applyBorder="1" applyAlignment="1"/>
    <xf numFmtId="0" fontId="1" fillId="0" borderId="22" xfId="49" applyFont="1" applyBorder="1"/>
    <xf numFmtId="0" fontId="1" fillId="0" borderId="15" xfId="51" applyFont="1" applyFill="1" applyBorder="1"/>
    <xf numFmtId="178" fontId="1" fillId="3" borderId="15" xfId="1" applyNumberFormat="1" applyFont="1" applyFill="1" applyBorder="1" applyAlignment="1">
      <alignment horizontal="center" vertical="center" wrapText="1"/>
    </xf>
    <xf numFmtId="177" fontId="6" fillId="2" borderId="15" xfId="3" applyNumberFormat="1" applyFont="1" applyFill="1" applyBorder="1" applyAlignment="1">
      <alignment horizontal="center" vertical="center" wrapText="1"/>
    </xf>
    <xf numFmtId="177" fontId="1" fillId="5" borderId="15" xfId="49" applyNumberFormat="1" applyFont="1" applyFill="1" applyBorder="1" applyAlignment="1"/>
    <xf numFmtId="177" fontId="1" fillId="5" borderId="22" xfId="49" applyNumberFormat="1" applyFont="1" applyFill="1" applyBorder="1" applyAlignment="1"/>
    <xf numFmtId="177" fontId="1" fillId="0" borderId="0" xfId="50" applyNumberFormat="1" applyFont="1" applyFill="1"/>
    <xf numFmtId="0" fontId="1" fillId="0" borderId="10" xfId="49" applyFont="1" applyBorder="1" applyAlignment="1">
      <alignment horizontal="center"/>
    </xf>
    <xf numFmtId="183" fontId="7" fillId="2" borderId="15" xfId="0" applyNumberFormat="1" applyFont="1" applyFill="1" applyBorder="1" applyAlignment="1">
      <alignment horizontal="left" vertical="center" wrapText="1"/>
    </xf>
    <xf numFmtId="181" fontId="7" fillId="2" borderId="15" xfId="0" applyNumberFormat="1" applyFont="1" applyFill="1" applyBorder="1" applyAlignment="1">
      <alignment horizontal="center" vertical="center" wrapText="1"/>
    </xf>
    <xf numFmtId="0" fontId="1" fillId="0" borderId="11" xfId="49" applyFont="1" applyBorder="1"/>
    <xf numFmtId="177" fontId="1" fillId="0" borderId="9" xfId="49" applyNumberFormat="1" applyFont="1" applyFill="1" applyBorder="1" applyAlignment="1">
      <alignment vertical="center" wrapText="1"/>
    </xf>
    <xf numFmtId="185" fontId="1" fillId="0" borderId="15" xfId="1" applyNumberFormat="1" applyFont="1" applyFill="1" applyBorder="1" applyAlignment="1">
      <alignment horizontal="center" vertical="center" wrapText="1"/>
    </xf>
    <xf numFmtId="0" fontId="1" fillId="0" borderId="23" xfId="49" applyFont="1" applyBorder="1"/>
    <xf numFmtId="177" fontId="1" fillId="0" borderId="24" xfId="49" applyNumberFormat="1" applyFont="1" applyFill="1" applyBorder="1" applyAlignment="1">
      <alignment vertical="center" wrapText="1"/>
    </xf>
    <xf numFmtId="0" fontId="1" fillId="0" borderId="25" xfId="49" applyFont="1" applyBorder="1" applyAlignment="1">
      <alignment horizontal="center"/>
    </xf>
    <xf numFmtId="0" fontId="1" fillId="0" borderId="26" xfId="49" applyFont="1" applyFill="1" applyBorder="1"/>
    <xf numFmtId="0" fontId="1" fillId="0" borderId="27" xfId="49" applyFont="1" applyFill="1" applyBorder="1"/>
    <xf numFmtId="0" fontId="1" fillId="0" borderId="28" xfId="49" applyFont="1" applyFill="1" applyBorder="1"/>
    <xf numFmtId="181" fontId="6" fillId="2" borderId="15" xfId="0" applyNumberFormat="1" applyFont="1" applyFill="1" applyBorder="1" applyAlignment="1">
      <alignment horizontal="center" vertical="center" wrapText="1"/>
    </xf>
    <xf numFmtId="43" fontId="1" fillId="5" borderId="15" xfId="49" applyNumberFormat="1" applyFont="1" applyFill="1" applyBorder="1" applyAlignment="1"/>
    <xf numFmtId="0" fontId="1" fillId="5" borderId="15" xfId="49" applyFont="1" applyFill="1" applyBorder="1"/>
    <xf numFmtId="177" fontId="1" fillId="0" borderId="15" xfId="49" applyNumberFormat="1" applyFont="1" applyFill="1" applyBorder="1" applyAlignment="1"/>
    <xf numFmtId="183" fontId="7" fillId="2" borderId="21" xfId="0" applyNumberFormat="1" applyFont="1" applyFill="1" applyBorder="1" applyAlignment="1">
      <alignment horizontal="center" vertical="center" wrapText="1"/>
    </xf>
    <xf numFmtId="186" fontId="5" fillId="5" borderId="11" xfId="0" applyNumberFormat="1" applyFont="1" applyFill="1" applyBorder="1" applyAlignment="1">
      <alignment horizontal="center" vertical="center"/>
    </xf>
    <xf numFmtId="0" fontId="8" fillId="0" borderId="15" xfId="51" applyFont="1" applyFill="1" applyBorder="1"/>
    <xf numFmtId="178" fontId="1" fillId="8" borderId="15" xfId="1" applyNumberFormat="1" applyFont="1" applyFill="1" applyBorder="1" applyAlignment="1">
      <alignment horizontal="center" vertical="center" wrapText="1"/>
    </xf>
    <xf numFmtId="181" fontId="5" fillId="0" borderId="11" xfId="0" applyNumberFormat="1" applyFont="1" applyFill="1" applyBorder="1" applyAlignment="1">
      <alignment horizontal="center" vertical="center"/>
    </xf>
    <xf numFmtId="0" fontId="1" fillId="0" borderId="21" xfId="49" applyFont="1" applyBorder="1"/>
    <xf numFmtId="181" fontId="1" fillId="0" borderId="15" xfId="49" applyNumberFormat="1" applyFont="1" applyFill="1" applyBorder="1" applyAlignment="1"/>
    <xf numFmtId="177" fontId="1" fillId="0" borderId="0" xfId="49" applyNumberFormat="1" applyFont="1"/>
    <xf numFmtId="0" fontId="1" fillId="0" borderId="21" xfId="49" applyNumberFormat="1" applyFont="1" applyFill="1" applyBorder="1" applyAlignment="1"/>
    <xf numFmtId="0" fontId="1" fillId="0" borderId="15" xfId="49" applyNumberFormat="1" applyFont="1" applyFill="1" applyBorder="1" applyAlignment="1">
      <alignment horizontal="left"/>
    </xf>
    <xf numFmtId="178" fontId="1" fillId="0" borderId="15" xfId="49" applyNumberFormat="1" applyFont="1" applyFill="1" applyBorder="1" applyAlignment="1"/>
    <xf numFmtId="0" fontId="1" fillId="2" borderId="15" xfId="49" applyFont="1" applyFill="1" applyBorder="1"/>
    <xf numFmtId="0" fontId="1" fillId="0" borderId="15" xfId="51" applyFont="1" applyFill="1" applyBorder="1" applyAlignment="1">
      <alignment wrapText="1"/>
    </xf>
    <xf numFmtId="184" fontId="1" fillId="5" borderId="11" xfId="0" applyNumberFormat="1" applyFont="1" applyFill="1" applyBorder="1" applyAlignment="1">
      <alignment horizontal="center" vertical="center"/>
    </xf>
    <xf numFmtId="0" fontId="1" fillId="0" borderId="15" xfId="49" applyNumberFormat="1" applyFont="1" applyFill="1" applyBorder="1" applyAlignment="1"/>
    <xf numFmtId="178" fontId="1" fillId="0" borderId="15" xfId="1" applyNumberFormat="1" applyFont="1" applyFill="1" applyBorder="1" applyAlignment="1">
      <alignment horizontal="center" vertical="center" wrapText="1"/>
    </xf>
    <xf numFmtId="178" fontId="1" fillId="0" borderId="12" xfId="1" applyNumberFormat="1" applyFont="1" applyFill="1" applyBorder="1" applyAlignment="1">
      <alignment horizontal="center" vertical="center" wrapText="1"/>
    </xf>
    <xf numFmtId="183" fontId="7" fillId="0" borderId="15" xfId="0" applyNumberFormat="1" applyFont="1" applyFill="1" applyBorder="1" applyAlignment="1">
      <alignment horizontal="left" vertical="center" wrapText="1"/>
    </xf>
    <xf numFmtId="181" fontId="7" fillId="0" borderId="15" xfId="0" applyNumberFormat="1" applyFont="1" applyFill="1" applyBorder="1" applyAlignment="1">
      <alignment horizontal="center" vertical="center" wrapText="1"/>
    </xf>
    <xf numFmtId="183" fontId="9" fillId="2" borderId="15" xfId="0" applyNumberFormat="1" applyFont="1" applyFill="1" applyBorder="1" applyAlignment="1">
      <alignment horizontal="left" vertical="center" wrapText="1"/>
    </xf>
    <xf numFmtId="181" fontId="9" fillId="2" borderId="15" xfId="0" applyNumberFormat="1" applyFont="1" applyFill="1" applyBorder="1" applyAlignment="1">
      <alignment horizontal="center" vertical="center" wrapText="1"/>
    </xf>
    <xf numFmtId="0" fontId="1" fillId="0" borderId="15" xfId="49" applyFont="1" applyBorder="1" applyAlignment="1">
      <alignment horizontal="left"/>
    </xf>
    <xf numFmtId="177" fontId="1" fillId="5" borderId="15" xfId="49" applyNumberFormat="1" applyFont="1" applyFill="1" applyBorder="1"/>
    <xf numFmtId="0" fontId="1" fillId="0" borderId="15" xfId="49" applyFont="1" applyFill="1" applyBorder="1" applyAlignment="1">
      <alignment wrapText="1"/>
    </xf>
    <xf numFmtId="0" fontId="1" fillId="0" borderId="29" xfId="49" applyFont="1" applyBorder="1"/>
    <xf numFmtId="183" fontId="1" fillId="0" borderId="30" xfId="49" applyNumberFormat="1" applyFont="1" applyBorder="1"/>
    <xf numFmtId="184" fontId="7" fillId="2" borderId="30" xfId="0" applyNumberFormat="1" applyFont="1" applyFill="1" applyBorder="1" applyAlignment="1">
      <alignment horizontal="center" vertical="center" wrapText="1"/>
    </xf>
    <xf numFmtId="0" fontId="1" fillId="0" borderId="30" xfId="49" applyFont="1" applyBorder="1"/>
    <xf numFmtId="0" fontId="1" fillId="0" borderId="31" xfId="49" applyFont="1" applyBorder="1"/>
    <xf numFmtId="178" fontId="1" fillId="0" borderId="15" xfId="49" applyNumberFormat="1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left" vertical="center"/>
    </xf>
    <xf numFmtId="187" fontId="1" fillId="0" borderId="15" xfId="1" applyNumberFormat="1" applyFont="1" applyFill="1" applyBorder="1" applyAlignment="1">
      <alignment horizontal="center" vertical="center" wrapText="1"/>
    </xf>
    <xf numFmtId="0" fontId="1" fillId="0" borderId="15" xfId="49" applyFont="1" applyFill="1" applyBorder="1" applyAlignment="1">
      <alignment horizontal="left" vertical="center" wrapText="1"/>
    </xf>
    <xf numFmtId="187" fontId="1" fillId="0" borderId="12" xfId="1" applyNumberFormat="1" applyFont="1" applyFill="1" applyBorder="1" applyAlignment="1">
      <alignment horizontal="center" vertical="center" wrapText="1"/>
    </xf>
    <xf numFmtId="178" fontId="1" fillId="0" borderId="15" xfId="49" applyNumberFormat="1" applyFont="1" applyFill="1" applyBorder="1" applyAlignment="1">
      <alignment horizontal="center" vertical="center"/>
    </xf>
    <xf numFmtId="178" fontId="1" fillId="0" borderId="12" xfId="49" applyNumberFormat="1" applyFont="1" applyFill="1" applyBorder="1" applyAlignment="1">
      <alignment horizontal="center" vertical="center"/>
    </xf>
    <xf numFmtId="0" fontId="1" fillId="0" borderId="15" xfId="51" applyFont="1" applyFill="1" applyBorder="1" applyAlignment="1">
      <alignment vertical="center" wrapText="1"/>
    </xf>
    <xf numFmtId="188" fontId="1" fillId="8" borderId="15" xfId="1" applyNumberFormat="1" applyFont="1" applyFill="1" applyBorder="1" applyAlignment="1">
      <alignment horizontal="center" vertical="center" wrapText="1"/>
    </xf>
    <xf numFmtId="188" fontId="1" fillId="9" borderId="12" xfId="1" applyNumberFormat="1" applyFont="1" applyFill="1" applyBorder="1" applyAlignment="1">
      <alignment horizontal="center" vertical="center" wrapText="1"/>
    </xf>
    <xf numFmtId="189" fontId="1" fillId="9" borderId="12" xfId="1" applyNumberFormat="1" applyFont="1" applyFill="1" applyBorder="1" applyAlignment="1">
      <alignment horizontal="center" vertical="center" wrapText="1"/>
    </xf>
    <xf numFmtId="10" fontId="1" fillId="0" borderId="15" xfId="49" applyNumberFormat="1" applyFont="1" applyFill="1" applyBorder="1" applyAlignment="1">
      <alignment vertical="center"/>
    </xf>
    <xf numFmtId="49" fontId="11" fillId="0" borderId="15" xfId="0" applyNumberFormat="1" applyFont="1" applyFill="1" applyBorder="1" applyAlignment="1">
      <alignment vertical="center" wrapText="1"/>
    </xf>
    <xf numFmtId="185" fontId="11" fillId="0" borderId="15" xfId="1" applyNumberFormat="1" applyFont="1" applyFill="1" applyBorder="1" applyAlignment="1">
      <alignment horizontal="left" vertical="center" wrapText="1"/>
    </xf>
    <xf numFmtId="185" fontId="11" fillId="0" borderId="12" xfId="1" applyNumberFormat="1" applyFont="1" applyFill="1" applyBorder="1" applyAlignment="1">
      <alignment horizontal="left" vertical="center" wrapText="1"/>
    </xf>
    <xf numFmtId="0" fontId="1" fillId="0" borderId="32" xfId="49" applyFont="1" applyFill="1" applyBorder="1"/>
    <xf numFmtId="177" fontId="10" fillId="0" borderId="15" xfId="0" applyNumberFormat="1" applyFont="1" applyFill="1" applyBorder="1" applyAlignment="1">
      <alignment horizontal="left" vertical="center"/>
    </xf>
    <xf numFmtId="49" fontId="12" fillId="0" borderId="15" xfId="0" applyNumberFormat="1" applyFont="1" applyFill="1" applyBorder="1" applyAlignment="1">
      <alignment vertical="center" wrapText="1"/>
    </xf>
    <xf numFmtId="177" fontId="1" fillId="0" borderId="33" xfId="49" applyNumberFormat="1" applyFont="1" applyFill="1" applyBorder="1" applyAlignment="1">
      <alignment vertical="center" wrapText="1"/>
    </xf>
    <xf numFmtId="185" fontId="1" fillId="0" borderId="12" xfId="1" applyNumberFormat="1" applyFont="1" applyFill="1" applyBorder="1" applyAlignment="1">
      <alignment horizontal="center" vertical="center" wrapText="1"/>
    </xf>
    <xf numFmtId="177" fontId="1" fillId="0" borderId="15" xfId="49" applyNumberFormat="1" applyFont="1" applyFill="1" applyBorder="1" applyAlignment="1">
      <alignment vertical="center" wrapText="1"/>
    </xf>
    <xf numFmtId="0" fontId="10" fillId="0" borderId="15" xfId="0" applyFont="1" applyFill="1" applyBorder="1" applyAlignment="1">
      <alignment horizontal="left"/>
    </xf>
    <xf numFmtId="0" fontId="1" fillId="0" borderId="15" xfId="49" applyFont="1" applyFill="1" applyBorder="1" applyAlignment="1">
      <alignment horizontal="center"/>
    </xf>
    <xf numFmtId="187" fontId="1" fillId="0" borderId="15" xfId="51" applyNumberFormat="1" applyFont="1" applyFill="1" applyBorder="1" applyAlignment="1">
      <alignment wrapText="1"/>
    </xf>
    <xf numFmtId="187" fontId="1" fillId="0" borderId="12" xfId="51" applyNumberFormat="1" applyFont="1" applyFill="1" applyBorder="1" applyAlignment="1">
      <alignment wrapText="1"/>
    </xf>
    <xf numFmtId="187" fontId="10" fillId="0" borderId="15" xfId="0" applyNumberFormat="1" applyFont="1" applyFill="1" applyBorder="1" applyAlignment="1">
      <alignment horizontal="left"/>
    </xf>
    <xf numFmtId="0" fontId="10" fillId="2" borderId="15" xfId="0" applyFont="1" applyFill="1" applyBorder="1" applyAlignment="1"/>
    <xf numFmtId="49" fontId="11" fillId="2" borderId="15" xfId="0" applyNumberFormat="1" applyFont="1" applyFill="1" applyBorder="1" applyAlignment="1">
      <alignment vertical="center" wrapText="1"/>
    </xf>
    <xf numFmtId="0" fontId="10" fillId="2" borderId="15" xfId="0" applyFont="1" applyFill="1" applyBorder="1" applyAlignment="1">
      <alignment horizontal="left" vertical="center"/>
    </xf>
    <xf numFmtId="187" fontId="1" fillId="2" borderId="15" xfId="51" applyNumberFormat="1" applyFont="1" applyFill="1" applyBorder="1" applyAlignment="1">
      <alignment wrapText="1"/>
    </xf>
    <xf numFmtId="187" fontId="1" fillId="2" borderId="12" xfId="51" applyNumberFormat="1" applyFont="1" applyFill="1" applyBorder="1" applyAlignment="1">
      <alignment wrapText="1"/>
    </xf>
    <xf numFmtId="177" fontId="1" fillId="2" borderId="15" xfId="49" applyNumberFormat="1" applyFont="1" applyFill="1" applyBorder="1"/>
    <xf numFmtId="177" fontId="1" fillId="2" borderId="12" xfId="49" applyNumberFormat="1" applyFont="1" applyFill="1" applyBorder="1"/>
    <xf numFmtId="43" fontId="1" fillId="0" borderId="0" xfId="50" applyNumberFormat="1" applyFont="1" applyFill="1" applyBorder="1"/>
    <xf numFmtId="176" fontId="1" fillId="0" borderId="0" xfId="49" applyNumberFormat="1" applyFont="1" applyFill="1" applyBorder="1"/>
    <xf numFmtId="43" fontId="1" fillId="10" borderId="0" xfId="50" applyNumberFormat="1" applyFont="1" applyFill="1" applyBorder="1"/>
    <xf numFmtId="0" fontId="1" fillId="2" borderId="15" xfId="49" applyFont="1" applyFill="1" applyBorder="1" applyAlignment="1">
      <alignment horizontal="center" vertical="center" wrapText="1"/>
    </xf>
    <xf numFmtId="0" fontId="1" fillId="2" borderId="15" xfId="51" applyFont="1" applyFill="1" applyBorder="1" applyAlignment="1">
      <alignment wrapText="1"/>
    </xf>
    <xf numFmtId="187" fontId="1" fillId="7" borderId="15" xfId="51" applyNumberFormat="1" applyFont="1" applyFill="1" applyBorder="1" applyAlignment="1">
      <alignment wrapText="1"/>
    </xf>
    <xf numFmtId="187" fontId="1" fillId="7" borderId="12" xfId="51" applyNumberFormat="1" applyFont="1" applyFill="1" applyBorder="1" applyAlignment="1">
      <alignment wrapText="1"/>
    </xf>
    <xf numFmtId="0" fontId="1" fillId="0" borderId="15" xfId="49" applyFont="1" applyFill="1" applyBorder="1" applyAlignment="1">
      <alignment horizontal="center" vertical="center" wrapText="1"/>
    </xf>
    <xf numFmtId="0" fontId="13" fillId="0" borderId="0" xfId="0" applyFont="1" applyFill="1" applyBorder="1" applyAlignment="1"/>
    <xf numFmtId="0" fontId="10" fillId="11" borderId="15" xfId="0" applyFont="1" applyFill="1" applyBorder="1" applyAlignment="1">
      <alignment horizontal="left" vertical="center"/>
    </xf>
    <xf numFmtId="0" fontId="1" fillId="0" borderId="34" xfId="49" applyFont="1" applyFill="1" applyBorder="1" applyAlignment="1">
      <alignment horizontal="center"/>
    </xf>
    <xf numFmtId="0" fontId="10" fillId="2" borderId="35" xfId="0" applyFont="1" applyFill="1" applyBorder="1" applyAlignment="1">
      <alignment horizontal="left" vertical="center"/>
    </xf>
    <xf numFmtId="187" fontId="1" fillId="2" borderId="35" xfId="51" applyNumberFormat="1" applyFont="1" applyFill="1" applyBorder="1" applyAlignment="1">
      <alignment wrapText="1"/>
    </xf>
    <xf numFmtId="0" fontId="1" fillId="0" borderId="35" xfId="49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left" vertical="center"/>
    </xf>
    <xf numFmtId="187" fontId="1" fillId="0" borderId="35" xfId="51" applyNumberFormat="1" applyFont="1" applyFill="1" applyBorder="1" applyAlignment="1">
      <alignment wrapText="1"/>
    </xf>
    <xf numFmtId="187" fontId="1" fillId="0" borderId="36" xfId="51" applyNumberFormat="1" applyFont="1" applyFill="1" applyBorder="1" applyAlignment="1">
      <alignment wrapText="1"/>
    </xf>
    <xf numFmtId="0" fontId="1" fillId="0" borderId="0" xfId="49" applyFont="1" applyFill="1" applyAlignment="1">
      <alignment horizontal="center"/>
    </xf>
    <xf numFmtId="0" fontId="10" fillId="0" borderId="0" xfId="0" applyFont="1" applyFill="1" applyBorder="1" applyAlignment="1">
      <alignment horizontal="left" vertical="center"/>
    </xf>
    <xf numFmtId="187" fontId="1" fillId="0" borderId="0" xfId="51" applyNumberFormat="1" applyFont="1" applyFill="1" applyBorder="1" applyAlignment="1">
      <alignment wrapText="1"/>
    </xf>
    <xf numFmtId="0" fontId="1" fillId="0" borderId="0" xfId="49" applyFont="1" applyFill="1" applyBorder="1" applyAlignment="1">
      <alignment horizontal="center"/>
    </xf>
    <xf numFmtId="0" fontId="14" fillId="11" borderId="0" xfId="0" applyFont="1" applyFill="1" applyBorder="1" applyAlignment="1">
      <alignment horizontal="center"/>
    </xf>
    <xf numFmtId="0" fontId="1" fillId="0" borderId="37" xfId="49" applyFont="1" applyFill="1" applyBorder="1" applyAlignment="1">
      <alignment vertical="center"/>
    </xf>
    <xf numFmtId="0" fontId="1" fillId="0" borderId="38" xfId="49" applyFont="1" applyFill="1" applyBorder="1" applyAlignment="1">
      <alignment horizontal="center" vertical="center" wrapText="1"/>
    </xf>
    <xf numFmtId="177" fontId="1" fillId="0" borderId="38" xfId="49" applyNumberFormat="1" applyFont="1" applyFill="1" applyBorder="1" applyAlignment="1">
      <alignment horizontal="center" vertical="center" wrapText="1"/>
    </xf>
    <xf numFmtId="0" fontId="1" fillId="0" borderId="38" xfId="49" applyFont="1" applyFill="1" applyBorder="1" applyAlignment="1">
      <alignment horizontal="center"/>
    </xf>
    <xf numFmtId="0" fontId="1" fillId="0" borderId="38" xfId="49" applyFont="1" applyFill="1" applyBorder="1" applyAlignment="1"/>
    <xf numFmtId="0" fontId="8" fillId="0" borderId="39" xfId="49" applyFont="1" applyFill="1" applyBorder="1" applyAlignment="1"/>
    <xf numFmtId="0" fontId="1" fillId="0" borderId="40" xfId="49" applyFont="1" applyFill="1" applyBorder="1" applyAlignment="1">
      <alignment vertical="center"/>
    </xf>
    <xf numFmtId="0" fontId="1" fillId="0" borderId="0" xfId="49" applyFont="1" applyFill="1" applyBorder="1" applyAlignment="1">
      <alignment horizontal="center" vertical="center" wrapText="1"/>
    </xf>
    <xf numFmtId="177" fontId="1" fillId="0" borderId="0" xfId="49" applyNumberFormat="1" applyFont="1" applyFill="1" applyBorder="1" applyAlignment="1">
      <alignment horizontal="center" vertical="center" wrapText="1"/>
    </xf>
    <xf numFmtId="0" fontId="15" fillId="0" borderId="0" xfId="49" applyFont="1" applyFill="1" applyBorder="1" applyAlignment="1"/>
    <xf numFmtId="0" fontId="8" fillId="0" borderId="41" xfId="49" applyFont="1" applyFill="1" applyBorder="1" applyAlignment="1"/>
    <xf numFmtId="0" fontId="1" fillId="0" borderId="40" xfId="0" applyFont="1" applyFill="1" applyBorder="1" applyAlignment="1">
      <alignment vertical="center"/>
    </xf>
    <xf numFmtId="0" fontId="1" fillId="0" borderId="0" xfId="50" applyNumberFormat="1" applyFont="1" applyFill="1" applyBorder="1"/>
    <xf numFmtId="0" fontId="1" fillId="12" borderId="0" xfId="49" applyFont="1" applyFill="1" applyBorder="1" applyAlignment="1">
      <alignment horizontal="center"/>
    </xf>
    <xf numFmtId="0" fontId="1" fillId="12" borderId="41" xfId="49" applyFont="1" applyFill="1" applyBorder="1" applyAlignment="1">
      <alignment horizontal="center"/>
    </xf>
    <xf numFmtId="0" fontId="1" fillId="0" borderId="40" xfId="49" applyFont="1" applyFill="1" applyBorder="1" applyAlignment="1">
      <alignment horizontal="center"/>
    </xf>
    <xf numFmtId="0" fontId="1" fillId="0" borderId="41" xfId="49" applyFont="1" applyFill="1" applyBorder="1" applyAlignment="1">
      <alignment horizontal="center"/>
    </xf>
    <xf numFmtId="0" fontId="1" fillId="0" borderId="0" xfId="49" applyFont="1" applyFill="1" applyBorder="1" applyAlignment="1">
      <alignment horizontal="left" vertical="center" wrapText="1"/>
    </xf>
    <xf numFmtId="177" fontId="1" fillId="0" borderId="0" xfId="49" applyNumberFormat="1" applyFont="1" applyFill="1" applyBorder="1" applyAlignment="1">
      <alignment horizontal="left" vertical="center" wrapText="1"/>
    </xf>
    <xf numFmtId="0" fontId="1" fillId="0" borderId="0" xfId="49" applyFont="1" applyFill="1" applyBorder="1" applyAlignment="1">
      <alignment horizontal="left"/>
    </xf>
    <xf numFmtId="0" fontId="15" fillId="0" borderId="0" xfId="49" applyFont="1" applyFill="1" applyBorder="1" applyAlignment="1">
      <alignment horizontal="center"/>
    </xf>
    <xf numFmtId="0" fontId="15" fillId="0" borderId="41" xfId="49" applyFont="1" applyFill="1" applyBorder="1" applyAlignment="1">
      <alignment horizontal="center"/>
    </xf>
    <xf numFmtId="0" fontId="1" fillId="0" borderId="42" xfId="49" applyFont="1" applyFill="1" applyBorder="1" applyAlignment="1">
      <alignment horizontal="left" vertical="center" wrapText="1"/>
    </xf>
    <xf numFmtId="0" fontId="1" fillId="0" borderId="43" xfId="49" applyFont="1" applyFill="1" applyBorder="1" applyAlignment="1">
      <alignment horizontal="center"/>
    </xf>
    <xf numFmtId="0" fontId="2" fillId="0" borderId="42" xfId="49" applyFont="1" applyFill="1" applyBorder="1" applyAlignment="1">
      <alignment horizontal="center" vertical="center" wrapText="1"/>
    </xf>
    <xf numFmtId="177" fontId="2" fillId="0" borderId="42" xfId="49" applyNumberFormat="1" applyFont="1" applyFill="1" applyBorder="1"/>
    <xf numFmtId="178" fontId="2" fillId="0" borderId="42" xfId="49" applyNumberFormat="1" applyFont="1" applyFill="1" applyBorder="1"/>
    <xf numFmtId="10" fontId="2" fillId="0" borderId="42" xfId="49" applyNumberFormat="1" applyFont="1" applyFill="1" applyBorder="1"/>
    <xf numFmtId="10" fontId="15" fillId="0" borderId="42" xfId="49" applyNumberFormat="1" applyFont="1" applyFill="1" applyBorder="1" applyAlignment="1">
      <alignment horizontal="center"/>
    </xf>
    <xf numFmtId="10" fontId="15" fillId="0" borderId="44" xfId="49" applyNumberFormat="1" applyFont="1" applyFill="1" applyBorder="1" applyAlignment="1">
      <alignment horizontal="center"/>
    </xf>
    <xf numFmtId="0" fontId="2" fillId="0" borderId="0" xfId="49" applyFont="1" applyFill="1" applyAlignment="1">
      <alignment horizontal="center" vertical="center" wrapText="1"/>
    </xf>
    <xf numFmtId="177" fontId="2" fillId="0" borderId="0" xfId="49" applyNumberFormat="1" applyFont="1" applyFill="1"/>
    <xf numFmtId="10" fontId="2" fillId="2" borderId="0" xfId="49" applyNumberFormat="1" applyFont="1" applyFill="1"/>
    <xf numFmtId="10" fontId="1" fillId="2" borderId="0" xfId="49" applyNumberFormat="1" applyFont="1" applyFill="1"/>
    <xf numFmtId="182" fontId="1" fillId="0" borderId="0" xfId="49" applyNumberFormat="1" applyFont="1"/>
    <xf numFmtId="176" fontId="1" fillId="0" borderId="0" xfId="49" applyNumberFormat="1" applyFont="1"/>
    <xf numFmtId="0" fontId="2" fillId="2" borderId="0" xfId="49" applyFont="1" applyFill="1" applyAlignment="1">
      <alignment horizontal="center" vertical="center" wrapText="1"/>
    </xf>
    <xf numFmtId="0" fontId="0" fillId="2" borderId="0" xfId="0" applyFont="1" applyFill="1">
      <alignment vertical="center"/>
    </xf>
    <xf numFmtId="0" fontId="16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5" xfId="0" applyFont="1" applyBorder="1">
      <alignment vertical="center"/>
    </xf>
    <xf numFmtId="43" fontId="0" fillId="0" borderId="15" xfId="0" applyNumberFormat="1" applyFont="1" applyBorder="1">
      <alignment vertical="center"/>
    </xf>
    <xf numFmtId="190" fontId="0" fillId="0" borderId="15" xfId="0" applyNumberFormat="1" applyFont="1" applyBorder="1">
      <alignment vertical="center"/>
    </xf>
    <xf numFmtId="0" fontId="1" fillId="0" borderId="15" xfId="0" applyFont="1" applyFill="1" applyBorder="1" applyAlignment="1">
      <alignment horizontal="left" vertical="center"/>
    </xf>
    <xf numFmtId="177" fontId="0" fillId="0" borderId="15" xfId="0" applyNumberFormat="1" applyFont="1" applyBorder="1">
      <alignment vertical="center"/>
    </xf>
    <xf numFmtId="184" fontId="0" fillId="0" borderId="15" xfId="0" applyNumberFormat="1" applyFont="1" applyBorder="1">
      <alignment vertical="center"/>
    </xf>
    <xf numFmtId="187" fontId="0" fillId="0" borderId="15" xfId="0" applyNumberFormat="1" applyFont="1" applyBorder="1">
      <alignment vertical="center"/>
    </xf>
    <xf numFmtId="0" fontId="0" fillId="0" borderId="15" xfId="0" applyFont="1" applyFill="1" applyBorder="1">
      <alignment vertical="center"/>
    </xf>
    <xf numFmtId="0" fontId="0" fillId="2" borderId="15" xfId="0" applyFont="1" applyFill="1" applyBorder="1">
      <alignment vertical="center"/>
    </xf>
    <xf numFmtId="187" fontId="0" fillId="2" borderId="15" xfId="0" applyNumberFormat="1" applyFont="1" applyFill="1" applyBorder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  <cellStyle name="常规 10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29"/>
  <sheetViews>
    <sheetView topLeftCell="A2" workbookViewId="0">
      <selection activeCell="D26" sqref="D26"/>
    </sheetView>
  </sheetViews>
  <sheetFormatPr defaultColWidth="26" defaultRowHeight="13.5"/>
  <sheetData>
    <row r="1" ht="17.25" hidden="1" spans="1:32">
      <c r="A1" s="221" t="s">
        <v>0</v>
      </c>
      <c r="B1" s="221" t="s">
        <v>1</v>
      </c>
      <c r="C1" s="221" t="s">
        <v>2</v>
      </c>
      <c r="D1" s="221" t="s">
        <v>3</v>
      </c>
      <c r="E1" s="221" t="s">
        <v>4</v>
      </c>
      <c r="F1" s="221" t="s">
        <v>5</v>
      </c>
      <c r="G1" s="221" t="s">
        <v>6</v>
      </c>
      <c r="H1" s="221" t="s">
        <v>7</v>
      </c>
      <c r="I1" s="221" t="s">
        <v>8</v>
      </c>
      <c r="J1" s="221" t="s">
        <v>9</v>
      </c>
      <c r="K1" s="221" t="s">
        <v>10</v>
      </c>
      <c r="L1" s="221" t="s">
        <v>11</v>
      </c>
      <c r="M1" s="221" t="s">
        <v>12</v>
      </c>
      <c r="N1" s="221" t="s">
        <v>13</v>
      </c>
      <c r="O1" s="221" t="s">
        <v>14</v>
      </c>
      <c r="P1" s="221" t="s">
        <v>15</v>
      </c>
      <c r="Q1" s="221" t="s">
        <v>16</v>
      </c>
      <c r="R1" s="221" t="s">
        <v>17</v>
      </c>
      <c r="S1" s="221" t="s">
        <v>18</v>
      </c>
      <c r="T1" s="221" t="s">
        <v>19</v>
      </c>
      <c r="U1" s="221" t="s">
        <v>20</v>
      </c>
      <c r="V1" s="221" t="s">
        <v>21</v>
      </c>
      <c r="W1" s="221" t="s">
        <v>22</v>
      </c>
      <c r="X1" s="221" t="s">
        <v>23</v>
      </c>
      <c r="Y1" s="221" t="s">
        <v>24</v>
      </c>
      <c r="Z1" s="221" t="s">
        <v>25</v>
      </c>
      <c r="AA1" s="221" t="s">
        <v>26</v>
      </c>
      <c r="AB1" s="221" t="s">
        <v>27</v>
      </c>
      <c r="AC1" s="221" t="s">
        <v>28</v>
      </c>
      <c r="AD1" s="221" t="s">
        <v>29</v>
      </c>
      <c r="AE1" s="221" t="s">
        <v>30</v>
      </c>
      <c r="AF1" s="221" t="s">
        <v>31</v>
      </c>
    </row>
    <row r="2" spans="1:32">
      <c r="A2" s="221" t="s">
        <v>32</v>
      </c>
      <c r="B2" s="221" t="s">
        <v>33</v>
      </c>
      <c r="C2" s="221" t="s">
        <v>34</v>
      </c>
      <c r="D2" s="221" t="s">
        <v>35</v>
      </c>
      <c r="E2" s="221" t="s">
        <v>36</v>
      </c>
      <c r="F2" s="221" t="s">
        <v>37</v>
      </c>
      <c r="G2" s="221" t="s">
        <v>38</v>
      </c>
      <c r="H2" s="221" t="s">
        <v>39</v>
      </c>
      <c r="I2" s="221" t="s">
        <v>40</v>
      </c>
      <c r="J2" s="221" t="s">
        <v>41</v>
      </c>
      <c r="K2" s="221" t="s">
        <v>42</v>
      </c>
      <c r="L2" s="221" t="s">
        <v>43</v>
      </c>
      <c r="M2" s="221" t="s">
        <v>44</v>
      </c>
      <c r="N2" s="221" t="s">
        <v>45</v>
      </c>
      <c r="O2" s="221" t="s">
        <v>46</v>
      </c>
      <c r="P2" s="221" t="s">
        <v>47</v>
      </c>
      <c r="Q2" s="221" t="s">
        <v>48</v>
      </c>
      <c r="R2" s="221" t="s">
        <v>49</v>
      </c>
      <c r="S2" s="221" t="s">
        <v>50</v>
      </c>
      <c r="T2" s="221" t="s">
        <v>51</v>
      </c>
      <c r="U2" s="221" t="s">
        <v>20</v>
      </c>
      <c r="V2" s="221" t="s">
        <v>52</v>
      </c>
      <c r="W2" s="221" t="s">
        <v>53</v>
      </c>
      <c r="X2" s="221" t="s">
        <v>54</v>
      </c>
      <c r="Y2" s="221" t="s">
        <v>55</v>
      </c>
      <c r="Z2" s="221" t="s">
        <v>56</v>
      </c>
      <c r="AA2" s="221" t="s">
        <v>57</v>
      </c>
      <c r="AB2" s="221" t="s">
        <v>58</v>
      </c>
      <c r="AC2" s="221" t="s">
        <v>59</v>
      </c>
      <c r="AD2" s="221" t="s">
        <v>60</v>
      </c>
      <c r="AE2" s="221" t="s">
        <v>61</v>
      </c>
      <c r="AF2" s="221" t="s">
        <v>62</v>
      </c>
    </row>
    <row r="3" spans="1:32">
      <c r="A3" s="221" t="s">
        <v>32</v>
      </c>
      <c r="B3" s="221" t="s">
        <v>33</v>
      </c>
      <c r="C3" s="221" t="s">
        <v>34</v>
      </c>
      <c r="D3" s="221" t="s">
        <v>35</v>
      </c>
      <c r="E3" s="221" t="s">
        <v>36</v>
      </c>
      <c r="F3" s="221" t="s">
        <v>37</v>
      </c>
      <c r="G3" s="221" t="s">
        <v>38</v>
      </c>
      <c r="H3" s="221" t="s">
        <v>39</v>
      </c>
      <c r="I3" s="221" t="s">
        <v>40</v>
      </c>
      <c r="J3" s="221" t="s">
        <v>41</v>
      </c>
      <c r="K3" s="221" t="s">
        <v>42</v>
      </c>
      <c r="L3" s="221" t="s">
        <v>43</v>
      </c>
      <c r="M3" s="221" t="s">
        <v>44</v>
      </c>
      <c r="N3" s="221" t="s">
        <v>45</v>
      </c>
      <c r="O3" s="221" t="s">
        <v>46</v>
      </c>
      <c r="P3" s="221" t="s">
        <v>47</v>
      </c>
      <c r="Q3" s="221" t="s">
        <v>48</v>
      </c>
      <c r="R3" s="221" t="s">
        <v>49</v>
      </c>
      <c r="S3" s="221" t="s">
        <v>50</v>
      </c>
      <c r="T3" s="221" t="s">
        <v>51</v>
      </c>
      <c r="U3" s="221" t="s">
        <v>20</v>
      </c>
      <c r="V3" s="221" t="s">
        <v>52</v>
      </c>
      <c r="W3" s="221" t="s">
        <v>53</v>
      </c>
      <c r="X3" s="221" t="s">
        <v>54</v>
      </c>
      <c r="Y3" s="221" t="s">
        <v>55</v>
      </c>
      <c r="Z3" s="221" t="s">
        <v>56</v>
      </c>
      <c r="AA3" s="221" t="s">
        <v>57</v>
      </c>
      <c r="AB3" s="221" t="s">
        <v>58</v>
      </c>
      <c r="AC3" s="221" t="s">
        <v>59</v>
      </c>
      <c r="AD3" s="221" t="s">
        <v>60</v>
      </c>
      <c r="AE3" s="221" t="s">
        <v>61</v>
      </c>
      <c r="AF3" s="221" t="s">
        <v>62</v>
      </c>
    </row>
    <row r="4" spans="1:32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66</v>
      </c>
      <c r="J4" t="s">
        <v>67</v>
      </c>
      <c r="K4" t="s">
        <v>71</v>
      </c>
      <c r="L4" t="s">
        <v>72</v>
      </c>
      <c r="M4" t="s">
        <v>73</v>
      </c>
      <c r="N4" t="s">
        <v>66</v>
      </c>
      <c r="O4" t="s">
        <v>73</v>
      </c>
      <c r="P4" t="s">
        <v>66</v>
      </c>
      <c r="Q4" t="s">
        <v>74</v>
      </c>
      <c r="R4" t="s">
        <v>73</v>
      </c>
      <c r="S4" t="s">
        <v>74</v>
      </c>
      <c r="T4" t="s">
        <v>75</v>
      </c>
      <c r="U4" t="s">
        <v>76</v>
      </c>
      <c r="V4" t="s">
        <v>77</v>
      </c>
      <c r="W4" t="s">
        <v>66</v>
      </c>
      <c r="X4" t="s">
        <v>78</v>
      </c>
      <c r="Y4" t="s">
        <v>79</v>
      </c>
      <c r="Z4" t="s">
        <v>80</v>
      </c>
      <c r="AA4" t="s">
        <v>81</v>
      </c>
      <c r="AB4" t="s">
        <v>81</v>
      </c>
      <c r="AC4" t="s">
        <v>82</v>
      </c>
      <c r="AD4" t="s">
        <v>83</v>
      </c>
      <c r="AE4" t="s">
        <v>66</v>
      </c>
      <c r="AF4" t="s">
        <v>84</v>
      </c>
    </row>
    <row r="5" spans="1:32">
      <c r="A5" t="s">
        <v>85</v>
      </c>
      <c r="B5" t="s">
        <v>86</v>
      </c>
      <c r="C5" t="s">
        <v>87</v>
      </c>
      <c r="D5" t="s">
        <v>66</v>
      </c>
      <c r="E5" t="s">
        <v>67</v>
      </c>
      <c r="F5" t="s">
        <v>88</v>
      </c>
      <c r="G5" t="s">
        <v>89</v>
      </c>
      <c r="H5" t="s">
        <v>89</v>
      </c>
      <c r="I5" t="s">
        <v>66</v>
      </c>
      <c r="J5" t="s">
        <v>67</v>
      </c>
      <c r="K5" t="s">
        <v>71</v>
      </c>
      <c r="L5" t="s">
        <v>72</v>
      </c>
      <c r="M5" t="s">
        <v>73</v>
      </c>
      <c r="N5" t="s">
        <v>66</v>
      </c>
      <c r="O5" t="s">
        <v>73</v>
      </c>
      <c r="P5" t="s">
        <v>66</v>
      </c>
      <c r="Q5" t="s">
        <v>90</v>
      </c>
      <c r="R5" t="s">
        <v>73</v>
      </c>
      <c r="S5" t="s">
        <v>90</v>
      </c>
      <c r="T5" t="s">
        <v>91</v>
      </c>
      <c r="U5" t="s">
        <v>92</v>
      </c>
      <c r="V5" t="s">
        <v>93</v>
      </c>
      <c r="W5" t="s">
        <v>66</v>
      </c>
      <c r="X5" t="s">
        <v>78</v>
      </c>
      <c r="Y5" t="s">
        <v>94</v>
      </c>
      <c r="Z5" t="s">
        <v>95</v>
      </c>
      <c r="AA5" t="s">
        <v>96</v>
      </c>
      <c r="AB5" t="s">
        <v>96</v>
      </c>
      <c r="AC5" t="s">
        <v>82</v>
      </c>
      <c r="AD5" t="s">
        <v>83</v>
      </c>
      <c r="AE5" t="s">
        <v>66</v>
      </c>
      <c r="AF5" t="s">
        <v>84</v>
      </c>
    </row>
    <row r="6" spans="1:32">
      <c r="A6" t="s">
        <v>97</v>
      </c>
      <c r="B6" t="s">
        <v>98</v>
      </c>
      <c r="C6" t="s">
        <v>99</v>
      </c>
      <c r="D6" t="s">
        <v>66</v>
      </c>
      <c r="E6" t="s">
        <v>67</v>
      </c>
      <c r="F6" t="s">
        <v>100</v>
      </c>
      <c r="G6" t="s">
        <v>101</v>
      </c>
      <c r="H6" t="s">
        <v>102</v>
      </c>
      <c r="I6" t="s">
        <v>66</v>
      </c>
      <c r="J6" t="s">
        <v>67</v>
      </c>
      <c r="K6" t="s">
        <v>71</v>
      </c>
      <c r="L6" t="s">
        <v>72</v>
      </c>
      <c r="M6" t="s">
        <v>73</v>
      </c>
      <c r="N6" t="s">
        <v>66</v>
      </c>
      <c r="O6" t="s">
        <v>73</v>
      </c>
      <c r="P6" t="s">
        <v>66</v>
      </c>
      <c r="Q6" t="s">
        <v>90</v>
      </c>
      <c r="R6" t="s">
        <v>73</v>
      </c>
      <c r="S6" t="s">
        <v>90</v>
      </c>
      <c r="T6" t="s">
        <v>103</v>
      </c>
      <c r="U6" t="s">
        <v>104</v>
      </c>
      <c r="V6" t="s">
        <v>93</v>
      </c>
      <c r="W6" t="s">
        <v>66</v>
      </c>
      <c r="X6" t="s">
        <v>78</v>
      </c>
      <c r="Y6" t="s">
        <v>105</v>
      </c>
      <c r="Z6" t="s">
        <v>95</v>
      </c>
      <c r="AA6" t="s">
        <v>96</v>
      </c>
      <c r="AB6" t="s">
        <v>96</v>
      </c>
      <c r="AC6" t="s">
        <v>82</v>
      </c>
      <c r="AD6" t="s">
        <v>83</v>
      </c>
      <c r="AE6" t="s">
        <v>66</v>
      </c>
      <c r="AF6" t="s">
        <v>84</v>
      </c>
    </row>
    <row r="7" spans="1:32">
      <c r="A7" t="s">
        <v>106</v>
      </c>
      <c r="B7" t="s">
        <v>107</v>
      </c>
      <c r="C7" t="s">
        <v>108</v>
      </c>
      <c r="D7" t="s">
        <v>108</v>
      </c>
      <c r="E7" t="s">
        <v>109</v>
      </c>
      <c r="F7" t="s">
        <v>110</v>
      </c>
      <c r="G7" t="s">
        <v>111</v>
      </c>
      <c r="H7" t="s">
        <v>66</v>
      </c>
      <c r="I7" t="s">
        <v>66</v>
      </c>
      <c r="J7" t="s">
        <v>67</v>
      </c>
      <c r="K7" t="s">
        <v>71</v>
      </c>
      <c r="L7" t="s">
        <v>72</v>
      </c>
      <c r="M7" t="s">
        <v>73</v>
      </c>
      <c r="N7" t="s">
        <v>66</v>
      </c>
      <c r="O7" t="s">
        <v>73</v>
      </c>
      <c r="P7" t="s">
        <v>66</v>
      </c>
      <c r="Q7" t="s">
        <v>112</v>
      </c>
      <c r="R7" t="s">
        <v>73</v>
      </c>
      <c r="S7" t="s">
        <v>112</v>
      </c>
      <c r="T7" t="s">
        <v>113</v>
      </c>
      <c r="U7" t="s">
        <v>114</v>
      </c>
      <c r="V7" t="s">
        <v>115</v>
      </c>
      <c r="W7" t="s">
        <v>66</v>
      </c>
      <c r="X7" t="s">
        <v>78</v>
      </c>
      <c r="Y7" t="s">
        <v>116</v>
      </c>
      <c r="Z7" t="s">
        <v>117</v>
      </c>
      <c r="AA7" t="s">
        <v>118</v>
      </c>
      <c r="AB7" t="s">
        <v>118</v>
      </c>
      <c r="AC7" t="s">
        <v>82</v>
      </c>
      <c r="AD7" t="s">
        <v>83</v>
      </c>
      <c r="AE7" t="s">
        <v>66</v>
      </c>
      <c r="AF7" t="s">
        <v>119</v>
      </c>
    </row>
    <row r="8" spans="1:32">
      <c r="A8" t="s">
        <v>120</v>
      </c>
      <c r="B8" t="s">
        <v>121</v>
      </c>
      <c r="C8" t="s">
        <v>122</v>
      </c>
      <c r="D8" t="s">
        <v>122</v>
      </c>
      <c r="E8" t="s">
        <v>109</v>
      </c>
      <c r="F8" t="s">
        <v>110</v>
      </c>
      <c r="G8" t="s">
        <v>111</v>
      </c>
      <c r="H8" t="s">
        <v>66</v>
      </c>
      <c r="I8" t="s">
        <v>66</v>
      </c>
      <c r="J8" t="s">
        <v>67</v>
      </c>
      <c r="K8" t="s">
        <v>71</v>
      </c>
      <c r="L8" t="s">
        <v>72</v>
      </c>
      <c r="M8" t="s">
        <v>73</v>
      </c>
      <c r="N8" t="s">
        <v>66</v>
      </c>
      <c r="O8" t="s">
        <v>73</v>
      </c>
      <c r="P8" t="s">
        <v>66</v>
      </c>
      <c r="Q8" t="s">
        <v>123</v>
      </c>
      <c r="R8" t="s">
        <v>73</v>
      </c>
      <c r="S8" t="s">
        <v>123</v>
      </c>
      <c r="T8" t="s">
        <v>124</v>
      </c>
      <c r="U8" t="s">
        <v>125</v>
      </c>
      <c r="V8" t="s">
        <v>126</v>
      </c>
      <c r="W8" t="s">
        <v>66</v>
      </c>
      <c r="X8" t="s">
        <v>78</v>
      </c>
      <c r="Y8" t="s">
        <v>127</v>
      </c>
      <c r="Z8" t="s">
        <v>80</v>
      </c>
      <c r="AA8" t="s">
        <v>128</v>
      </c>
      <c r="AB8" t="s">
        <v>128</v>
      </c>
      <c r="AC8" t="s">
        <v>82</v>
      </c>
      <c r="AD8" t="s">
        <v>83</v>
      </c>
      <c r="AE8" t="s">
        <v>66</v>
      </c>
      <c r="AF8" t="s">
        <v>119</v>
      </c>
    </row>
    <row r="9" spans="1:32">
      <c r="A9" t="s">
        <v>129</v>
      </c>
      <c r="B9" t="s">
        <v>130</v>
      </c>
      <c r="C9" t="s">
        <v>131</v>
      </c>
      <c r="D9" t="s">
        <v>131</v>
      </c>
      <c r="E9" t="s">
        <v>109</v>
      </c>
      <c r="F9" t="s">
        <v>110</v>
      </c>
      <c r="G9" t="s">
        <v>111</v>
      </c>
      <c r="H9" t="s">
        <v>66</v>
      </c>
      <c r="I9" t="s">
        <v>66</v>
      </c>
      <c r="J9" t="s">
        <v>67</v>
      </c>
      <c r="K9" t="s">
        <v>71</v>
      </c>
      <c r="L9" t="s">
        <v>72</v>
      </c>
      <c r="M9" t="s">
        <v>73</v>
      </c>
      <c r="N9" t="s">
        <v>66</v>
      </c>
      <c r="O9" t="s">
        <v>73</v>
      </c>
      <c r="P9" t="s">
        <v>66</v>
      </c>
      <c r="Q9" t="s">
        <v>132</v>
      </c>
      <c r="R9" t="s">
        <v>73</v>
      </c>
      <c r="S9" t="s">
        <v>132</v>
      </c>
      <c r="T9" t="s">
        <v>133</v>
      </c>
      <c r="U9" t="s">
        <v>134</v>
      </c>
      <c r="V9" t="s">
        <v>135</v>
      </c>
      <c r="W9" t="s">
        <v>66</v>
      </c>
      <c r="X9" t="s">
        <v>78</v>
      </c>
      <c r="Y9" t="s">
        <v>136</v>
      </c>
      <c r="Z9" t="s">
        <v>80</v>
      </c>
      <c r="AA9" t="s">
        <v>137</v>
      </c>
      <c r="AB9" t="s">
        <v>137</v>
      </c>
      <c r="AC9" t="s">
        <v>82</v>
      </c>
      <c r="AD9" t="s">
        <v>83</v>
      </c>
      <c r="AE9" t="s">
        <v>66</v>
      </c>
      <c r="AF9" t="s">
        <v>119</v>
      </c>
    </row>
    <row r="10" spans="1:32">
      <c r="A10" t="s">
        <v>138</v>
      </c>
      <c r="B10" t="s">
        <v>130</v>
      </c>
      <c r="C10" t="s">
        <v>139</v>
      </c>
      <c r="D10" t="s">
        <v>139</v>
      </c>
      <c r="E10" t="s">
        <v>109</v>
      </c>
      <c r="F10" t="s">
        <v>110</v>
      </c>
      <c r="G10" t="s">
        <v>111</v>
      </c>
      <c r="H10" t="s">
        <v>66</v>
      </c>
      <c r="I10" t="s">
        <v>66</v>
      </c>
      <c r="J10" t="s">
        <v>67</v>
      </c>
      <c r="K10" t="s">
        <v>71</v>
      </c>
      <c r="L10" t="s">
        <v>72</v>
      </c>
      <c r="M10" t="s">
        <v>73</v>
      </c>
      <c r="N10" t="s">
        <v>66</v>
      </c>
      <c r="O10" t="s">
        <v>73</v>
      </c>
      <c r="P10" t="s">
        <v>66</v>
      </c>
      <c r="Q10" t="s">
        <v>140</v>
      </c>
      <c r="R10" t="s">
        <v>73</v>
      </c>
      <c r="S10" t="s">
        <v>140</v>
      </c>
      <c r="T10" t="s">
        <v>141</v>
      </c>
      <c r="U10" t="s">
        <v>142</v>
      </c>
      <c r="V10" t="s">
        <v>143</v>
      </c>
      <c r="W10" t="s">
        <v>66</v>
      </c>
      <c r="X10" t="s">
        <v>78</v>
      </c>
      <c r="Y10" t="s">
        <v>144</v>
      </c>
      <c r="Z10" t="s">
        <v>80</v>
      </c>
      <c r="AA10" t="s">
        <v>137</v>
      </c>
      <c r="AB10" t="s">
        <v>137</v>
      </c>
      <c r="AC10" t="s">
        <v>82</v>
      </c>
      <c r="AD10" t="s">
        <v>83</v>
      </c>
      <c r="AE10" t="s">
        <v>66</v>
      </c>
      <c r="AF10" t="s">
        <v>119</v>
      </c>
    </row>
    <row r="11" spans="1:32">
      <c r="A11" t="s">
        <v>145</v>
      </c>
      <c r="B11" t="s">
        <v>130</v>
      </c>
      <c r="C11" t="s">
        <v>146</v>
      </c>
      <c r="D11" t="s">
        <v>146</v>
      </c>
      <c r="E11" t="s">
        <v>109</v>
      </c>
      <c r="F11" t="s">
        <v>110</v>
      </c>
      <c r="G11" t="s">
        <v>111</v>
      </c>
      <c r="H11" t="s">
        <v>66</v>
      </c>
      <c r="I11" t="s">
        <v>66</v>
      </c>
      <c r="J11" t="s">
        <v>67</v>
      </c>
      <c r="K11" t="s">
        <v>71</v>
      </c>
      <c r="L11" t="s">
        <v>72</v>
      </c>
      <c r="M11" t="s">
        <v>73</v>
      </c>
      <c r="N11" t="s">
        <v>66</v>
      </c>
      <c r="O11" t="s">
        <v>73</v>
      </c>
      <c r="P11" t="s">
        <v>66</v>
      </c>
      <c r="Q11" t="s">
        <v>140</v>
      </c>
      <c r="R11" t="s">
        <v>73</v>
      </c>
      <c r="S11" t="s">
        <v>140</v>
      </c>
      <c r="T11" t="s">
        <v>147</v>
      </c>
      <c r="U11" t="s">
        <v>148</v>
      </c>
      <c r="V11" t="s">
        <v>143</v>
      </c>
      <c r="W11" t="s">
        <v>66</v>
      </c>
      <c r="X11" t="s">
        <v>78</v>
      </c>
      <c r="Y11" t="s">
        <v>149</v>
      </c>
      <c r="Z11" t="s">
        <v>80</v>
      </c>
      <c r="AA11" t="s">
        <v>137</v>
      </c>
      <c r="AB11" t="s">
        <v>137</v>
      </c>
      <c r="AC11" t="s">
        <v>82</v>
      </c>
      <c r="AD11" t="s">
        <v>83</v>
      </c>
      <c r="AE11" t="s">
        <v>66</v>
      </c>
      <c r="AF11" t="s">
        <v>119</v>
      </c>
    </row>
    <row r="12" spans="1:32">
      <c r="A12" t="s">
        <v>150</v>
      </c>
      <c r="B12" t="s">
        <v>151</v>
      </c>
      <c r="C12" t="s">
        <v>152</v>
      </c>
      <c r="D12" t="s">
        <v>66</v>
      </c>
      <c r="E12" t="s">
        <v>109</v>
      </c>
      <c r="F12" t="s">
        <v>68</v>
      </c>
      <c r="G12" t="s">
        <v>69</v>
      </c>
      <c r="H12" t="s">
        <v>70</v>
      </c>
      <c r="I12" t="s">
        <v>66</v>
      </c>
      <c r="J12" t="s">
        <v>67</v>
      </c>
      <c r="K12" t="s">
        <v>71</v>
      </c>
      <c r="L12" t="s">
        <v>72</v>
      </c>
      <c r="M12" t="s">
        <v>73</v>
      </c>
      <c r="N12" t="s">
        <v>66</v>
      </c>
      <c r="O12" t="s">
        <v>73</v>
      </c>
      <c r="P12" t="s">
        <v>66</v>
      </c>
      <c r="Q12" t="s">
        <v>153</v>
      </c>
      <c r="R12" t="s">
        <v>73</v>
      </c>
      <c r="S12" t="s">
        <v>153</v>
      </c>
      <c r="T12" t="s">
        <v>154</v>
      </c>
      <c r="U12" t="s">
        <v>155</v>
      </c>
      <c r="V12" t="s">
        <v>156</v>
      </c>
      <c r="W12" t="s">
        <v>66</v>
      </c>
      <c r="X12" t="s">
        <v>78</v>
      </c>
      <c r="Y12" t="s">
        <v>157</v>
      </c>
      <c r="Z12" t="s">
        <v>158</v>
      </c>
      <c r="AA12" t="s">
        <v>159</v>
      </c>
      <c r="AB12" t="s">
        <v>159</v>
      </c>
      <c r="AC12" t="s">
        <v>82</v>
      </c>
      <c r="AD12" t="s">
        <v>83</v>
      </c>
      <c r="AE12" t="s">
        <v>66</v>
      </c>
      <c r="AF12" t="s">
        <v>160</v>
      </c>
    </row>
    <row r="13" spans="1:32">
      <c r="A13" t="s">
        <v>161</v>
      </c>
      <c r="B13" t="s">
        <v>162</v>
      </c>
      <c r="C13" t="s">
        <v>163</v>
      </c>
      <c r="D13" t="s">
        <v>66</v>
      </c>
      <c r="E13" t="s">
        <v>67</v>
      </c>
      <c r="F13" t="s">
        <v>164</v>
      </c>
      <c r="G13" t="s">
        <v>165</v>
      </c>
      <c r="H13" t="s">
        <v>166</v>
      </c>
      <c r="I13" t="s">
        <v>66</v>
      </c>
      <c r="J13" t="s">
        <v>67</v>
      </c>
      <c r="K13" t="s">
        <v>71</v>
      </c>
      <c r="L13" t="s">
        <v>72</v>
      </c>
      <c r="M13" t="s">
        <v>73</v>
      </c>
      <c r="N13" t="s">
        <v>66</v>
      </c>
      <c r="O13" t="s">
        <v>73</v>
      </c>
      <c r="P13" t="s">
        <v>66</v>
      </c>
      <c r="Q13" t="s">
        <v>167</v>
      </c>
      <c r="R13" t="s">
        <v>73</v>
      </c>
      <c r="S13" t="s">
        <v>167</v>
      </c>
      <c r="T13" t="s">
        <v>168</v>
      </c>
      <c r="U13" t="s">
        <v>169</v>
      </c>
      <c r="V13" t="s">
        <v>170</v>
      </c>
      <c r="W13" t="s">
        <v>66</v>
      </c>
      <c r="X13" t="s">
        <v>78</v>
      </c>
      <c r="Y13" t="s">
        <v>171</v>
      </c>
      <c r="Z13" t="s">
        <v>158</v>
      </c>
      <c r="AA13" t="s">
        <v>159</v>
      </c>
      <c r="AB13" t="s">
        <v>159</v>
      </c>
      <c r="AC13" t="s">
        <v>82</v>
      </c>
      <c r="AD13" t="s">
        <v>83</v>
      </c>
      <c r="AE13" t="s">
        <v>66</v>
      </c>
      <c r="AF13" t="s">
        <v>160</v>
      </c>
    </row>
    <row r="14" spans="1:32">
      <c r="A14" t="s">
        <v>172</v>
      </c>
      <c r="B14" t="s">
        <v>173</v>
      </c>
      <c r="C14" t="s">
        <v>174</v>
      </c>
      <c r="D14" t="s">
        <v>66</v>
      </c>
      <c r="E14" t="s">
        <v>67</v>
      </c>
      <c r="F14" t="s">
        <v>175</v>
      </c>
      <c r="G14" t="s">
        <v>176</v>
      </c>
      <c r="H14" t="s">
        <v>66</v>
      </c>
      <c r="I14" t="s">
        <v>66</v>
      </c>
      <c r="J14" t="s">
        <v>67</v>
      </c>
      <c r="K14" t="s">
        <v>71</v>
      </c>
      <c r="L14" t="s">
        <v>72</v>
      </c>
      <c r="M14" t="s">
        <v>73</v>
      </c>
      <c r="N14" t="s">
        <v>66</v>
      </c>
      <c r="O14" t="s">
        <v>73</v>
      </c>
      <c r="P14" t="s">
        <v>66</v>
      </c>
      <c r="Q14" t="s">
        <v>177</v>
      </c>
      <c r="R14" t="s">
        <v>73</v>
      </c>
      <c r="S14" t="s">
        <v>177</v>
      </c>
      <c r="T14" t="s">
        <v>178</v>
      </c>
      <c r="U14" t="s">
        <v>179</v>
      </c>
      <c r="V14" t="s">
        <v>180</v>
      </c>
      <c r="W14" t="s">
        <v>66</v>
      </c>
      <c r="X14" t="s">
        <v>78</v>
      </c>
      <c r="Y14" t="s">
        <v>181</v>
      </c>
      <c r="Z14" t="s">
        <v>182</v>
      </c>
      <c r="AA14" t="s">
        <v>159</v>
      </c>
      <c r="AB14" t="s">
        <v>159</v>
      </c>
      <c r="AC14" t="s">
        <v>82</v>
      </c>
      <c r="AD14" t="s">
        <v>83</v>
      </c>
      <c r="AE14" t="s">
        <v>66</v>
      </c>
      <c r="AF14" t="s">
        <v>160</v>
      </c>
    </row>
    <row r="15" spans="1:32">
      <c r="A15" t="s">
        <v>183</v>
      </c>
      <c r="B15" t="s">
        <v>184</v>
      </c>
      <c r="C15" t="s">
        <v>185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66</v>
      </c>
      <c r="J15" t="s">
        <v>67</v>
      </c>
      <c r="K15" t="s">
        <v>71</v>
      </c>
      <c r="L15" t="s">
        <v>72</v>
      </c>
      <c r="M15" t="s">
        <v>73</v>
      </c>
      <c r="N15" t="s">
        <v>66</v>
      </c>
      <c r="O15" t="s">
        <v>73</v>
      </c>
      <c r="P15" t="s">
        <v>66</v>
      </c>
      <c r="Q15" t="s">
        <v>186</v>
      </c>
      <c r="R15" t="s">
        <v>73</v>
      </c>
      <c r="S15" t="s">
        <v>186</v>
      </c>
      <c r="T15" t="s">
        <v>187</v>
      </c>
      <c r="U15" t="s">
        <v>188</v>
      </c>
      <c r="V15" t="s">
        <v>189</v>
      </c>
      <c r="W15" t="s">
        <v>66</v>
      </c>
      <c r="X15" t="s">
        <v>78</v>
      </c>
      <c r="Y15" t="s">
        <v>190</v>
      </c>
      <c r="Z15" t="s">
        <v>117</v>
      </c>
      <c r="AA15" t="s">
        <v>191</v>
      </c>
      <c r="AB15" t="s">
        <v>191</v>
      </c>
      <c r="AC15" t="s">
        <v>82</v>
      </c>
      <c r="AD15" t="s">
        <v>83</v>
      </c>
      <c r="AE15" t="s">
        <v>66</v>
      </c>
      <c r="AF15" t="s">
        <v>192</v>
      </c>
    </row>
    <row r="16" spans="1:32">
      <c r="A16" t="s">
        <v>193</v>
      </c>
      <c r="B16" t="s">
        <v>162</v>
      </c>
      <c r="C16" t="s">
        <v>194</v>
      </c>
      <c r="D16" t="s">
        <v>66</v>
      </c>
      <c r="E16" t="s">
        <v>67</v>
      </c>
      <c r="F16" t="s">
        <v>164</v>
      </c>
      <c r="G16" t="s">
        <v>165</v>
      </c>
      <c r="H16" t="s">
        <v>166</v>
      </c>
      <c r="I16" t="s">
        <v>66</v>
      </c>
      <c r="J16" t="s">
        <v>67</v>
      </c>
      <c r="K16" t="s">
        <v>71</v>
      </c>
      <c r="L16" t="s">
        <v>72</v>
      </c>
      <c r="M16" t="s">
        <v>73</v>
      </c>
      <c r="N16" t="s">
        <v>66</v>
      </c>
      <c r="O16" t="s">
        <v>73</v>
      </c>
      <c r="P16" t="s">
        <v>66</v>
      </c>
      <c r="Q16" t="s">
        <v>195</v>
      </c>
      <c r="R16" t="s">
        <v>73</v>
      </c>
      <c r="S16" t="s">
        <v>195</v>
      </c>
      <c r="T16" t="s">
        <v>196</v>
      </c>
      <c r="U16" t="s">
        <v>197</v>
      </c>
      <c r="V16" t="s">
        <v>198</v>
      </c>
      <c r="W16" t="s">
        <v>66</v>
      </c>
      <c r="X16" t="s">
        <v>78</v>
      </c>
      <c r="Y16" t="s">
        <v>199</v>
      </c>
      <c r="Z16" t="s">
        <v>158</v>
      </c>
      <c r="AA16" t="s">
        <v>200</v>
      </c>
      <c r="AB16" t="s">
        <v>200</v>
      </c>
      <c r="AC16" t="s">
        <v>82</v>
      </c>
      <c r="AD16" t="s">
        <v>83</v>
      </c>
      <c r="AE16" t="s">
        <v>66</v>
      </c>
      <c r="AF16" t="s">
        <v>201</v>
      </c>
    </row>
    <row r="17" spans="1:32">
      <c r="A17" t="s">
        <v>202</v>
      </c>
      <c r="B17" t="s">
        <v>162</v>
      </c>
      <c r="C17" t="s">
        <v>203</v>
      </c>
      <c r="D17" t="s">
        <v>66</v>
      </c>
      <c r="E17" t="s">
        <v>67</v>
      </c>
      <c r="F17" t="s">
        <v>164</v>
      </c>
      <c r="G17" t="s">
        <v>165</v>
      </c>
      <c r="H17" t="s">
        <v>166</v>
      </c>
      <c r="I17" t="s">
        <v>66</v>
      </c>
      <c r="J17" t="s">
        <v>67</v>
      </c>
      <c r="K17" t="s">
        <v>71</v>
      </c>
      <c r="L17" t="s">
        <v>72</v>
      </c>
      <c r="M17" t="s">
        <v>73</v>
      </c>
      <c r="N17" t="s">
        <v>66</v>
      </c>
      <c r="O17" t="s">
        <v>73</v>
      </c>
      <c r="P17" t="s">
        <v>66</v>
      </c>
      <c r="Q17" t="s">
        <v>204</v>
      </c>
      <c r="R17" t="s">
        <v>73</v>
      </c>
      <c r="S17" t="s">
        <v>204</v>
      </c>
      <c r="T17" t="s">
        <v>205</v>
      </c>
      <c r="U17" t="s">
        <v>206</v>
      </c>
      <c r="V17" t="s">
        <v>207</v>
      </c>
      <c r="W17" t="s">
        <v>66</v>
      </c>
      <c r="X17" t="s">
        <v>78</v>
      </c>
      <c r="Y17" t="s">
        <v>208</v>
      </c>
      <c r="Z17" t="s">
        <v>158</v>
      </c>
      <c r="AA17" t="s">
        <v>209</v>
      </c>
      <c r="AB17" t="s">
        <v>209</v>
      </c>
      <c r="AC17" t="s">
        <v>82</v>
      </c>
      <c r="AD17" t="s">
        <v>83</v>
      </c>
      <c r="AE17" t="s">
        <v>66</v>
      </c>
      <c r="AF17" t="s">
        <v>201</v>
      </c>
    </row>
    <row r="18" spans="1:32">
      <c r="A18" t="s">
        <v>210</v>
      </c>
      <c r="B18" t="s">
        <v>211</v>
      </c>
      <c r="C18" t="s">
        <v>212</v>
      </c>
      <c r="D18" t="s">
        <v>66</v>
      </c>
      <c r="E18" t="s">
        <v>213</v>
      </c>
      <c r="F18" t="s">
        <v>68</v>
      </c>
      <c r="G18" t="s">
        <v>69</v>
      </c>
      <c r="H18" t="s">
        <v>70</v>
      </c>
      <c r="I18" t="s">
        <v>66</v>
      </c>
      <c r="J18" t="s">
        <v>67</v>
      </c>
      <c r="K18" t="s">
        <v>71</v>
      </c>
      <c r="L18" t="s">
        <v>72</v>
      </c>
      <c r="M18" t="s">
        <v>73</v>
      </c>
      <c r="N18" t="s">
        <v>66</v>
      </c>
      <c r="O18" t="s">
        <v>73</v>
      </c>
      <c r="P18" t="s">
        <v>66</v>
      </c>
      <c r="Q18" t="s">
        <v>214</v>
      </c>
      <c r="R18" t="s">
        <v>73</v>
      </c>
      <c r="S18" t="s">
        <v>214</v>
      </c>
      <c r="T18" t="s">
        <v>215</v>
      </c>
      <c r="U18" t="s">
        <v>216</v>
      </c>
      <c r="V18" t="s">
        <v>217</v>
      </c>
      <c r="W18" t="s">
        <v>66</v>
      </c>
      <c r="X18" t="s">
        <v>78</v>
      </c>
      <c r="Y18" t="s">
        <v>218</v>
      </c>
      <c r="Z18" t="s">
        <v>158</v>
      </c>
      <c r="AA18" t="s">
        <v>219</v>
      </c>
      <c r="AB18" t="s">
        <v>219</v>
      </c>
      <c r="AC18" t="s">
        <v>82</v>
      </c>
      <c r="AD18" t="s">
        <v>83</v>
      </c>
      <c r="AE18" t="s">
        <v>66</v>
      </c>
      <c r="AF18" t="s">
        <v>201</v>
      </c>
    </row>
    <row r="19" spans="1:32">
      <c r="A19" t="s">
        <v>220</v>
      </c>
      <c r="B19" t="s">
        <v>98</v>
      </c>
      <c r="C19" t="s">
        <v>221</v>
      </c>
      <c r="D19" t="s">
        <v>221</v>
      </c>
      <c r="E19" t="s">
        <v>66</v>
      </c>
      <c r="F19" t="s">
        <v>100</v>
      </c>
      <c r="G19" t="s">
        <v>101</v>
      </c>
      <c r="H19" t="s">
        <v>102</v>
      </c>
      <c r="I19" t="s">
        <v>66</v>
      </c>
      <c r="J19" t="s">
        <v>67</v>
      </c>
      <c r="K19" t="s">
        <v>71</v>
      </c>
      <c r="L19" t="s">
        <v>72</v>
      </c>
      <c r="M19" t="s">
        <v>73</v>
      </c>
      <c r="N19" t="s">
        <v>66</v>
      </c>
      <c r="O19" t="s">
        <v>73</v>
      </c>
      <c r="P19" t="s">
        <v>66</v>
      </c>
      <c r="Q19" t="s">
        <v>222</v>
      </c>
      <c r="R19" t="s">
        <v>73</v>
      </c>
      <c r="S19" t="s">
        <v>222</v>
      </c>
      <c r="T19" t="s">
        <v>223</v>
      </c>
      <c r="U19" t="s">
        <v>224</v>
      </c>
      <c r="V19" t="s">
        <v>225</v>
      </c>
      <c r="W19" t="s">
        <v>66</v>
      </c>
      <c r="X19" t="s">
        <v>78</v>
      </c>
      <c r="Y19" t="s">
        <v>226</v>
      </c>
      <c r="Z19" t="s">
        <v>95</v>
      </c>
      <c r="AA19" t="s">
        <v>219</v>
      </c>
      <c r="AB19" t="s">
        <v>219</v>
      </c>
      <c r="AC19" t="s">
        <v>82</v>
      </c>
      <c r="AD19" t="s">
        <v>83</v>
      </c>
      <c r="AE19" t="s">
        <v>66</v>
      </c>
      <c r="AF19" t="s">
        <v>201</v>
      </c>
    </row>
    <row r="20" spans="1:32">
      <c r="A20" t="s">
        <v>227</v>
      </c>
      <c r="B20" t="s">
        <v>86</v>
      </c>
      <c r="C20" t="s">
        <v>228</v>
      </c>
      <c r="D20" t="s">
        <v>228</v>
      </c>
      <c r="E20" t="s">
        <v>66</v>
      </c>
      <c r="F20" t="s">
        <v>88</v>
      </c>
      <c r="G20" t="s">
        <v>89</v>
      </c>
      <c r="H20" t="s">
        <v>89</v>
      </c>
      <c r="I20" t="s">
        <v>66</v>
      </c>
      <c r="J20" t="s">
        <v>67</v>
      </c>
      <c r="K20" t="s">
        <v>71</v>
      </c>
      <c r="L20" t="s">
        <v>72</v>
      </c>
      <c r="M20" t="s">
        <v>73</v>
      </c>
      <c r="N20" t="s">
        <v>66</v>
      </c>
      <c r="O20" t="s">
        <v>73</v>
      </c>
      <c r="P20" t="s">
        <v>66</v>
      </c>
      <c r="Q20" t="s">
        <v>222</v>
      </c>
      <c r="R20" t="s">
        <v>73</v>
      </c>
      <c r="S20" t="s">
        <v>222</v>
      </c>
      <c r="T20" t="s">
        <v>229</v>
      </c>
      <c r="U20" t="s">
        <v>230</v>
      </c>
      <c r="V20" t="s">
        <v>225</v>
      </c>
      <c r="W20" t="s">
        <v>66</v>
      </c>
      <c r="X20" t="s">
        <v>78</v>
      </c>
      <c r="Y20" t="s">
        <v>231</v>
      </c>
      <c r="Z20" t="s">
        <v>95</v>
      </c>
      <c r="AA20" t="s">
        <v>219</v>
      </c>
      <c r="AB20" t="s">
        <v>219</v>
      </c>
      <c r="AC20" t="s">
        <v>82</v>
      </c>
      <c r="AD20" t="s">
        <v>83</v>
      </c>
      <c r="AE20" t="s">
        <v>66</v>
      </c>
      <c r="AF20" t="s">
        <v>201</v>
      </c>
    </row>
    <row r="21" spans="1:32">
      <c r="A21" t="s">
        <v>232</v>
      </c>
      <c r="B21" t="s">
        <v>233</v>
      </c>
      <c r="C21" t="s">
        <v>234</v>
      </c>
      <c r="D21" t="s">
        <v>66</v>
      </c>
      <c r="E21" t="s">
        <v>66</v>
      </c>
      <c r="F21" t="s">
        <v>100</v>
      </c>
      <c r="G21" t="s">
        <v>101</v>
      </c>
      <c r="H21" t="s">
        <v>102</v>
      </c>
      <c r="I21" t="s">
        <v>66</v>
      </c>
      <c r="J21" t="s">
        <v>67</v>
      </c>
      <c r="K21" t="s">
        <v>71</v>
      </c>
      <c r="L21" t="s">
        <v>72</v>
      </c>
      <c r="M21" t="s">
        <v>73</v>
      </c>
      <c r="N21" t="s">
        <v>66</v>
      </c>
      <c r="O21" t="s">
        <v>73</v>
      </c>
      <c r="P21" t="s">
        <v>66</v>
      </c>
      <c r="Q21" t="s">
        <v>235</v>
      </c>
      <c r="R21" t="s">
        <v>73</v>
      </c>
      <c r="S21" t="s">
        <v>235</v>
      </c>
      <c r="T21" t="s">
        <v>236</v>
      </c>
      <c r="U21" t="s">
        <v>237</v>
      </c>
      <c r="V21" t="s">
        <v>238</v>
      </c>
      <c r="W21" t="s">
        <v>66</v>
      </c>
      <c r="X21" t="s">
        <v>78</v>
      </c>
      <c r="Y21" t="s">
        <v>239</v>
      </c>
      <c r="Z21" t="s">
        <v>95</v>
      </c>
      <c r="AA21" t="s">
        <v>240</v>
      </c>
      <c r="AB21" t="s">
        <v>240</v>
      </c>
      <c r="AC21" t="s">
        <v>82</v>
      </c>
      <c r="AD21" t="s">
        <v>83</v>
      </c>
      <c r="AE21" t="s">
        <v>66</v>
      </c>
      <c r="AF21" t="s">
        <v>201</v>
      </c>
    </row>
    <row r="22" spans="1:32">
      <c r="A22" t="s">
        <v>241</v>
      </c>
      <c r="B22" t="s">
        <v>242</v>
      </c>
      <c r="C22" t="s">
        <v>243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66</v>
      </c>
      <c r="J22" t="s">
        <v>67</v>
      </c>
      <c r="K22" t="s">
        <v>71</v>
      </c>
      <c r="L22" t="s">
        <v>72</v>
      </c>
      <c r="M22" t="s">
        <v>73</v>
      </c>
      <c r="N22" t="s">
        <v>66</v>
      </c>
      <c r="O22" t="s">
        <v>73</v>
      </c>
      <c r="P22" t="s">
        <v>66</v>
      </c>
      <c r="Q22" t="s">
        <v>244</v>
      </c>
      <c r="R22" t="s">
        <v>73</v>
      </c>
      <c r="S22" t="s">
        <v>244</v>
      </c>
      <c r="T22" t="s">
        <v>245</v>
      </c>
      <c r="U22" t="s">
        <v>246</v>
      </c>
      <c r="V22" t="s">
        <v>247</v>
      </c>
      <c r="W22" t="s">
        <v>66</v>
      </c>
      <c r="X22" t="s">
        <v>78</v>
      </c>
      <c r="Y22" t="s">
        <v>248</v>
      </c>
      <c r="Z22" t="s">
        <v>158</v>
      </c>
      <c r="AA22" t="s">
        <v>249</v>
      </c>
      <c r="AB22" t="s">
        <v>249</v>
      </c>
      <c r="AC22" t="s">
        <v>82</v>
      </c>
      <c r="AD22" t="s">
        <v>83</v>
      </c>
      <c r="AE22" t="s">
        <v>66</v>
      </c>
      <c r="AF22" t="s">
        <v>201</v>
      </c>
    </row>
    <row r="23" spans="1:32">
      <c r="A23" t="s">
        <v>250</v>
      </c>
      <c r="B23" t="s">
        <v>251</v>
      </c>
      <c r="C23" t="s">
        <v>252</v>
      </c>
      <c r="D23" t="s">
        <v>66</v>
      </c>
      <c r="E23" t="s">
        <v>67</v>
      </c>
      <c r="F23" t="s">
        <v>253</v>
      </c>
      <c r="G23" t="s">
        <v>254</v>
      </c>
      <c r="H23" t="s">
        <v>66</v>
      </c>
      <c r="I23" t="s">
        <v>66</v>
      </c>
      <c r="J23" t="s">
        <v>67</v>
      </c>
      <c r="K23" t="s">
        <v>71</v>
      </c>
      <c r="L23" t="s">
        <v>72</v>
      </c>
      <c r="M23" t="s">
        <v>73</v>
      </c>
      <c r="N23" t="s">
        <v>66</v>
      </c>
      <c r="O23" t="s">
        <v>73</v>
      </c>
      <c r="P23" t="s">
        <v>66</v>
      </c>
      <c r="Q23" t="s">
        <v>255</v>
      </c>
      <c r="R23" t="s">
        <v>73</v>
      </c>
      <c r="S23" t="s">
        <v>255</v>
      </c>
      <c r="T23" t="s">
        <v>256</v>
      </c>
      <c r="U23" t="s">
        <v>257</v>
      </c>
      <c r="V23" t="s">
        <v>258</v>
      </c>
      <c r="W23" t="s">
        <v>66</v>
      </c>
      <c r="X23" t="s">
        <v>78</v>
      </c>
      <c r="Y23" t="s">
        <v>259</v>
      </c>
      <c r="Z23" t="s">
        <v>95</v>
      </c>
      <c r="AA23" t="s">
        <v>260</v>
      </c>
      <c r="AB23" t="s">
        <v>260</v>
      </c>
      <c r="AC23" t="s">
        <v>82</v>
      </c>
      <c r="AD23" t="s">
        <v>83</v>
      </c>
      <c r="AE23" t="s">
        <v>66</v>
      </c>
      <c r="AF23" t="s">
        <v>261</v>
      </c>
    </row>
    <row r="24" spans="1:32">
      <c r="A24" t="s">
        <v>262</v>
      </c>
      <c r="B24" t="s">
        <v>98</v>
      </c>
      <c r="C24" t="s">
        <v>263</v>
      </c>
      <c r="D24" t="s">
        <v>263</v>
      </c>
      <c r="E24" t="s">
        <v>66</v>
      </c>
      <c r="F24" t="s">
        <v>100</v>
      </c>
      <c r="G24" t="s">
        <v>101</v>
      </c>
      <c r="H24" t="s">
        <v>102</v>
      </c>
      <c r="I24" t="s">
        <v>66</v>
      </c>
      <c r="J24" t="s">
        <v>67</v>
      </c>
      <c r="K24" t="s">
        <v>71</v>
      </c>
      <c r="L24" t="s">
        <v>72</v>
      </c>
      <c r="M24" t="s">
        <v>73</v>
      </c>
      <c r="N24" t="s">
        <v>66</v>
      </c>
      <c r="O24" t="s">
        <v>73</v>
      </c>
      <c r="P24" t="s">
        <v>66</v>
      </c>
      <c r="Q24" t="s">
        <v>264</v>
      </c>
      <c r="R24" t="s">
        <v>73</v>
      </c>
      <c r="S24" t="s">
        <v>264</v>
      </c>
      <c r="T24" t="s">
        <v>265</v>
      </c>
      <c r="U24" t="s">
        <v>266</v>
      </c>
      <c r="V24" t="s">
        <v>267</v>
      </c>
      <c r="W24" t="s">
        <v>66</v>
      </c>
      <c r="X24" t="s">
        <v>78</v>
      </c>
      <c r="Y24" t="s">
        <v>268</v>
      </c>
      <c r="Z24" t="s">
        <v>95</v>
      </c>
      <c r="AA24" t="s">
        <v>269</v>
      </c>
      <c r="AB24" t="s">
        <v>269</v>
      </c>
      <c r="AC24" t="s">
        <v>82</v>
      </c>
      <c r="AD24" t="s">
        <v>83</v>
      </c>
      <c r="AE24" t="s">
        <v>66</v>
      </c>
      <c r="AF24" t="s">
        <v>261</v>
      </c>
    </row>
    <row r="25" spans="1:32">
      <c r="A25" t="s">
        <v>270</v>
      </c>
      <c r="B25" t="s">
        <v>173</v>
      </c>
      <c r="C25" t="s">
        <v>271</v>
      </c>
      <c r="D25" t="s">
        <v>66</v>
      </c>
      <c r="E25" t="s">
        <v>67</v>
      </c>
      <c r="F25" t="s">
        <v>175</v>
      </c>
      <c r="G25" t="s">
        <v>176</v>
      </c>
      <c r="H25" t="s">
        <v>66</v>
      </c>
      <c r="I25" t="s">
        <v>66</v>
      </c>
      <c r="J25" t="s">
        <v>67</v>
      </c>
      <c r="K25" t="s">
        <v>71</v>
      </c>
      <c r="L25" t="s">
        <v>72</v>
      </c>
      <c r="M25" t="s">
        <v>73</v>
      </c>
      <c r="N25" t="s">
        <v>66</v>
      </c>
      <c r="O25" t="s">
        <v>73</v>
      </c>
      <c r="P25" t="s">
        <v>66</v>
      </c>
      <c r="Q25" t="s">
        <v>272</v>
      </c>
      <c r="R25" t="s">
        <v>73</v>
      </c>
      <c r="S25" t="s">
        <v>272</v>
      </c>
      <c r="T25" t="s">
        <v>273</v>
      </c>
      <c r="U25" t="s">
        <v>274</v>
      </c>
      <c r="V25" t="s">
        <v>275</v>
      </c>
      <c r="W25" t="s">
        <v>66</v>
      </c>
      <c r="X25" t="s">
        <v>78</v>
      </c>
      <c r="Y25" t="s">
        <v>276</v>
      </c>
      <c r="Z25" t="s">
        <v>182</v>
      </c>
      <c r="AA25" t="s">
        <v>277</v>
      </c>
      <c r="AB25" t="s">
        <v>277</v>
      </c>
      <c r="AC25" t="s">
        <v>82</v>
      </c>
      <c r="AD25" t="s">
        <v>83</v>
      </c>
      <c r="AE25" t="s">
        <v>66</v>
      </c>
      <c r="AF25" t="s">
        <v>278</v>
      </c>
    </row>
    <row r="26" spans="1:32">
      <c r="A26" t="s">
        <v>279</v>
      </c>
      <c r="B26" t="s">
        <v>86</v>
      </c>
      <c r="C26" t="s">
        <v>280</v>
      </c>
      <c r="D26" t="s">
        <v>66</v>
      </c>
      <c r="E26" t="s">
        <v>67</v>
      </c>
      <c r="F26" t="s">
        <v>253</v>
      </c>
      <c r="G26" t="s">
        <v>254</v>
      </c>
      <c r="H26" t="s">
        <v>66</v>
      </c>
      <c r="I26" t="s">
        <v>66</v>
      </c>
      <c r="J26" t="s">
        <v>67</v>
      </c>
      <c r="K26" t="s">
        <v>281</v>
      </c>
      <c r="L26" t="s">
        <v>72</v>
      </c>
      <c r="M26" t="s">
        <v>73</v>
      </c>
      <c r="N26" t="s">
        <v>66</v>
      </c>
      <c r="O26" t="s">
        <v>73</v>
      </c>
      <c r="P26" t="s">
        <v>66</v>
      </c>
      <c r="Q26" t="s">
        <v>282</v>
      </c>
      <c r="R26" t="s">
        <v>73</v>
      </c>
      <c r="S26" t="s">
        <v>282</v>
      </c>
      <c r="T26" t="s">
        <v>283</v>
      </c>
      <c r="U26" t="s">
        <v>284</v>
      </c>
      <c r="V26" t="s">
        <v>285</v>
      </c>
      <c r="W26" t="s">
        <v>66</v>
      </c>
      <c r="X26" t="s">
        <v>78</v>
      </c>
      <c r="Y26" t="s">
        <v>286</v>
      </c>
      <c r="Z26" t="s">
        <v>287</v>
      </c>
      <c r="AA26" t="s">
        <v>288</v>
      </c>
      <c r="AB26" t="s">
        <v>288</v>
      </c>
      <c r="AC26" t="s">
        <v>82</v>
      </c>
      <c r="AD26" t="s">
        <v>83</v>
      </c>
      <c r="AE26" t="s">
        <v>66</v>
      </c>
      <c r="AF26" t="s">
        <v>278</v>
      </c>
    </row>
    <row r="27" spans="1:32">
      <c r="A27" t="s">
        <v>289</v>
      </c>
      <c r="B27" t="s">
        <v>107</v>
      </c>
      <c r="C27" t="s">
        <v>290</v>
      </c>
      <c r="D27" t="s">
        <v>290</v>
      </c>
      <c r="E27" t="s">
        <v>109</v>
      </c>
      <c r="F27" t="s">
        <v>110</v>
      </c>
      <c r="G27" t="s">
        <v>111</v>
      </c>
      <c r="H27" t="s">
        <v>66</v>
      </c>
      <c r="I27" t="s">
        <v>66</v>
      </c>
      <c r="J27" t="s">
        <v>67</v>
      </c>
      <c r="K27" t="s">
        <v>71</v>
      </c>
      <c r="L27" t="s">
        <v>72</v>
      </c>
      <c r="M27" t="s">
        <v>73</v>
      </c>
      <c r="N27" t="s">
        <v>66</v>
      </c>
      <c r="O27" t="s">
        <v>73</v>
      </c>
      <c r="P27" t="s">
        <v>66</v>
      </c>
      <c r="Q27" t="s">
        <v>291</v>
      </c>
      <c r="R27" t="s">
        <v>73</v>
      </c>
      <c r="S27" t="s">
        <v>291</v>
      </c>
      <c r="T27" t="s">
        <v>292</v>
      </c>
      <c r="U27" t="s">
        <v>293</v>
      </c>
      <c r="V27" t="s">
        <v>294</v>
      </c>
      <c r="W27" t="s">
        <v>66</v>
      </c>
      <c r="X27" t="s">
        <v>78</v>
      </c>
      <c r="Y27" t="s">
        <v>295</v>
      </c>
      <c r="Z27" t="s">
        <v>117</v>
      </c>
      <c r="AA27" t="s">
        <v>296</v>
      </c>
      <c r="AB27" t="s">
        <v>296</v>
      </c>
      <c r="AC27" t="s">
        <v>82</v>
      </c>
      <c r="AD27" t="s">
        <v>83</v>
      </c>
      <c r="AE27" t="s">
        <v>66</v>
      </c>
      <c r="AF27" t="s">
        <v>278</v>
      </c>
    </row>
    <row r="28" spans="1:32">
      <c r="A28" t="s">
        <v>297</v>
      </c>
      <c r="B28" t="s">
        <v>298</v>
      </c>
      <c r="C28" t="s">
        <v>299</v>
      </c>
      <c r="D28" t="s">
        <v>299</v>
      </c>
      <c r="E28" t="s">
        <v>66</v>
      </c>
      <c r="F28" t="s">
        <v>88</v>
      </c>
      <c r="G28" t="s">
        <v>89</v>
      </c>
      <c r="H28" t="s">
        <v>89</v>
      </c>
      <c r="I28" t="s">
        <v>66</v>
      </c>
      <c r="J28" t="s">
        <v>66</v>
      </c>
      <c r="K28" t="s">
        <v>71</v>
      </c>
      <c r="L28" t="s">
        <v>72</v>
      </c>
      <c r="M28" t="s">
        <v>73</v>
      </c>
      <c r="N28" t="s">
        <v>66</v>
      </c>
      <c r="O28" t="s">
        <v>73</v>
      </c>
      <c r="P28" t="s">
        <v>66</v>
      </c>
      <c r="Q28" t="s">
        <v>300</v>
      </c>
      <c r="R28" t="s">
        <v>73</v>
      </c>
      <c r="S28" t="s">
        <v>300</v>
      </c>
      <c r="T28" t="s">
        <v>301</v>
      </c>
      <c r="U28" t="s">
        <v>302</v>
      </c>
      <c r="V28" t="s">
        <v>303</v>
      </c>
      <c r="W28" t="s">
        <v>66</v>
      </c>
      <c r="X28" t="s">
        <v>78</v>
      </c>
      <c r="Y28" t="s">
        <v>304</v>
      </c>
      <c r="Z28" t="s">
        <v>95</v>
      </c>
      <c r="AA28" t="s">
        <v>305</v>
      </c>
      <c r="AB28" t="s">
        <v>305</v>
      </c>
      <c r="AC28" t="s">
        <v>82</v>
      </c>
      <c r="AD28" t="s">
        <v>83</v>
      </c>
      <c r="AE28" t="s">
        <v>66</v>
      </c>
      <c r="AF28" t="s">
        <v>306</v>
      </c>
    </row>
    <row r="29" spans="1:32">
      <c r="A29" t="s">
        <v>307</v>
      </c>
      <c r="B29" t="s">
        <v>308</v>
      </c>
      <c r="C29" t="s">
        <v>309</v>
      </c>
      <c r="D29" t="s">
        <v>309</v>
      </c>
      <c r="E29" t="s">
        <v>109</v>
      </c>
      <c r="F29" t="s">
        <v>68</v>
      </c>
      <c r="G29" t="s">
        <v>69</v>
      </c>
      <c r="H29" t="s">
        <v>70</v>
      </c>
      <c r="I29" t="s">
        <v>66</v>
      </c>
      <c r="J29" t="s">
        <v>67</v>
      </c>
      <c r="K29" t="s">
        <v>71</v>
      </c>
      <c r="L29" t="s">
        <v>72</v>
      </c>
      <c r="M29" t="s">
        <v>73</v>
      </c>
      <c r="N29" t="s">
        <v>66</v>
      </c>
      <c r="O29" t="s">
        <v>73</v>
      </c>
      <c r="P29" t="s">
        <v>66</v>
      </c>
      <c r="Q29" t="s">
        <v>310</v>
      </c>
      <c r="R29" t="s">
        <v>73</v>
      </c>
      <c r="S29" t="s">
        <v>310</v>
      </c>
      <c r="T29" t="s">
        <v>311</v>
      </c>
      <c r="U29" t="s">
        <v>312</v>
      </c>
      <c r="V29" t="s">
        <v>313</v>
      </c>
      <c r="W29" t="s">
        <v>66</v>
      </c>
      <c r="X29" t="s">
        <v>78</v>
      </c>
      <c r="Y29" t="s">
        <v>314</v>
      </c>
      <c r="Z29" t="s">
        <v>158</v>
      </c>
      <c r="AA29" t="s">
        <v>315</v>
      </c>
      <c r="AB29" t="s">
        <v>315</v>
      </c>
      <c r="AC29" t="s">
        <v>82</v>
      </c>
      <c r="AD29" t="s">
        <v>83</v>
      </c>
      <c r="AE29" t="s">
        <v>66</v>
      </c>
      <c r="AF29" t="s">
        <v>316</v>
      </c>
    </row>
    <row r="30" spans="1:32">
      <c r="A30" t="s">
        <v>317</v>
      </c>
      <c r="B30" t="s">
        <v>162</v>
      </c>
      <c r="C30" t="s">
        <v>318</v>
      </c>
      <c r="D30" t="s">
        <v>318</v>
      </c>
      <c r="E30" t="s">
        <v>67</v>
      </c>
      <c r="F30" t="s">
        <v>164</v>
      </c>
      <c r="G30" t="s">
        <v>165</v>
      </c>
      <c r="H30" t="s">
        <v>166</v>
      </c>
      <c r="I30" t="s">
        <v>66</v>
      </c>
      <c r="J30" t="s">
        <v>67</v>
      </c>
      <c r="K30" t="s">
        <v>71</v>
      </c>
      <c r="L30" t="s">
        <v>72</v>
      </c>
      <c r="M30" t="s">
        <v>73</v>
      </c>
      <c r="N30" t="s">
        <v>66</v>
      </c>
      <c r="O30" t="s">
        <v>73</v>
      </c>
      <c r="P30" t="s">
        <v>66</v>
      </c>
      <c r="Q30" t="s">
        <v>319</v>
      </c>
      <c r="R30" t="s">
        <v>73</v>
      </c>
      <c r="S30" t="s">
        <v>319</v>
      </c>
      <c r="T30" t="s">
        <v>320</v>
      </c>
      <c r="U30" t="s">
        <v>321</v>
      </c>
      <c r="V30" t="s">
        <v>322</v>
      </c>
      <c r="W30" t="s">
        <v>66</v>
      </c>
      <c r="X30" t="s">
        <v>78</v>
      </c>
      <c r="Y30" t="s">
        <v>323</v>
      </c>
      <c r="Z30" t="s">
        <v>158</v>
      </c>
      <c r="AA30" t="s">
        <v>315</v>
      </c>
      <c r="AB30" t="s">
        <v>315</v>
      </c>
      <c r="AC30" t="s">
        <v>82</v>
      </c>
      <c r="AD30" t="s">
        <v>83</v>
      </c>
      <c r="AE30" t="s">
        <v>66</v>
      </c>
      <c r="AF30" t="s">
        <v>316</v>
      </c>
    </row>
    <row r="31" spans="1:32">
      <c r="A31" t="s">
        <v>324</v>
      </c>
      <c r="B31" t="s">
        <v>325</v>
      </c>
      <c r="C31" t="s">
        <v>326</v>
      </c>
      <c r="D31" t="s">
        <v>326</v>
      </c>
      <c r="E31" t="s">
        <v>66</v>
      </c>
      <c r="F31" t="s">
        <v>100</v>
      </c>
      <c r="G31" t="s">
        <v>101</v>
      </c>
      <c r="H31" t="s">
        <v>102</v>
      </c>
      <c r="I31" t="s">
        <v>66</v>
      </c>
      <c r="J31" t="s">
        <v>67</v>
      </c>
      <c r="K31" t="s">
        <v>71</v>
      </c>
      <c r="L31" t="s">
        <v>72</v>
      </c>
      <c r="M31" t="s">
        <v>73</v>
      </c>
      <c r="N31" t="s">
        <v>66</v>
      </c>
      <c r="O31" t="s">
        <v>73</v>
      </c>
      <c r="P31" t="s">
        <v>66</v>
      </c>
      <c r="Q31" t="s">
        <v>327</v>
      </c>
      <c r="R31" t="s">
        <v>73</v>
      </c>
      <c r="S31" t="s">
        <v>327</v>
      </c>
      <c r="T31" t="s">
        <v>328</v>
      </c>
      <c r="U31" t="s">
        <v>329</v>
      </c>
      <c r="V31" t="s">
        <v>330</v>
      </c>
      <c r="W31" t="s">
        <v>66</v>
      </c>
      <c r="X31" t="s">
        <v>78</v>
      </c>
      <c r="Y31" t="s">
        <v>331</v>
      </c>
      <c r="Z31" t="s">
        <v>95</v>
      </c>
      <c r="AA31" t="s">
        <v>332</v>
      </c>
      <c r="AB31" t="s">
        <v>332</v>
      </c>
      <c r="AC31" t="s">
        <v>82</v>
      </c>
      <c r="AD31" t="s">
        <v>83</v>
      </c>
      <c r="AE31" t="s">
        <v>66</v>
      </c>
      <c r="AF31" t="s">
        <v>316</v>
      </c>
    </row>
    <row r="32" spans="1:32">
      <c r="A32" t="s">
        <v>333</v>
      </c>
      <c r="B32" t="s">
        <v>334</v>
      </c>
      <c r="C32" t="s">
        <v>335</v>
      </c>
      <c r="D32" t="s">
        <v>335</v>
      </c>
      <c r="E32" t="s">
        <v>336</v>
      </c>
      <c r="F32" t="s">
        <v>68</v>
      </c>
      <c r="G32" t="s">
        <v>69</v>
      </c>
      <c r="H32" t="s">
        <v>70</v>
      </c>
      <c r="I32" t="s">
        <v>66</v>
      </c>
      <c r="J32" t="s">
        <v>67</v>
      </c>
      <c r="K32" t="s">
        <v>71</v>
      </c>
      <c r="L32" t="s">
        <v>72</v>
      </c>
      <c r="M32" t="s">
        <v>73</v>
      </c>
      <c r="N32" t="s">
        <v>66</v>
      </c>
      <c r="O32" t="s">
        <v>73</v>
      </c>
      <c r="P32" t="s">
        <v>66</v>
      </c>
      <c r="Q32" t="s">
        <v>337</v>
      </c>
      <c r="R32" t="s">
        <v>73</v>
      </c>
      <c r="S32" t="s">
        <v>337</v>
      </c>
      <c r="T32" t="s">
        <v>338</v>
      </c>
      <c r="U32" t="s">
        <v>339</v>
      </c>
      <c r="V32" t="s">
        <v>340</v>
      </c>
      <c r="W32" t="s">
        <v>66</v>
      </c>
      <c r="X32" t="s">
        <v>78</v>
      </c>
      <c r="Y32" t="s">
        <v>341</v>
      </c>
      <c r="Z32" t="s">
        <v>117</v>
      </c>
      <c r="AA32" t="s">
        <v>332</v>
      </c>
      <c r="AB32" t="s">
        <v>332</v>
      </c>
      <c r="AC32" t="s">
        <v>82</v>
      </c>
      <c r="AD32" t="s">
        <v>83</v>
      </c>
      <c r="AE32" t="s">
        <v>66</v>
      </c>
      <c r="AF32" t="s">
        <v>316</v>
      </c>
    </row>
    <row r="33" spans="1:32">
      <c r="A33" t="s">
        <v>342</v>
      </c>
      <c r="B33" t="s">
        <v>86</v>
      </c>
      <c r="C33" t="s">
        <v>343</v>
      </c>
      <c r="D33" t="s">
        <v>66</v>
      </c>
      <c r="E33" t="s">
        <v>67</v>
      </c>
      <c r="F33" t="s">
        <v>68</v>
      </c>
      <c r="G33" t="s">
        <v>69</v>
      </c>
      <c r="H33" t="s">
        <v>70</v>
      </c>
      <c r="I33" t="s">
        <v>66</v>
      </c>
      <c r="J33" t="s">
        <v>67</v>
      </c>
      <c r="K33" t="s">
        <v>71</v>
      </c>
      <c r="L33" t="s">
        <v>72</v>
      </c>
      <c r="M33" t="s">
        <v>73</v>
      </c>
      <c r="N33" t="s">
        <v>66</v>
      </c>
      <c r="O33" t="s">
        <v>73</v>
      </c>
      <c r="P33" t="s">
        <v>66</v>
      </c>
      <c r="Q33" t="s">
        <v>344</v>
      </c>
      <c r="R33" t="s">
        <v>73</v>
      </c>
      <c r="S33" t="s">
        <v>344</v>
      </c>
      <c r="T33" t="s">
        <v>345</v>
      </c>
      <c r="U33" t="s">
        <v>346</v>
      </c>
      <c r="V33" t="s">
        <v>347</v>
      </c>
      <c r="W33" t="s">
        <v>66</v>
      </c>
      <c r="X33" t="s">
        <v>78</v>
      </c>
      <c r="Y33" t="s">
        <v>348</v>
      </c>
      <c r="Z33" t="s">
        <v>117</v>
      </c>
      <c r="AA33" t="s">
        <v>332</v>
      </c>
      <c r="AB33" t="s">
        <v>332</v>
      </c>
      <c r="AC33" t="s">
        <v>82</v>
      </c>
      <c r="AD33" t="s">
        <v>83</v>
      </c>
      <c r="AE33" t="s">
        <v>66</v>
      </c>
      <c r="AF33" t="s">
        <v>316</v>
      </c>
    </row>
    <row r="34" spans="1:32">
      <c r="A34" t="s">
        <v>349</v>
      </c>
      <c r="B34" t="s">
        <v>334</v>
      </c>
      <c r="C34" t="s">
        <v>350</v>
      </c>
      <c r="D34" t="s">
        <v>350</v>
      </c>
      <c r="E34" t="s">
        <v>109</v>
      </c>
      <c r="F34" t="s">
        <v>68</v>
      </c>
      <c r="G34" t="s">
        <v>69</v>
      </c>
      <c r="H34" t="s">
        <v>70</v>
      </c>
      <c r="I34" t="s">
        <v>66</v>
      </c>
      <c r="J34" t="s">
        <v>67</v>
      </c>
      <c r="K34" t="s">
        <v>71</v>
      </c>
      <c r="L34" t="s">
        <v>72</v>
      </c>
      <c r="M34" t="s">
        <v>73</v>
      </c>
      <c r="N34" t="s">
        <v>66</v>
      </c>
      <c r="O34" t="s">
        <v>73</v>
      </c>
      <c r="P34" t="s">
        <v>66</v>
      </c>
      <c r="Q34" t="s">
        <v>351</v>
      </c>
      <c r="R34" t="s">
        <v>73</v>
      </c>
      <c r="S34" t="s">
        <v>351</v>
      </c>
      <c r="T34" t="s">
        <v>352</v>
      </c>
      <c r="U34" t="s">
        <v>353</v>
      </c>
      <c r="V34" t="s">
        <v>354</v>
      </c>
      <c r="W34" t="s">
        <v>66</v>
      </c>
      <c r="X34" t="s">
        <v>78</v>
      </c>
      <c r="Y34" t="s">
        <v>355</v>
      </c>
      <c r="Z34" t="s">
        <v>117</v>
      </c>
      <c r="AA34" t="s">
        <v>356</v>
      </c>
      <c r="AB34" t="s">
        <v>356</v>
      </c>
      <c r="AC34" t="s">
        <v>82</v>
      </c>
      <c r="AD34" t="s">
        <v>83</v>
      </c>
      <c r="AE34" t="s">
        <v>66</v>
      </c>
      <c r="AF34" t="s">
        <v>357</v>
      </c>
    </row>
    <row r="35" spans="1:32">
      <c r="A35" t="s">
        <v>358</v>
      </c>
      <c r="B35" t="s">
        <v>359</v>
      </c>
      <c r="C35" t="s">
        <v>360</v>
      </c>
      <c r="D35" t="s">
        <v>360</v>
      </c>
      <c r="E35" t="s">
        <v>109</v>
      </c>
      <c r="F35" t="s">
        <v>68</v>
      </c>
      <c r="G35" t="s">
        <v>69</v>
      </c>
      <c r="H35" t="s">
        <v>70</v>
      </c>
      <c r="I35" t="s">
        <v>66</v>
      </c>
      <c r="J35" t="s">
        <v>67</v>
      </c>
      <c r="K35" t="s">
        <v>71</v>
      </c>
      <c r="L35" t="s">
        <v>72</v>
      </c>
      <c r="M35" t="s">
        <v>73</v>
      </c>
      <c r="N35" t="s">
        <v>66</v>
      </c>
      <c r="O35" t="s">
        <v>73</v>
      </c>
      <c r="P35" t="s">
        <v>66</v>
      </c>
      <c r="Q35" t="s">
        <v>351</v>
      </c>
      <c r="R35" t="s">
        <v>73</v>
      </c>
      <c r="S35" t="s">
        <v>351</v>
      </c>
      <c r="T35" t="s">
        <v>361</v>
      </c>
      <c r="U35" t="s">
        <v>362</v>
      </c>
      <c r="V35" t="s">
        <v>354</v>
      </c>
      <c r="W35" t="s">
        <v>66</v>
      </c>
      <c r="X35" t="s">
        <v>78</v>
      </c>
      <c r="Y35" t="s">
        <v>363</v>
      </c>
      <c r="Z35" t="s">
        <v>117</v>
      </c>
      <c r="AA35" t="s">
        <v>356</v>
      </c>
      <c r="AB35" t="s">
        <v>356</v>
      </c>
      <c r="AC35" t="s">
        <v>82</v>
      </c>
      <c r="AD35" t="s">
        <v>83</v>
      </c>
      <c r="AE35" t="s">
        <v>66</v>
      </c>
      <c r="AF35" t="s">
        <v>357</v>
      </c>
    </row>
    <row r="36" spans="1:32">
      <c r="A36" t="s">
        <v>364</v>
      </c>
      <c r="B36" t="s">
        <v>184</v>
      </c>
      <c r="C36" t="s">
        <v>365</v>
      </c>
      <c r="D36" t="s">
        <v>66</v>
      </c>
      <c r="E36" t="s">
        <v>67</v>
      </c>
      <c r="F36" t="s">
        <v>68</v>
      </c>
      <c r="G36" t="s">
        <v>69</v>
      </c>
      <c r="H36" t="s">
        <v>70</v>
      </c>
      <c r="I36" t="s">
        <v>66</v>
      </c>
      <c r="J36" t="s">
        <v>67</v>
      </c>
      <c r="K36" t="s">
        <v>71</v>
      </c>
      <c r="L36" t="s">
        <v>72</v>
      </c>
      <c r="M36" t="s">
        <v>73</v>
      </c>
      <c r="N36" t="s">
        <v>66</v>
      </c>
      <c r="O36" t="s">
        <v>73</v>
      </c>
      <c r="P36" t="s">
        <v>66</v>
      </c>
      <c r="Q36" t="s">
        <v>351</v>
      </c>
      <c r="R36" t="s">
        <v>73</v>
      </c>
      <c r="S36" t="s">
        <v>351</v>
      </c>
      <c r="T36" t="s">
        <v>366</v>
      </c>
      <c r="U36" t="s">
        <v>367</v>
      </c>
      <c r="V36" t="s">
        <v>354</v>
      </c>
      <c r="W36" t="s">
        <v>66</v>
      </c>
      <c r="X36" t="s">
        <v>78</v>
      </c>
      <c r="Y36" t="s">
        <v>368</v>
      </c>
      <c r="Z36" t="s">
        <v>117</v>
      </c>
      <c r="AA36" t="s">
        <v>356</v>
      </c>
      <c r="AB36" t="s">
        <v>356</v>
      </c>
      <c r="AC36" t="s">
        <v>82</v>
      </c>
      <c r="AD36" t="s">
        <v>83</v>
      </c>
      <c r="AE36" t="s">
        <v>66</v>
      </c>
      <c r="AF36" t="s">
        <v>357</v>
      </c>
    </row>
    <row r="37" spans="1:32">
      <c r="A37" t="s">
        <v>369</v>
      </c>
      <c r="B37" t="s">
        <v>370</v>
      </c>
      <c r="C37" t="s">
        <v>371</v>
      </c>
      <c r="D37" t="s">
        <v>66</v>
      </c>
      <c r="E37" t="s">
        <v>66</v>
      </c>
      <c r="F37" t="s">
        <v>253</v>
      </c>
      <c r="G37" t="s">
        <v>254</v>
      </c>
      <c r="H37" t="s">
        <v>66</v>
      </c>
      <c r="I37" t="s">
        <v>66</v>
      </c>
      <c r="J37" t="s">
        <v>67</v>
      </c>
      <c r="K37" t="s">
        <v>71</v>
      </c>
      <c r="L37" t="s">
        <v>72</v>
      </c>
      <c r="M37" t="s">
        <v>73</v>
      </c>
      <c r="N37" t="s">
        <v>66</v>
      </c>
      <c r="O37" t="s">
        <v>73</v>
      </c>
      <c r="P37" t="s">
        <v>66</v>
      </c>
      <c r="Q37" t="s">
        <v>372</v>
      </c>
      <c r="R37" t="s">
        <v>73</v>
      </c>
      <c r="S37" t="s">
        <v>372</v>
      </c>
      <c r="T37" t="s">
        <v>373</v>
      </c>
      <c r="U37" t="s">
        <v>374</v>
      </c>
      <c r="V37" t="s">
        <v>375</v>
      </c>
      <c r="W37" t="s">
        <v>66</v>
      </c>
      <c r="X37" t="s">
        <v>78</v>
      </c>
      <c r="Y37" t="s">
        <v>376</v>
      </c>
      <c r="Z37" t="s">
        <v>95</v>
      </c>
      <c r="AA37" t="s">
        <v>377</v>
      </c>
      <c r="AB37" t="s">
        <v>377</v>
      </c>
      <c r="AC37" t="s">
        <v>82</v>
      </c>
      <c r="AD37" t="s">
        <v>83</v>
      </c>
      <c r="AE37" t="s">
        <v>66</v>
      </c>
      <c r="AF37" t="s">
        <v>357</v>
      </c>
    </row>
    <row r="38" spans="1:32">
      <c r="A38" t="s">
        <v>378</v>
      </c>
      <c r="B38" t="s">
        <v>98</v>
      </c>
      <c r="C38" t="s">
        <v>379</v>
      </c>
      <c r="D38" t="s">
        <v>66</v>
      </c>
      <c r="E38" t="s">
        <v>67</v>
      </c>
      <c r="F38" t="s">
        <v>100</v>
      </c>
      <c r="G38" t="s">
        <v>101</v>
      </c>
      <c r="H38" t="s">
        <v>102</v>
      </c>
      <c r="I38" t="s">
        <v>66</v>
      </c>
      <c r="J38" t="s">
        <v>67</v>
      </c>
      <c r="K38" t="s">
        <v>281</v>
      </c>
      <c r="L38" t="s">
        <v>72</v>
      </c>
      <c r="M38" t="s">
        <v>73</v>
      </c>
      <c r="N38" t="s">
        <v>66</v>
      </c>
      <c r="O38" t="s">
        <v>73</v>
      </c>
      <c r="P38" t="s">
        <v>66</v>
      </c>
      <c r="Q38" t="s">
        <v>380</v>
      </c>
      <c r="R38" t="s">
        <v>73</v>
      </c>
      <c r="S38" t="s">
        <v>380</v>
      </c>
      <c r="T38" t="s">
        <v>381</v>
      </c>
      <c r="U38" t="s">
        <v>382</v>
      </c>
      <c r="V38" t="s">
        <v>383</v>
      </c>
      <c r="W38" t="s">
        <v>66</v>
      </c>
      <c r="X38" t="s">
        <v>78</v>
      </c>
      <c r="Y38" t="s">
        <v>384</v>
      </c>
      <c r="Z38" t="s">
        <v>385</v>
      </c>
      <c r="AA38" t="s">
        <v>386</v>
      </c>
      <c r="AB38" t="s">
        <v>386</v>
      </c>
      <c r="AC38" t="s">
        <v>82</v>
      </c>
      <c r="AD38" t="s">
        <v>83</v>
      </c>
      <c r="AE38" t="s">
        <v>66</v>
      </c>
      <c r="AF38" t="s">
        <v>357</v>
      </c>
    </row>
    <row r="39" spans="1:32">
      <c r="A39" t="s">
        <v>387</v>
      </c>
      <c r="B39" t="s">
        <v>98</v>
      </c>
      <c r="C39" t="s">
        <v>388</v>
      </c>
      <c r="D39" t="s">
        <v>66</v>
      </c>
      <c r="E39" t="s">
        <v>67</v>
      </c>
      <c r="F39" t="s">
        <v>100</v>
      </c>
      <c r="G39" t="s">
        <v>101</v>
      </c>
      <c r="H39" t="s">
        <v>102</v>
      </c>
      <c r="I39" t="s">
        <v>66</v>
      </c>
      <c r="J39" t="s">
        <v>67</v>
      </c>
      <c r="K39" t="s">
        <v>281</v>
      </c>
      <c r="L39" t="s">
        <v>72</v>
      </c>
      <c r="M39" t="s">
        <v>73</v>
      </c>
      <c r="N39" t="s">
        <v>66</v>
      </c>
      <c r="O39" t="s">
        <v>73</v>
      </c>
      <c r="P39" t="s">
        <v>66</v>
      </c>
      <c r="Q39" t="s">
        <v>380</v>
      </c>
      <c r="R39" t="s">
        <v>73</v>
      </c>
      <c r="S39" t="s">
        <v>380</v>
      </c>
      <c r="T39" t="s">
        <v>389</v>
      </c>
      <c r="U39" t="s">
        <v>390</v>
      </c>
      <c r="V39" t="s">
        <v>383</v>
      </c>
      <c r="W39" t="s">
        <v>66</v>
      </c>
      <c r="X39" t="s">
        <v>78</v>
      </c>
      <c r="Y39" t="s">
        <v>391</v>
      </c>
      <c r="Z39" t="s">
        <v>385</v>
      </c>
      <c r="AA39" t="s">
        <v>386</v>
      </c>
      <c r="AB39" t="s">
        <v>386</v>
      </c>
      <c r="AC39" t="s">
        <v>82</v>
      </c>
      <c r="AD39" t="s">
        <v>83</v>
      </c>
      <c r="AE39" t="s">
        <v>66</v>
      </c>
      <c r="AF39" t="s">
        <v>357</v>
      </c>
    </row>
    <row r="40" spans="1:32">
      <c r="A40" t="s">
        <v>392</v>
      </c>
      <c r="B40" t="s">
        <v>98</v>
      </c>
      <c r="C40" t="s">
        <v>393</v>
      </c>
      <c r="D40" t="s">
        <v>66</v>
      </c>
      <c r="E40" t="s">
        <v>67</v>
      </c>
      <c r="F40" t="s">
        <v>100</v>
      </c>
      <c r="G40" t="s">
        <v>101</v>
      </c>
      <c r="H40" t="s">
        <v>102</v>
      </c>
      <c r="I40" t="s">
        <v>66</v>
      </c>
      <c r="J40" t="s">
        <v>67</v>
      </c>
      <c r="K40" t="s">
        <v>281</v>
      </c>
      <c r="L40" t="s">
        <v>72</v>
      </c>
      <c r="M40" t="s">
        <v>73</v>
      </c>
      <c r="N40" t="s">
        <v>66</v>
      </c>
      <c r="O40" t="s">
        <v>73</v>
      </c>
      <c r="P40" t="s">
        <v>66</v>
      </c>
      <c r="Q40" t="s">
        <v>380</v>
      </c>
      <c r="R40" t="s">
        <v>73</v>
      </c>
      <c r="S40" t="s">
        <v>380</v>
      </c>
      <c r="T40" t="s">
        <v>394</v>
      </c>
      <c r="U40" t="s">
        <v>395</v>
      </c>
      <c r="V40" t="s">
        <v>383</v>
      </c>
      <c r="W40" t="s">
        <v>66</v>
      </c>
      <c r="X40" t="s">
        <v>78</v>
      </c>
      <c r="Y40" t="s">
        <v>396</v>
      </c>
      <c r="Z40" t="s">
        <v>385</v>
      </c>
      <c r="AA40" t="s">
        <v>386</v>
      </c>
      <c r="AB40" t="s">
        <v>386</v>
      </c>
      <c r="AC40" t="s">
        <v>82</v>
      </c>
      <c r="AD40" t="s">
        <v>83</v>
      </c>
      <c r="AE40" t="s">
        <v>66</v>
      </c>
      <c r="AF40" t="s">
        <v>357</v>
      </c>
    </row>
    <row r="41" spans="1:32">
      <c r="A41" t="s">
        <v>397</v>
      </c>
      <c r="B41" t="s">
        <v>98</v>
      </c>
      <c r="C41" t="s">
        <v>398</v>
      </c>
      <c r="D41" t="s">
        <v>66</v>
      </c>
      <c r="E41" t="s">
        <v>67</v>
      </c>
      <c r="F41" t="s">
        <v>100</v>
      </c>
      <c r="G41" t="s">
        <v>101</v>
      </c>
      <c r="H41" t="s">
        <v>102</v>
      </c>
      <c r="I41" t="s">
        <v>66</v>
      </c>
      <c r="J41" t="s">
        <v>67</v>
      </c>
      <c r="K41" t="s">
        <v>281</v>
      </c>
      <c r="L41" t="s">
        <v>72</v>
      </c>
      <c r="M41" t="s">
        <v>73</v>
      </c>
      <c r="N41" t="s">
        <v>66</v>
      </c>
      <c r="O41" t="s">
        <v>73</v>
      </c>
      <c r="P41" t="s">
        <v>66</v>
      </c>
      <c r="Q41" t="s">
        <v>380</v>
      </c>
      <c r="R41" t="s">
        <v>73</v>
      </c>
      <c r="S41" t="s">
        <v>380</v>
      </c>
      <c r="T41" t="s">
        <v>399</v>
      </c>
      <c r="U41" t="s">
        <v>400</v>
      </c>
      <c r="V41" t="s">
        <v>383</v>
      </c>
      <c r="W41" t="s">
        <v>66</v>
      </c>
      <c r="X41" t="s">
        <v>78</v>
      </c>
      <c r="Y41" t="s">
        <v>401</v>
      </c>
      <c r="Z41" t="s">
        <v>385</v>
      </c>
      <c r="AA41" t="s">
        <v>386</v>
      </c>
      <c r="AB41" t="s">
        <v>386</v>
      </c>
      <c r="AC41" t="s">
        <v>82</v>
      </c>
      <c r="AD41" t="s">
        <v>83</v>
      </c>
      <c r="AE41" t="s">
        <v>66</v>
      </c>
      <c r="AF41" t="s">
        <v>357</v>
      </c>
    </row>
    <row r="42" spans="1:32">
      <c r="A42" t="s">
        <v>402</v>
      </c>
      <c r="B42" t="s">
        <v>98</v>
      </c>
      <c r="C42" t="s">
        <v>403</v>
      </c>
      <c r="D42" t="s">
        <v>66</v>
      </c>
      <c r="E42" t="s">
        <v>67</v>
      </c>
      <c r="F42" t="s">
        <v>100</v>
      </c>
      <c r="G42" t="s">
        <v>101</v>
      </c>
      <c r="H42" t="s">
        <v>102</v>
      </c>
      <c r="I42" t="s">
        <v>66</v>
      </c>
      <c r="J42" t="s">
        <v>67</v>
      </c>
      <c r="K42" t="s">
        <v>281</v>
      </c>
      <c r="L42" t="s">
        <v>72</v>
      </c>
      <c r="M42" t="s">
        <v>73</v>
      </c>
      <c r="N42" t="s">
        <v>66</v>
      </c>
      <c r="O42" t="s">
        <v>73</v>
      </c>
      <c r="P42" t="s">
        <v>66</v>
      </c>
      <c r="Q42" t="s">
        <v>380</v>
      </c>
      <c r="R42" t="s">
        <v>73</v>
      </c>
      <c r="S42" t="s">
        <v>380</v>
      </c>
      <c r="T42" t="s">
        <v>404</v>
      </c>
      <c r="U42" t="s">
        <v>405</v>
      </c>
      <c r="V42" t="s">
        <v>383</v>
      </c>
      <c r="W42" t="s">
        <v>66</v>
      </c>
      <c r="X42" t="s">
        <v>78</v>
      </c>
      <c r="Y42" t="s">
        <v>406</v>
      </c>
      <c r="Z42" t="s">
        <v>385</v>
      </c>
      <c r="AA42" t="s">
        <v>386</v>
      </c>
      <c r="AB42" t="s">
        <v>386</v>
      </c>
      <c r="AC42" t="s">
        <v>82</v>
      </c>
      <c r="AD42" t="s">
        <v>83</v>
      </c>
      <c r="AE42" t="s">
        <v>66</v>
      </c>
      <c r="AF42" t="s">
        <v>357</v>
      </c>
    </row>
    <row r="43" spans="1:32">
      <c r="A43" t="s">
        <v>407</v>
      </c>
      <c r="B43" t="s">
        <v>98</v>
      </c>
      <c r="C43" t="s">
        <v>408</v>
      </c>
      <c r="D43" t="s">
        <v>66</v>
      </c>
      <c r="E43" t="s">
        <v>67</v>
      </c>
      <c r="F43" t="s">
        <v>100</v>
      </c>
      <c r="G43" t="s">
        <v>101</v>
      </c>
      <c r="H43" t="s">
        <v>102</v>
      </c>
      <c r="I43" t="s">
        <v>66</v>
      </c>
      <c r="J43" t="s">
        <v>67</v>
      </c>
      <c r="K43" t="s">
        <v>281</v>
      </c>
      <c r="L43" t="s">
        <v>72</v>
      </c>
      <c r="M43" t="s">
        <v>73</v>
      </c>
      <c r="N43" t="s">
        <v>66</v>
      </c>
      <c r="O43" t="s">
        <v>73</v>
      </c>
      <c r="P43" t="s">
        <v>66</v>
      </c>
      <c r="Q43" t="s">
        <v>380</v>
      </c>
      <c r="R43" t="s">
        <v>73</v>
      </c>
      <c r="S43" t="s">
        <v>380</v>
      </c>
      <c r="T43" t="s">
        <v>409</v>
      </c>
      <c r="U43" t="s">
        <v>410</v>
      </c>
      <c r="V43" t="s">
        <v>383</v>
      </c>
      <c r="W43" t="s">
        <v>66</v>
      </c>
      <c r="X43" t="s">
        <v>78</v>
      </c>
      <c r="Y43" t="s">
        <v>411</v>
      </c>
      <c r="Z43" t="s">
        <v>385</v>
      </c>
      <c r="AA43" t="s">
        <v>386</v>
      </c>
      <c r="AB43" t="s">
        <v>386</v>
      </c>
      <c r="AC43" t="s">
        <v>82</v>
      </c>
      <c r="AD43" t="s">
        <v>83</v>
      </c>
      <c r="AE43" t="s">
        <v>66</v>
      </c>
      <c r="AF43" t="s">
        <v>357</v>
      </c>
    </row>
    <row r="44" spans="1:32">
      <c r="A44" t="s">
        <v>412</v>
      </c>
      <c r="B44" t="s">
        <v>98</v>
      </c>
      <c r="C44" t="s">
        <v>413</v>
      </c>
      <c r="D44" t="s">
        <v>66</v>
      </c>
      <c r="E44" t="s">
        <v>67</v>
      </c>
      <c r="F44" t="s">
        <v>100</v>
      </c>
      <c r="G44" t="s">
        <v>101</v>
      </c>
      <c r="H44" t="s">
        <v>102</v>
      </c>
      <c r="I44" t="s">
        <v>66</v>
      </c>
      <c r="J44" t="s">
        <v>67</v>
      </c>
      <c r="K44" t="s">
        <v>281</v>
      </c>
      <c r="L44" t="s">
        <v>72</v>
      </c>
      <c r="M44" t="s">
        <v>73</v>
      </c>
      <c r="N44" t="s">
        <v>66</v>
      </c>
      <c r="O44" t="s">
        <v>73</v>
      </c>
      <c r="P44" t="s">
        <v>66</v>
      </c>
      <c r="Q44" t="s">
        <v>380</v>
      </c>
      <c r="R44" t="s">
        <v>73</v>
      </c>
      <c r="S44" t="s">
        <v>380</v>
      </c>
      <c r="T44" t="s">
        <v>414</v>
      </c>
      <c r="U44" t="s">
        <v>415</v>
      </c>
      <c r="V44" t="s">
        <v>383</v>
      </c>
      <c r="W44" t="s">
        <v>66</v>
      </c>
      <c r="X44" t="s">
        <v>78</v>
      </c>
      <c r="Y44" t="s">
        <v>416</v>
      </c>
      <c r="Z44" t="s">
        <v>385</v>
      </c>
      <c r="AA44" t="s">
        <v>386</v>
      </c>
      <c r="AB44" t="s">
        <v>386</v>
      </c>
      <c r="AC44" t="s">
        <v>82</v>
      </c>
      <c r="AD44" t="s">
        <v>83</v>
      </c>
      <c r="AE44" t="s">
        <v>66</v>
      </c>
      <c r="AF44" t="s">
        <v>357</v>
      </c>
    </row>
    <row r="45" spans="1:32">
      <c r="A45" t="s">
        <v>417</v>
      </c>
      <c r="B45" t="s">
        <v>98</v>
      </c>
      <c r="C45" t="s">
        <v>418</v>
      </c>
      <c r="D45" t="s">
        <v>66</v>
      </c>
      <c r="E45" t="s">
        <v>67</v>
      </c>
      <c r="F45" t="s">
        <v>100</v>
      </c>
      <c r="G45" t="s">
        <v>101</v>
      </c>
      <c r="H45" t="s">
        <v>102</v>
      </c>
      <c r="I45" t="s">
        <v>66</v>
      </c>
      <c r="J45" t="s">
        <v>67</v>
      </c>
      <c r="K45" t="s">
        <v>281</v>
      </c>
      <c r="L45" t="s">
        <v>72</v>
      </c>
      <c r="M45" t="s">
        <v>73</v>
      </c>
      <c r="N45" t="s">
        <v>66</v>
      </c>
      <c r="O45" t="s">
        <v>73</v>
      </c>
      <c r="P45" t="s">
        <v>66</v>
      </c>
      <c r="Q45" t="s">
        <v>380</v>
      </c>
      <c r="R45" t="s">
        <v>73</v>
      </c>
      <c r="S45" t="s">
        <v>380</v>
      </c>
      <c r="T45" t="s">
        <v>419</v>
      </c>
      <c r="U45" t="s">
        <v>420</v>
      </c>
      <c r="V45" t="s">
        <v>383</v>
      </c>
      <c r="W45" t="s">
        <v>66</v>
      </c>
      <c r="X45" t="s">
        <v>78</v>
      </c>
      <c r="Y45" t="s">
        <v>421</v>
      </c>
      <c r="Z45" t="s">
        <v>385</v>
      </c>
      <c r="AA45" t="s">
        <v>386</v>
      </c>
      <c r="AB45" t="s">
        <v>386</v>
      </c>
      <c r="AC45" t="s">
        <v>82</v>
      </c>
      <c r="AD45" t="s">
        <v>83</v>
      </c>
      <c r="AE45" t="s">
        <v>66</v>
      </c>
      <c r="AF45" t="s">
        <v>357</v>
      </c>
    </row>
    <row r="46" spans="1:32">
      <c r="A46" t="s">
        <v>422</v>
      </c>
      <c r="B46" t="s">
        <v>98</v>
      </c>
      <c r="C46" t="s">
        <v>423</v>
      </c>
      <c r="D46" t="s">
        <v>66</v>
      </c>
      <c r="E46" t="s">
        <v>67</v>
      </c>
      <c r="F46" t="s">
        <v>100</v>
      </c>
      <c r="G46" t="s">
        <v>101</v>
      </c>
      <c r="H46" t="s">
        <v>102</v>
      </c>
      <c r="I46" t="s">
        <v>66</v>
      </c>
      <c r="J46" t="s">
        <v>67</v>
      </c>
      <c r="K46" t="s">
        <v>281</v>
      </c>
      <c r="L46" t="s">
        <v>72</v>
      </c>
      <c r="M46" t="s">
        <v>73</v>
      </c>
      <c r="N46" t="s">
        <v>66</v>
      </c>
      <c r="O46" t="s">
        <v>73</v>
      </c>
      <c r="P46" t="s">
        <v>66</v>
      </c>
      <c r="Q46" t="s">
        <v>380</v>
      </c>
      <c r="R46" t="s">
        <v>73</v>
      </c>
      <c r="S46" t="s">
        <v>380</v>
      </c>
      <c r="T46" t="s">
        <v>424</v>
      </c>
      <c r="U46" t="s">
        <v>425</v>
      </c>
      <c r="V46" t="s">
        <v>383</v>
      </c>
      <c r="W46" t="s">
        <v>66</v>
      </c>
      <c r="X46" t="s">
        <v>78</v>
      </c>
      <c r="Y46" t="s">
        <v>426</v>
      </c>
      <c r="Z46" t="s">
        <v>385</v>
      </c>
      <c r="AA46" t="s">
        <v>386</v>
      </c>
      <c r="AB46" t="s">
        <v>386</v>
      </c>
      <c r="AC46" t="s">
        <v>82</v>
      </c>
      <c r="AD46" t="s">
        <v>83</v>
      </c>
      <c r="AE46" t="s">
        <v>66</v>
      </c>
      <c r="AF46" t="s">
        <v>357</v>
      </c>
    </row>
    <row r="47" spans="1:32">
      <c r="A47" t="s">
        <v>427</v>
      </c>
      <c r="B47" t="s">
        <v>98</v>
      </c>
      <c r="C47" t="s">
        <v>428</v>
      </c>
      <c r="D47" t="s">
        <v>66</v>
      </c>
      <c r="E47" t="s">
        <v>67</v>
      </c>
      <c r="F47" t="s">
        <v>100</v>
      </c>
      <c r="G47" t="s">
        <v>101</v>
      </c>
      <c r="H47" t="s">
        <v>102</v>
      </c>
      <c r="I47" t="s">
        <v>66</v>
      </c>
      <c r="J47" t="s">
        <v>67</v>
      </c>
      <c r="K47" t="s">
        <v>281</v>
      </c>
      <c r="L47" t="s">
        <v>72</v>
      </c>
      <c r="M47" t="s">
        <v>73</v>
      </c>
      <c r="N47" t="s">
        <v>66</v>
      </c>
      <c r="O47" t="s">
        <v>73</v>
      </c>
      <c r="P47" t="s">
        <v>66</v>
      </c>
      <c r="Q47" t="s">
        <v>380</v>
      </c>
      <c r="R47" t="s">
        <v>73</v>
      </c>
      <c r="S47" t="s">
        <v>380</v>
      </c>
      <c r="T47" t="s">
        <v>429</v>
      </c>
      <c r="U47" t="s">
        <v>430</v>
      </c>
      <c r="V47" t="s">
        <v>383</v>
      </c>
      <c r="W47" t="s">
        <v>66</v>
      </c>
      <c r="X47" t="s">
        <v>78</v>
      </c>
      <c r="Y47" t="s">
        <v>431</v>
      </c>
      <c r="Z47" t="s">
        <v>385</v>
      </c>
      <c r="AA47" t="s">
        <v>386</v>
      </c>
      <c r="AB47" t="s">
        <v>386</v>
      </c>
      <c r="AC47" t="s">
        <v>82</v>
      </c>
      <c r="AD47" t="s">
        <v>83</v>
      </c>
      <c r="AE47" t="s">
        <v>66</v>
      </c>
      <c r="AF47" t="s">
        <v>357</v>
      </c>
    </row>
    <row r="48" spans="1:32">
      <c r="A48" t="s">
        <v>432</v>
      </c>
      <c r="B48" t="s">
        <v>98</v>
      </c>
      <c r="C48" t="s">
        <v>433</v>
      </c>
      <c r="D48" t="s">
        <v>66</v>
      </c>
      <c r="E48" t="s">
        <v>67</v>
      </c>
      <c r="F48" t="s">
        <v>100</v>
      </c>
      <c r="G48" t="s">
        <v>101</v>
      </c>
      <c r="H48" t="s">
        <v>102</v>
      </c>
      <c r="I48" t="s">
        <v>66</v>
      </c>
      <c r="J48" t="s">
        <v>67</v>
      </c>
      <c r="K48" t="s">
        <v>281</v>
      </c>
      <c r="L48" t="s">
        <v>72</v>
      </c>
      <c r="M48" t="s">
        <v>73</v>
      </c>
      <c r="N48" t="s">
        <v>66</v>
      </c>
      <c r="O48" t="s">
        <v>73</v>
      </c>
      <c r="P48" t="s">
        <v>66</v>
      </c>
      <c r="Q48" t="s">
        <v>380</v>
      </c>
      <c r="R48" t="s">
        <v>73</v>
      </c>
      <c r="S48" t="s">
        <v>380</v>
      </c>
      <c r="T48" t="s">
        <v>434</v>
      </c>
      <c r="U48" t="s">
        <v>435</v>
      </c>
      <c r="V48" t="s">
        <v>383</v>
      </c>
      <c r="W48" t="s">
        <v>66</v>
      </c>
      <c r="X48" t="s">
        <v>78</v>
      </c>
      <c r="Y48" t="s">
        <v>436</v>
      </c>
      <c r="Z48" t="s">
        <v>385</v>
      </c>
      <c r="AA48" t="s">
        <v>386</v>
      </c>
      <c r="AB48" t="s">
        <v>386</v>
      </c>
      <c r="AC48" t="s">
        <v>82</v>
      </c>
      <c r="AD48" t="s">
        <v>83</v>
      </c>
      <c r="AE48" t="s">
        <v>66</v>
      </c>
      <c r="AF48" t="s">
        <v>357</v>
      </c>
    </row>
    <row r="49" spans="1:32">
      <c r="A49" t="s">
        <v>437</v>
      </c>
      <c r="B49" t="s">
        <v>98</v>
      </c>
      <c r="C49" t="s">
        <v>438</v>
      </c>
      <c r="D49" t="s">
        <v>66</v>
      </c>
      <c r="E49" t="s">
        <v>67</v>
      </c>
      <c r="F49" t="s">
        <v>100</v>
      </c>
      <c r="G49" t="s">
        <v>101</v>
      </c>
      <c r="H49" t="s">
        <v>102</v>
      </c>
      <c r="I49" t="s">
        <v>66</v>
      </c>
      <c r="J49" t="s">
        <v>67</v>
      </c>
      <c r="K49" t="s">
        <v>281</v>
      </c>
      <c r="L49" t="s">
        <v>72</v>
      </c>
      <c r="M49" t="s">
        <v>73</v>
      </c>
      <c r="N49" t="s">
        <v>66</v>
      </c>
      <c r="O49" t="s">
        <v>73</v>
      </c>
      <c r="P49" t="s">
        <v>66</v>
      </c>
      <c r="Q49" t="s">
        <v>380</v>
      </c>
      <c r="R49" t="s">
        <v>73</v>
      </c>
      <c r="S49" t="s">
        <v>380</v>
      </c>
      <c r="T49" t="s">
        <v>439</v>
      </c>
      <c r="U49" t="s">
        <v>440</v>
      </c>
      <c r="V49" t="s">
        <v>383</v>
      </c>
      <c r="W49" t="s">
        <v>66</v>
      </c>
      <c r="X49" t="s">
        <v>78</v>
      </c>
      <c r="Y49" t="s">
        <v>441</v>
      </c>
      <c r="Z49" t="s">
        <v>385</v>
      </c>
      <c r="AA49" t="s">
        <v>386</v>
      </c>
      <c r="AB49" t="s">
        <v>386</v>
      </c>
      <c r="AC49" t="s">
        <v>82</v>
      </c>
      <c r="AD49" t="s">
        <v>83</v>
      </c>
      <c r="AE49" t="s">
        <v>66</v>
      </c>
      <c r="AF49" t="s">
        <v>357</v>
      </c>
    </row>
    <row r="50" spans="1:32">
      <c r="A50" t="s">
        <v>442</v>
      </c>
      <c r="B50" t="s">
        <v>98</v>
      </c>
      <c r="C50" t="s">
        <v>443</v>
      </c>
      <c r="D50" t="s">
        <v>66</v>
      </c>
      <c r="E50" t="s">
        <v>67</v>
      </c>
      <c r="F50" t="s">
        <v>100</v>
      </c>
      <c r="G50" t="s">
        <v>101</v>
      </c>
      <c r="H50" t="s">
        <v>102</v>
      </c>
      <c r="I50" t="s">
        <v>66</v>
      </c>
      <c r="J50" t="s">
        <v>67</v>
      </c>
      <c r="K50" t="s">
        <v>281</v>
      </c>
      <c r="L50" t="s">
        <v>72</v>
      </c>
      <c r="M50" t="s">
        <v>73</v>
      </c>
      <c r="N50" t="s">
        <v>66</v>
      </c>
      <c r="O50" t="s">
        <v>73</v>
      </c>
      <c r="P50" t="s">
        <v>66</v>
      </c>
      <c r="Q50" t="s">
        <v>380</v>
      </c>
      <c r="R50" t="s">
        <v>73</v>
      </c>
      <c r="S50" t="s">
        <v>380</v>
      </c>
      <c r="T50" t="s">
        <v>444</v>
      </c>
      <c r="U50" t="s">
        <v>445</v>
      </c>
      <c r="V50" t="s">
        <v>383</v>
      </c>
      <c r="W50" t="s">
        <v>66</v>
      </c>
      <c r="X50" t="s">
        <v>78</v>
      </c>
      <c r="Y50" t="s">
        <v>446</v>
      </c>
      <c r="Z50" t="s">
        <v>385</v>
      </c>
      <c r="AA50" t="s">
        <v>386</v>
      </c>
      <c r="AB50" t="s">
        <v>386</v>
      </c>
      <c r="AC50" t="s">
        <v>82</v>
      </c>
      <c r="AD50" t="s">
        <v>83</v>
      </c>
      <c r="AE50" t="s">
        <v>66</v>
      </c>
      <c r="AF50" t="s">
        <v>357</v>
      </c>
    </row>
    <row r="51" spans="1:32">
      <c r="A51" t="s">
        <v>447</v>
      </c>
      <c r="B51" t="s">
        <v>98</v>
      </c>
      <c r="C51" t="s">
        <v>448</v>
      </c>
      <c r="D51" t="s">
        <v>66</v>
      </c>
      <c r="E51" t="s">
        <v>67</v>
      </c>
      <c r="F51" t="s">
        <v>100</v>
      </c>
      <c r="G51" t="s">
        <v>101</v>
      </c>
      <c r="H51" t="s">
        <v>102</v>
      </c>
      <c r="I51" t="s">
        <v>66</v>
      </c>
      <c r="J51" t="s">
        <v>67</v>
      </c>
      <c r="K51" t="s">
        <v>281</v>
      </c>
      <c r="L51" t="s">
        <v>72</v>
      </c>
      <c r="M51" t="s">
        <v>73</v>
      </c>
      <c r="N51" t="s">
        <v>66</v>
      </c>
      <c r="O51" t="s">
        <v>73</v>
      </c>
      <c r="P51" t="s">
        <v>66</v>
      </c>
      <c r="Q51" t="s">
        <v>380</v>
      </c>
      <c r="R51" t="s">
        <v>73</v>
      </c>
      <c r="S51" t="s">
        <v>380</v>
      </c>
      <c r="T51" t="s">
        <v>449</v>
      </c>
      <c r="U51" t="s">
        <v>450</v>
      </c>
      <c r="V51" t="s">
        <v>383</v>
      </c>
      <c r="W51" t="s">
        <v>66</v>
      </c>
      <c r="X51" t="s">
        <v>78</v>
      </c>
      <c r="Y51" t="s">
        <v>451</v>
      </c>
      <c r="Z51" t="s">
        <v>385</v>
      </c>
      <c r="AA51" t="s">
        <v>386</v>
      </c>
      <c r="AB51" t="s">
        <v>386</v>
      </c>
      <c r="AC51" t="s">
        <v>82</v>
      </c>
      <c r="AD51" t="s">
        <v>83</v>
      </c>
      <c r="AE51" t="s">
        <v>66</v>
      </c>
      <c r="AF51" t="s">
        <v>357</v>
      </c>
    </row>
    <row r="52" spans="1:32">
      <c r="A52" t="s">
        <v>452</v>
      </c>
      <c r="B52" t="s">
        <v>98</v>
      </c>
      <c r="C52" t="s">
        <v>453</v>
      </c>
      <c r="D52" t="s">
        <v>66</v>
      </c>
      <c r="E52" t="s">
        <v>67</v>
      </c>
      <c r="F52" t="s">
        <v>100</v>
      </c>
      <c r="G52" t="s">
        <v>101</v>
      </c>
      <c r="H52" t="s">
        <v>102</v>
      </c>
      <c r="I52" t="s">
        <v>66</v>
      </c>
      <c r="J52" t="s">
        <v>67</v>
      </c>
      <c r="K52" t="s">
        <v>281</v>
      </c>
      <c r="L52" t="s">
        <v>72</v>
      </c>
      <c r="M52" t="s">
        <v>73</v>
      </c>
      <c r="N52" t="s">
        <v>66</v>
      </c>
      <c r="O52" t="s">
        <v>73</v>
      </c>
      <c r="P52" t="s">
        <v>66</v>
      </c>
      <c r="Q52" t="s">
        <v>380</v>
      </c>
      <c r="R52" t="s">
        <v>73</v>
      </c>
      <c r="S52" t="s">
        <v>380</v>
      </c>
      <c r="T52" t="s">
        <v>454</v>
      </c>
      <c r="U52" t="s">
        <v>455</v>
      </c>
      <c r="V52" t="s">
        <v>383</v>
      </c>
      <c r="W52" t="s">
        <v>66</v>
      </c>
      <c r="X52" t="s">
        <v>78</v>
      </c>
      <c r="Y52" t="s">
        <v>456</v>
      </c>
      <c r="Z52" t="s">
        <v>385</v>
      </c>
      <c r="AA52" t="s">
        <v>386</v>
      </c>
      <c r="AB52" t="s">
        <v>386</v>
      </c>
      <c r="AC52" t="s">
        <v>82</v>
      </c>
      <c r="AD52" t="s">
        <v>83</v>
      </c>
      <c r="AE52" t="s">
        <v>66</v>
      </c>
      <c r="AF52" t="s">
        <v>357</v>
      </c>
    </row>
    <row r="53" spans="1:32">
      <c r="A53" t="s">
        <v>457</v>
      </c>
      <c r="B53" t="s">
        <v>98</v>
      </c>
      <c r="C53" t="s">
        <v>458</v>
      </c>
      <c r="D53" t="s">
        <v>66</v>
      </c>
      <c r="E53" t="s">
        <v>67</v>
      </c>
      <c r="F53" t="s">
        <v>100</v>
      </c>
      <c r="G53" t="s">
        <v>101</v>
      </c>
      <c r="H53" t="s">
        <v>102</v>
      </c>
      <c r="I53" t="s">
        <v>66</v>
      </c>
      <c r="J53" t="s">
        <v>67</v>
      </c>
      <c r="K53" t="s">
        <v>281</v>
      </c>
      <c r="L53" t="s">
        <v>72</v>
      </c>
      <c r="M53" t="s">
        <v>73</v>
      </c>
      <c r="N53" t="s">
        <v>66</v>
      </c>
      <c r="O53" t="s">
        <v>73</v>
      </c>
      <c r="P53" t="s">
        <v>66</v>
      </c>
      <c r="Q53" t="s">
        <v>380</v>
      </c>
      <c r="R53" t="s">
        <v>73</v>
      </c>
      <c r="S53" t="s">
        <v>380</v>
      </c>
      <c r="T53" t="s">
        <v>459</v>
      </c>
      <c r="U53" t="s">
        <v>460</v>
      </c>
      <c r="V53" t="s">
        <v>383</v>
      </c>
      <c r="W53" t="s">
        <v>66</v>
      </c>
      <c r="X53" t="s">
        <v>78</v>
      </c>
      <c r="Y53" t="s">
        <v>461</v>
      </c>
      <c r="Z53" t="s">
        <v>385</v>
      </c>
      <c r="AA53" t="s">
        <v>386</v>
      </c>
      <c r="AB53" t="s">
        <v>386</v>
      </c>
      <c r="AC53" t="s">
        <v>82</v>
      </c>
      <c r="AD53" t="s">
        <v>83</v>
      </c>
      <c r="AE53" t="s">
        <v>66</v>
      </c>
      <c r="AF53" t="s">
        <v>357</v>
      </c>
    </row>
    <row r="54" spans="1:32">
      <c r="A54" t="s">
        <v>462</v>
      </c>
      <c r="B54" t="s">
        <v>98</v>
      </c>
      <c r="C54" t="s">
        <v>463</v>
      </c>
      <c r="D54" t="s">
        <v>66</v>
      </c>
      <c r="E54" t="s">
        <v>67</v>
      </c>
      <c r="F54" t="s">
        <v>100</v>
      </c>
      <c r="G54" t="s">
        <v>101</v>
      </c>
      <c r="H54" t="s">
        <v>102</v>
      </c>
      <c r="I54" t="s">
        <v>66</v>
      </c>
      <c r="J54" t="s">
        <v>67</v>
      </c>
      <c r="K54" t="s">
        <v>281</v>
      </c>
      <c r="L54" t="s">
        <v>72</v>
      </c>
      <c r="M54" t="s">
        <v>73</v>
      </c>
      <c r="N54" t="s">
        <v>66</v>
      </c>
      <c r="O54" t="s">
        <v>73</v>
      </c>
      <c r="P54" t="s">
        <v>66</v>
      </c>
      <c r="Q54" t="s">
        <v>380</v>
      </c>
      <c r="R54" t="s">
        <v>73</v>
      </c>
      <c r="S54" t="s">
        <v>380</v>
      </c>
      <c r="T54" t="s">
        <v>464</v>
      </c>
      <c r="U54" t="s">
        <v>465</v>
      </c>
      <c r="V54" t="s">
        <v>383</v>
      </c>
      <c r="W54" t="s">
        <v>66</v>
      </c>
      <c r="X54" t="s">
        <v>78</v>
      </c>
      <c r="Y54" t="s">
        <v>466</v>
      </c>
      <c r="Z54" t="s">
        <v>385</v>
      </c>
      <c r="AA54" t="s">
        <v>386</v>
      </c>
      <c r="AB54" t="s">
        <v>386</v>
      </c>
      <c r="AC54" t="s">
        <v>82</v>
      </c>
      <c r="AD54" t="s">
        <v>83</v>
      </c>
      <c r="AE54" t="s">
        <v>66</v>
      </c>
      <c r="AF54" t="s">
        <v>357</v>
      </c>
    </row>
    <row r="55" spans="1:32">
      <c r="A55" t="s">
        <v>467</v>
      </c>
      <c r="B55" t="s">
        <v>98</v>
      </c>
      <c r="C55" t="s">
        <v>468</v>
      </c>
      <c r="D55" t="s">
        <v>66</v>
      </c>
      <c r="E55" t="s">
        <v>67</v>
      </c>
      <c r="F55" t="s">
        <v>100</v>
      </c>
      <c r="G55" t="s">
        <v>101</v>
      </c>
      <c r="H55" t="s">
        <v>102</v>
      </c>
      <c r="I55" t="s">
        <v>66</v>
      </c>
      <c r="J55" t="s">
        <v>67</v>
      </c>
      <c r="K55" t="s">
        <v>281</v>
      </c>
      <c r="L55" t="s">
        <v>72</v>
      </c>
      <c r="M55" t="s">
        <v>73</v>
      </c>
      <c r="N55" t="s">
        <v>66</v>
      </c>
      <c r="O55" t="s">
        <v>73</v>
      </c>
      <c r="P55" t="s">
        <v>66</v>
      </c>
      <c r="Q55" t="s">
        <v>380</v>
      </c>
      <c r="R55" t="s">
        <v>73</v>
      </c>
      <c r="S55" t="s">
        <v>380</v>
      </c>
      <c r="T55" t="s">
        <v>469</v>
      </c>
      <c r="U55" t="s">
        <v>470</v>
      </c>
      <c r="V55" t="s">
        <v>383</v>
      </c>
      <c r="W55" t="s">
        <v>66</v>
      </c>
      <c r="X55" t="s">
        <v>78</v>
      </c>
      <c r="Y55" t="s">
        <v>471</v>
      </c>
      <c r="Z55" t="s">
        <v>385</v>
      </c>
      <c r="AA55" t="s">
        <v>386</v>
      </c>
      <c r="AB55" t="s">
        <v>386</v>
      </c>
      <c r="AC55" t="s">
        <v>82</v>
      </c>
      <c r="AD55" t="s">
        <v>83</v>
      </c>
      <c r="AE55" t="s">
        <v>66</v>
      </c>
      <c r="AF55" t="s">
        <v>357</v>
      </c>
    </row>
    <row r="56" spans="1:32">
      <c r="A56" t="s">
        <v>472</v>
      </c>
      <c r="B56" t="s">
        <v>98</v>
      </c>
      <c r="C56" t="s">
        <v>473</v>
      </c>
      <c r="D56" t="s">
        <v>66</v>
      </c>
      <c r="E56" t="s">
        <v>67</v>
      </c>
      <c r="F56" t="s">
        <v>100</v>
      </c>
      <c r="G56" t="s">
        <v>101</v>
      </c>
      <c r="H56" t="s">
        <v>102</v>
      </c>
      <c r="I56" t="s">
        <v>66</v>
      </c>
      <c r="J56" t="s">
        <v>67</v>
      </c>
      <c r="K56" t="s">
        <v>281</v>
      </c>
      <c r="L56" t="s">
        <v>72</v>
      </c>
      <c r="M56" t="s">
        <v>73</v>
      </c>
      <c r="N56" t="s">
        <v>66</v>
      </c>
      <c r="O56" t="s">
        <v>73</v>
      </c>
      <c r="P56" t="s">
        <v>66</v>
      </c>
      <c r="Q56" t="s">
        <v>380</v>
      </c>
      <c r="R56" t="s">
        <v>73</v>
      </c>
      <c r="S56" t="s">
        <v>380</v>
      </c>
      <c r="T56" t="s">
        <v>474</v>
      </c>
      <c r="U56" t="s">
        <v>475</v>
      </c>
      <c r="V56" t="s">
        <v>383</v>
      </c>
      <c r="W56" t="s">
        <v>66</v>
      </c>
      <c r="X56" t="s">
        <v>78</v>
      </c>
      <c r="Y56" t="s">
        <v>476</v>
      </c>
      <c r="Z56" t="s">
        <v>385</v>
      </c>
      <c r="AA56" t="s">
        <v>386</v>
      </c>
      <c r="AB56" t="s">
        <v>386</v>
      </c>
      <c r="AC56" t="s">
        <v>82</v>
      </c>
      <c r="AD56" t="s">
        <v>83</v>
      </c>
      <c r="AE56" t="s">
        <v>66</v>
      </c>
      <c r="AF56" t="s">
        <v>357</v>
      </c>
    </row>
    <row r="57" spans="1:32">
      <c r="A57" t="s">
        <v>477</v>
      </c>
      <c r="B57" t="s">
        <v>98</v>
      </c>
      <c r="C57" t="s">
        <v>478</v>
      </c>
      <c r="D57" t="s">
        <v>66</v>
      </c>
      <c r="E57" t="s">
        <v>67</v>
      </c>
      <c r="F57" t="s">
        <v>100</v>
      </c>
      <c r="G57" t="s">
        <v>101</v>
      </c>
      <c r="H57" t="s">
        <v>102</v>
      </c>
      <c r="I57" t="s">
        <v>66</v>
      </c>
      <c r="J57" t="s">
        <v>67</v>
      </c>
      <c r="K57" t="s">
        <v>281</v>
      </c>
      <c r="L57" t="s">
        <v>72</v>
      </c>
      <c r="M57" t="s">
        <v>73</v>
      </c>
      <c r="N57" t="s">
        <v>66</v>
      </c>
      <c r="O57" t="s">
        <v>73</v>
      </c>
      <c r="P57" t="s">
        <v>66</v>
      </c>
      <c r="Q57" t="s">
        <v>380</v>
      </c>
      <c r="R57" t="s">
        <v>73</v>
      </c>
      <c r="S57" t="s">
        <v>380</v>
      </c>
      <c r="T57" t="s">
        <v>479</v>
      </c>
      <c r="U57" t="s">
        <v>480</v>
      </c>
      <c r="V57" t="s">
        <v>383</v>
      </c>
      <c r="W57" t="s">
        <v>66</v>
      </c>
      <c r="X57" t="s">
        <v>78</v>
      </c>
      <c r="Y57" t="s">
        <v>481</v>
      </c>
      <c r="Z57" t="s">
        <v>385</v>
      </c>
      <c r="AA57" t="s">
        <v>386</v>
      </c>
      <c r="AB57" t="s">
        <v>386</v>
      </c>
      <c r="AC57" t="s">
        <v>82</v>
      </c>
      <c r="AD57" t="s">
        <v>83</v>
      </c>
      <c r="AE57" t="s">
        <v>66</v>
      </c>
      <c r="AF57" t="s">
        <v>357</v>
      </c>
    </row>
    <row r="58" spans="1:32">
      <c r="A58" t="s">
        <v>482</v>
      </c>
      <c r="B58" t="s">
        <v>98</v>
      </c>
      <c r="C58" t="s">
        <v>483</v>
      </c>
      <c r="D58" t="s">
        <v>66</v>
      </c>
      <c r="E58" t="s">
        <v>67</v>
      </c>
      <c r="F58" t="s">
        <v>100</v>
      </c>
      <c r="G58" t="s">
        <v>101</v>
      </c>
      <c r="H58" t="s">
        <v>102</v>
      </c>
      <c r="I58" t="s">
        <v>66</v>
      </c>
      <c r="J58" t="s">
        <v>67</v>
      </c>
      <c r="K58" t="s">
        <v>281</v>
      </c>
      <c r="L58" t="s">
        <v>72</v>
      </c>
      <c r="M58" t="s">
        <v>73</v>
      </c>
      <c r="N58" t="s">
        <v>66</v>
      </c>
      <c r="O58" t="s">
        <v>73</v>
      </c>
      <c r="P58" t="s">
        <v>66</v>
      </c>
      <c r="Q58" t="s">
        <v>380</v>
      </c>
      <c r="R58" t="s">
        <v>73</v>
      </c>
      <c r="S58" t="s">
        <v>380</v>
      </c>
      <c r="T58" t="s">
        <v>484</v>
      </c>
      <c r="U58" t="s">
        <v>485</v>
      </c>
      <c r="V58" t="s">
        <v>383</v>
      </c>
      <c r="W58" t="s">
        <v>66</v>
      </c>
      <c r="X58" t="s">
        <v>78</v>
      </c>
      <c r="Y58" t="s">
        <v>486</v>
      </c>
      <c r="Z58" t="s">
        <v>385</v>
      </c>
      <c r="AA58" t="s">
        <v>386</v>
      </c>
      <c r="AB58" t="s">
        <v>386</v>
      </c>
      <c r="AC58" t="s">
        <v>82</v>
      </c>
      <c r="AD58" t="s">
        <v>83</v>
      </c>
      <c r="AE58" t="s">
        <v>66</v>
      </c>
      <c r="AF58" t="s">
        <v>357</v>
      </c>
    </row>
    <row r="59" spans="1:32">
      <c r="A59" t="s">
        <v>487</v>
      </c>
      <c r="B59" t="s">
        <v>98</v>
      </c>
      <c r="C59" t="s">
        <v>488</v>
      </c>
      <c r="D59" t="s">
        <v>66</v>
      </c>
      <c r="E59" t="s">
        <v>67</v>
      </c>
      <c r="F59" t="s">
        <v>100</v>
      </c>
      <c r="G59" t="s">
        <v>101</v>
      </c>
      <c r="H59" t="s">
        <v>102</v>
      </c>
      <c r="I59" t="s">
        <v>66</v>
      </c>
      <c r="J59" t="s">
        <v>67</v>
      </c>
      <c r="K59" t="s">
        <v>281</v>
      </c>
      <c r="L59" t="s">
        <v>72</v>
      </c>
      <c r="M59" t="s">
        <v>73</v>
      </c>
      <c r="N59" t="s">
        <v>66</v>
      </c>
      <c r="O59" t="s">
        <v>73</v>
      </c>
      <c r="P59" t="s">
        <v>66</v>
      </c>
      <c r="Q59" t="s">
        <v>380</v>
      </c>
      <c r="R59" t="s">
        <v>73</v>
      </c>
      <c r="S59" t="s">
        <v>380</v>
      </c>
      <c r="T59" t="s">
        <v>489</v>
      </c>
      <c r="U59" t="s">
        <v>490</v>
      </c>
      <c r="V59" t="s">
        <v>383</v>
      </c>
      <c r="W59" t="s">
        <v>66</v>
      </c>
      <c r="X59" t="s">
        <v>78</v>
      </c>
      <c r="Y59" t="s">
        <v>491</v>
      </c>
      <c r="Z59" t="s">
        <v>385</v>
      </c>
      <c r="AA59" t="s">
        <v>386</v>
      </c>
      <c r="AB59" t="s">
        <v>386</v>
      </c>
      <c r="AC59" t="s">
        <v>82</v>
      </c>
      <c r="AD59" t="s">
        <v>83</v>
      </c>
      <c r="AE59" t="s">
        <v>66</v>
      </c>
      <c r="AF59" t="s">
        <v>357</v>
      </c>
    </row>
    <row r="60" spans="1:32">
      <c r="A60" t="s">
        <v>492</v>
      </c>
      <c r="B60" t="s">
        <v>98</v>
      </c>
      <c r="C60" t="s">
        <v>493</v>
      </c>
      <c r="D60" t="s">
        <v>66</v>
      </c>
      <c r="E60" t="s">
        <v>67</v>
      </c>
      <c r="F60" t="s">
        <v>100</v>
      </c>
      <c r="G60" t="s">
        <v>101</v>
      </c>
      <c r="H60" t="s">
        <v>102</v>
      </c>
      <c r="I60" t="s">
        <v>66</v>
      </c>
      <c r="J60" t="s">
        <v>67</v>
      </c>
      <c r="K60" t="s">
        <v>281</v>
      </c>
      <c r="L60" t="s">
        <v>72</v>
      </c>
      <c r="M60" t="s">
        <v>73</v>
      </c>
      <c r="N60" t="s">
        <v>66</v>
      </c>
      <c r="O60" t="s">
        <v>73</v>
      </c>
      <c r="P60" t="s">
        <v>66</v>
      </c>
      <c r="Q60" t="s">
        <v>380</v>
      </c>
      <c r="R60" t="s">
        <v>73</v>
      </c>
      <c r="S60" t="s">
        <v>380</v>
      </c>
      <c r="T60" t="s">
        <v>494</v>
      </c>
      <c r="U60" t="s">
        <v>495</v>
      </c>
      <c r="V60" t="s">
        <v>383</v>
      </c>
      <c r="W60" t="s">
        <v>66</v>
      </c>
      <c r="X60" t="s">
        <v>78</v>
      </c>
      <c r="Y60" t="s">
        <v>496</v>
      </c>
      <c r="Z60" t="s">
        <v>385</v>
      </c>
      <c r="AA60" t="s">
        <v>386</v>
      </c>
      <c r="AB60" t="s">
        <v>386</v>
      </c>
      <c r="AC60" t="s">
        <v>82</v>
      </c>
      <c r="AD60" t="s">
        <v>83</v>
      </c>
      <c r="AE60" t="s">
        <v>66</v>
      </c>
      <c r="AF60" t="s">
        <v>357</v>
      </c>
    </row>
    <row r="61" spans="1:32">
      <c r="A61" t="s">
        <v>497</v>
      </c>
      <c r="B61" t="s">
        <v>98</v>
      </c>
      <c r="C61" t="s">
        <v>498</v>
      </c>
      <c r="D61" t="s">
        <v>66</v>
      </c>
      <c r="E61" t="s">
        <v>67</v>
      </c>
      <c r="F61" t="s">
        <v>100</v>
      </c>
      <c r="G61" t="s">
        <v>101</v>
      </c>
      <c r="H61" t="s">
        <v>102</v>
      </c>
      <c r="I61" t="s">
        <v>66</v>
      </c>
      <c r="J61" t="s">
        <v>67</v>
      </c>
      <c r="K61" t="s">
        <v>281</v>
      </c>
      <c r="L61" t="s">
        <v>72</v>
      </c>
      <c r="M61" t="s">
        <v>73</v>
      </c>
      <c r="N61" t="s">
        <v>66</v>
      </c>
      <c r="O61" t="s">
        <v>73</v>
      </c>
      <c r="P61" t="s">
        <v>66</v>
      </c>
      <c r="Q61" t="s">
        <v>380</v>
      </c>
      <c r="R61" t="s">
        <v>73</v>
      </c>
      <c r="S61" t="s">
        <v>380</v>
      </c>
      <c r="T61" t="s">
        <v>499</v>
      </c>
      <c r="U61" t="s">
        <v>500</v>
      </c>
      <c r="V61" t="s">
        <v>383</v>
      </c>
      <c r="W61" t="s">
        <v>66</v>
      </c>
      <c r="X61" t="s">
        <v>78</v>
      </c>
      <c r="Y61" t="s">
        <v>501</v>
      </c>
      <c r="Z61" t="s">
        <v>385</v>
      </c>
      <c r="AA61" t="s">
        <v>386</v>
      </c>
      <c r="AB61" t="s">
        <v>386</v>
      </c>
      <c r="AC61" t="s">
        <v>82</v>
      </c>
      <c r="AD61" t="s">
        <v>83</v>
      </c>
      <c r="AE61" t="s">
        <v>66</v>
      </c>
      <c r="AF61" t="s">
        <v>357</v>
      </c>
    </row>
    <row r="62" spans="1:32">
      <c r="A62" t="s">
        <v>502</v>
      </c>
      <c r="B62" t="s">
        <v>98</v>
      </c>
      <c r="C62" t="s">
        <v>503</v>
      </c>
      <c r="D62" t="s">
        <v>66</v>
      </c>
      <c r="E62" t="s">
        <v>67</v>
      </c>
      <c r="F62" t="s">
        <v>100</v>
      </c>
      <c r="G62" t="s">
        <v>101</v>
      </c>
      <c r="H62" t="s">
        <v>102</v>
      </c>
      <c r="I62" t="s">
        <v>66</v>
      </c>
      <c r="J62" t="s">
        <v>67</v>
      </c>
      <c r="K62" t="s">
        <v>281</v>
      </c>
      <c r="L62" t="s">
        <v>72</v>
      </c>
      <c r="M62" t="s">
        <v>73</v>
      </c>
      <c r="N62" t="s">
        <v>66</v>
      </c>
      <c r="O62" t="s">
        <v>73</v>
      </c>
      <c r="P62" t="s">
        <v>66</v>
      </c>
      <c r="Q62" t="s">
        <v>380</v>
      </c>
      <c r="R62" t="s">
        <v>73</v>
      </c>
      <c r="S62" t="s">
        <v>380</v>
      </c>
      <c r="T62" t="s">
        <v>504</v>
      </c>
      <c r="U62" t="s">
        <v>505</v>
      </c>
      <c r="V62" t="s">
        <v>383</v>
      </c>
      <c r="W62" t="s">
        <v>66</v>
      </c>
      <c r="X62" t="s">
        <v>78</v>
      </c>
      <c r="Y62" t="s">
        <v>506</v>
      </c>
      <c r="Z62" t="s">
        <v>385</v>
      </c>
      <c r="AA62" t="s">
        <v>386</v>
      </c>
      <c r="AB62" t="s">
        <v>386</v>
      </c>
      <c r="AC62" t="s">
        <v>82</v>
      </c>
      <c r="AD62" t="s">
        <v>83</v>
      </c>
      <c r="AE62" t="s">
        <v>66</v>
      </c>
      <c r="AF62" t="s">
        <v>357</v>
      </c>
    </row>
    <row r="63" spans="1:32">
      <c r="A63" t="s">
        <v>507</v>
      </c>
      <c r="B63" t="s">
        <v>98</v>
      </c>
      <c r="C63" t="s">
        <v>508</v>
      </c>
      <c r="D63" t="s">
        <v>66</v>
      </c>
      <c r="E63" t="s">
        <v>67</v>
      </c>
      <c r="F63" t="s">
        <v>100</v>
      </c>
      <c r="G63" t="s">
        <v>101</v>
      </c>
      <c r="H63" t="s">
        <v>102</v>
      </c>
      <c r="I63" t="s">
        <v>66</v>
      </c>
      <c r="J63" t="s">
        <v>67</v>
      </c>
      <c r="K63" t="s">
        <v>281</v>
      </c>
      <c r="L63" t="s">
        <v>72</v>
      </c>
      <c r="M63" t="s">
        <v>73</v>
      </c>
      <c r="N63" t="s">
        <v>66</v>
      </c>
      <c r="O63" t="s">
        <v>73</v>
      </c>
      <c r="P63" t="s">
        <v>66</v>
      </c>
      <c r="Q63" t="s">
        <v>380</v>
      </c>
      <c r="R63" t="s">
        <v>73</v>
      </c>
      <c r="S63" t="s">
        <v>380</v>
      </c>
      <c r="T63" t="s">
        <v>509</v>
      </c>
      <c r="U63" t="s">
        <v>510</v>
      </c>
      <c r="V63" t="s">
        <v>383</v>
      </c>
      <c r="W63" t="s">
        <v>66</v>
      </c>
      <c r="X63" t="s">
        <v>78</v>
      </c>
      <c r="Y63" t="s">
        <v>511</v>
      </c>
      <c r="Z63" t="s">
        <v>385</v>
      </c>
      <c r="AA63" t="s">
        <v>386</v>
      </c>
      <c r="AB63" t="s">
        <v>386</v>
      </c>
      <c r="AC63" t="s">
        <v>82</v>
      </c>
      <c r="AD63" t="s">
        <v>83</v>
      </c>
      <c r="AE63" t="s">
        <v>66</v>
      </c>
      <c r="AF63" t="s">
        <v>357</v>
      </c>
    </row>
    <row r="64" spans="1:32">
      <c r="A64" t="s">
        <v>512</v>
      </c>
      <c r="B64" t="s">
        <v>98</v>
      </c>
      <c r="C64" t="s">
        <v>513</v>
      </c>
      <c r="D64" t="s">
        <v>66</v>
      </c>
      <c r="E64" t="s">
        <v>67</v>
      </c>
      <c r="F64" t="s">
        <v>100</v>
      </c>
      <c r="G64" t="s">
        <v>101</v>
      </c>
      <c r="H64" t="s">
        <v>102</v>
      </c>
      <c r="I64" t="s">
        <v>66</v>
      </c>
      <c r="J64" t="s">
        <v>67</v>
      </c>
      <c r="K64" t="s">
        <v>281</v>
      </c>
      <c r="L64" t="s">
        <v>72</v>
      </c>
      <c r="M64" t="s">
        <v>73</v>
      </c>
      <c r="N64" t="s">
        <v>66</v>
      </c>
      <c r="O64" t="s">
        <v>73</v>
      </c>
      <c r="P64" t="s">
        <v>66</v>
      </c>
      <c r="Q64" t="s">
        <v>380</v>
      </c>
      <c r="R64" t="s">
        <v>73</v>
      </c>
      <c r="S64" t="s">
        <v>380</v>
      </c>
      <c r="T64" t="s">
        <v>514</v>
      </c>
      <c r="U64" t="s">
        <v>515</v>
      </c>
      <c r="V64" t="s">
        <v>383</v>
      </c>
      <c r="W64" t="s">
        <v>66</v>
      </c>
      <c r="X64" t="s">
        <v>78</v>
      </c>
      <c r="Y64" t="s">
        <v>516</v>
      </c>
      <c r="Z64" t="s">
        <v>385</v>
      </c>
      <c r="AA64" t="s">
        <v>386</v>
      </c>
      <c r="AB64" t="s">
        <v>386</v>
      </c>
      <c r="AC64" t="s">
        <v>82</v>
      </c>
      <c r="AD64" t="s">
        <v>83</v>
      </c>
      <c r="AE64" t="s">
        <v>66</v>
      </c>
      <c r="AF64" t="s">
        <v>357</v>
      </c>
    </row>
    <row r="65" spans="1:32">
      <c r="A65" t="s">
        <v>517</v>
      </c>
      <c r="B65" t="s">
        <v>334</v>
      </c>
      <c r="C65" t="s">
        <v>518</v>
      </c>
      <c r="D65" t="s">
        <v>518</v>
      </c>
      <c r="E65" t="s">
        <v>109</v>
      </c>
      <c r="F65" t="s">
        <v>253</v>
      </c>
      <c r="G65" t="s">
        <v>254</v>
      </c>
      <c r="H65" t="s">
        <v>66</v>
      </c>
      <c r="I65" t="s">
        <v>66</v>
      </c>
      <c r="J65" t="s">
        <v>67</v>
      </c>
      <c r="K65" t="s">
        <v>71</v>
      </c>
      <c r="L65" t="s">
        <v>72</v>
      </c>
      <c r="M65" t="s">
        <v>73</v>
      </c>
      <c r="N65" t="s">
        <v>66</v>
      </c>
      <c r="O65" t="s">
        <v>73</v>
      </c>
      <c r="P65" t="s">
        <v>66</v>
      </c>
      <c r="Q65" t="s">
        <v>519</v>
      </c>
      <c r="R65" t="s">
        <v>73</v>
      </c>
      <c r="S65" t="s">
        <v>519</v>
      </c>
      <c r="T65" t="s">
        <v>520</v>
      </c>
      <c r="U65" t="s">
        <v>521</v>
      </c>
      <c r="V65" t="s">
        <v>522</v>
      </c>
      <c r="W65" t="s">
        <v>66</v>
      </c>
      <c r="X65" t="s">
        <v>78</v>
      </c>
      <c r="Y65" t="s">
        <v>523</v>
      </c>
      <c r="Z65" t="s">
        <v>117</v>
      </c>
      <c r="AA65" t="s">
        <v>524</v>
      </c>
      <c r="AB65" t="s">
        <v>524</v>
      </c>
      <c r="AC65" t="s">
        <v>82</v>
      </c>
      <c r="AD65" t="s">
        <v>83</v>
      </c>
      <c r="AE65" t="s">
        <v>66</v>
      </c>
      <c r="AF65" t="s">
        <v>525</v>
      </c>
    </row>
    <row r="66" spans="1:32">
      <c r="A66" t="s">
        <v>526</v>
      </c>
      <c r="B66" t="s">
        <v>107</v>
      </c>
      <c r="C66" t="s">
        <v>527</v>
      </c>
      <c r="D66" t="s">
        <v>527</v>
      </c>
      <c r="E66" t="s">
        <v>109</v>
      </c>
      <c r="F66" t="s">
        <v>253</v>
      </c>
      <c r="G66" t="s">
        <v>254</v>
      </c>
      <c r="H66" t="s">
        <v>66</v>
      </c>
      <c r="I66" t="s">
        <v>66</v>
      </c>
      <c r="J66" t="s">
        <v>67</v>
      </c>
      <c r="K66" t="s">
        <v>71</v>
      </c>
      <c r="L66" t="s">
        <v>72</v>
      </c>
      <c r="M66" t="s">
        <v>73</v>
      </c>
      <c r="N66" t="s">
        <v>66</v>
      </c>
      <c r="O66" t="s">
        <v>73</v>
      </c>
      <c r="P66" t="s">
        <v>66</v>
      </c>
      <c r="Q66" t="s">
        <v>519</v>
      </c>
      <c r="R66" t="s">
        <v>73</v>
      </c>
      <c r="S66" t="s">
        <v>519</v>
      </c>
      <c r="T66" t="s">
        <v>528</v>
      </c>
      <c r="U66" t="s">
        <v>529</v>
      </c>
      <c r="V66" t="s">
        <v>522</v>
      </c>
      <c r="W66" t="s">
        <v>66</v>
      </c>
      <c r="X66" t="s">
        <v>78</v>
      </c>
      <c r="Y66" t="s">
        <v>530</v>
      </c>
      <c r="Z66" t="s">
        <v>117</v>
      </c>
      <c r="AA66" t="s">
        <v>524</v>
      </c>
      <c r="AB66" t="s">
        <v>524</v>
      </c>
      <c r="AC66" t="s">
        <v>82</v>
      </c>
      <c r="AD66" t="s">
        <v>83</v>
      </c>
      <c r="AE66" t="s">
        <v>66</v>
      </c>
      <c r="AF66" t="s">
        <v>525</v>
      </c>
    </row>
    <row r="67" spans="1:32">
      <c r="A67" t="s">
        <v>531</v>
      </c>
      <c r="B67" t="s">
        <v>308</v>
      </c>
      <c r="C67" t="s">
        <v>532</v>
      </c>
      <c r="D67" t="s">
        <v>532</v>
      </c>
      <c r="E67" t="s">
        <v>109</v>
      </c>
      <c r="F67" t="s">
        <v>110</v>
      </c>
      <c r="G67" t="s">
        <v>111</v>
      </c>
      <c r="H67" t="s">
        <v>66</v>
      </c>
      <c r="I67" t="s">
        <v>66</v>
      </c>
      <c r="J67" t="s">
        <v>67</v>
      </c>
      <c r="K67" t="s">
        <v>71</v>
      </c>
      <c r="L67" t="s">
        <v>72</v>
      </c>
      <c r="M67" t="s">
        <v>73</v>
      </c>
      <c r="N67" t="s">
        <v>66</v>
      </c>
      <c r="O67" t="s">
        <v>73</v>
      </c>
      <c r="P67" t="s">
        <v>66</v>
      </c>
      <c r="Q67" t="s">
        <v>533</v>
      </c>
      <c r="R67" t="s">
        <v>73</v>
      </c>
      <c r="S67" t="s">
        <v>533</v>
      </c>
      <c r="T67" t="s">
        <v>534</v>
      </c>
      <c r="U67" t="s">
        <v>535</v>
      </c>
      <c r="V67" t="s">
        <v>536</v>
      </c>
      <c r="W67" t="s">
        <v>66</v>
      </c>
      <c r="X67" t="s">
        <v>78</v>
      </c>
      <c r="Y67" t="s">
        <v>537</v>
      </c>
      <c r="Z67" t="s">
        <v>117</v>
      </c>
      <c r="AA67" t="s">
        <v>538</v>
      </c>
      <c r="AB67" t="s">
        <v>538</v>
      </c>
      <c r="AC67" t="s">
        <v>82</v>
      </c>
      <c r="AD67" t="s">
        <v>83</v>
      </c>
      <c r="AE67" t="s">
        <v>66</v>
      </c>
      <c r="AF67" t="s">
        <v>525</v>
      </c>
    </row>
    <row r="68" spans="1:32">
      <c r="A68" t="s">
        <v>539</v>
      </c>
      <c r="B68" t="s">
        <v>540</v>
      </c>
      <c r="C68" t="s">
        <v>541</v>
      </c>
      <c r="D68" t="s">
        <v>66</v>
      </c>
      <c r="E68" t="s">
        <v>66</v>
      </c>
      <c r="F68" t="s">
        <v>68</v>
      </c>
      <c r="G68" t="s">
        <v>69</v>
      </c>
      <c r="H68" t="s">
        <v>70</v>
      </c>
      <c r="I68" t="s">
        <v>66</v>
      </c>
      <c r="J68" t="s">
        <v>67</v>
      </c>
      <c r="K68" t="s">
        <v>71</v>
      </c>
      <c r="L68" t="s">
        <v>72</v>
      </c>
      <c r="M68" t="s">
        <v>73</v>
      </c>
      <c r="N68" t="s">
        <v>66</v>
      </c>
      <c r="O68" t="s">
        <v>73</v>
      </c>
      <c r="P68" t="s">
        <v>66</v>
      </c>
      <c r="Q68" t="s">
        <v>542</v>
      </c>
      <c r="R68" t="s">
        <v>73</v>
      </c>
      <c r="S68" t="s">
        <v>542</v>
      </c>
      <c r="T68" t="s">
        <v>543</v>
      </c>
      <c r="U68" t="s">
        <v>544</v>
      </c>
      <c r="V68" t="s">
        <v>545</v>
      </c>
      <c r="W68" t="s">
        <v>66</v>
      </c>
      <c r="X68" t="s">
        <v>78</v>
      </c>
      <c r="Y68" t="s">
        <v>546</v>
      </c>
      <c r="Z68" t="s">
        <v>158</v>
      </c>
      <c r="AA68" t="s">
        <v>547</v>
      </c>
      <c r="AB68" t="s">
        <v>547</v>
      </c>
      <c r="AC68" t="s">
        <v>82</v>
      </c>
      <c r="AD68" t="s">
        <v>83</v>
      </c>
      <c r="AE68" t="s">
        <v>66</v>
      </c>
      <c r="AF68" t="s">
        <v>525</v>
      </c>
    </row>
    <row r="69" spans="1:32">
      <c r="A69" t="s">
        <v>548</v>
      </c>
      <c r="B69" t="s">
        <v>549</v>
      </c>
      <c r="C69" t="s">
        <v>550</v>
      </c>
      <c r="D69" t="s">
        <v>66</v>
      </c>
      <c r="E69" t="s">
        <v>67</v>
      </c>
      <c r="F69" t="s">
        <v>110</v>
      </c>
      <c r="G69" t="s">
        <v>111</v>
      </c>
      <c r="H69" t="s">
        <v>66</v>
      </c>
      <c r="I69" t="s">
        <v>66</v>
      </c>
      <c r="J69" t="s">
        <v>67</v>
      </c>
      <c r="K69" t="s">
        <v>71</v>
      </c>
      <c r="L69" t="s">
        <v>72</v>
      </c>
      <c r="M69" t="s">
        <v>73</v>
      </c>
      <c r="N69" t="s">
        <v>66</v>
      </c>
      <c r="O69" t="s">
        <v>73</v>
      </c>
      <c r="P69" t="s">
        <v>66</v>
      </c>
      <c r="Q69" t="s">
        <v>551</v>
      </c>
      <c r="R69" t="s">
        <v>73</v>
      </c>
      <c r="S69" t="s">
        <v>551</v>
      </c>
      <c r="T69" t="s">
        <v>552</v>
      </c>
      <c r="U69" t="s">
        <v>553</v>
      </c>
      <c r="V69" t="s">
        <v>554</v>
      </c>
      <c r="W69" t="s">
        <v>66</v>
      </c>
      <c r="X69" t="s">
        <v>78</v>
      </c>
      <c r="Y69" t="s">
        <v>555</v>
      </c>
      <c r="Z69" t="s">
        <v>158</v>
      </c>
      <c r="AA69" t="s">
        <v>556</v>
      </c>
      <c r="AB69" t="s">
        <v>556</v>
      </c>
      <c r="AC69" t="s">
        <v>82</v>
      </c>
      <c r="AD69" t="s">
        <v>83</v>
      </c>
      <c r="AE69" t="s">
        <v>66</v>
      </c>
      <c r="AF69" t="s">
        <v>525</v>
      </c>
    </row>
    <row r="70" spans="1:32">
      <c r="A70" t="s">
        <v>557</v>
      </c>
      <c r="B70" t="s">
        <v>558</v>
      </c>
      <c r="C70" t="s">
        <v>559</v>
      </c>
      <c r="D70" t="s">
        <v>559</v>
      </c>
      <c r="E70" t="s">
        <v>109</v>
      </c>
      <c r="F70" t="s">
        <v>253</v>
      </c>
      <c r="G70" t="s">
        <v>254</v>
      </c>
      <c r="H70" t="s">
        <v>66</v>
      </c>
      <c r="I70" t="s">
        <v>66</v>
      </c>
      <c r="J70" t="s">
        <v>67</v>
      </c>
      <c r="K70" t="s">
        <v>71</v>
      </c>
      <c r="L70" t="s">
        <v>72</v>
      </c>
      <c r="M70" t="s">
        <v>73</v>
      </c>
      <c r="N70" t="s">
        <v>66</v>
      </c>
      <c r="O70" t="s">
        <v>73</v>
      </c>
      <c r="P70" t="s">
        <v>66</v>
      </c>
      <c r="Q70" t="s">
        <v>560</v>
      </c>
      <c r="R70" t="s">
        <v>73</v>
      </c>
      <c r="S70" t="s">
        <v>560</v>
      </c>
      <c r="T70" t="s">
        <v>561</v>
      </c>
      <c r="U70" t="s">
        <v>562</v>
      </c>
      <c r="V70" t="s">
        <v>563</v>
      </c>
      <c r="W70" t="s">
        <v>66</v>
      </c>
      <c r="X70" t="s">
        <v>78</v>
      </c>
      <c r="Y70" t="s">
        <v>564</v>
      </c>
      <c r="Z70" t="s">
        <v>158</v>
      </c>
      <c r="AA70" t="s">
        <v>556</v>
      </c>
      <c r="AB70" t="s">
        <v>556</v>
      </c>
      <c r="AC70" t="s">
        <v>82</v>
      </c>
      <c r="AD70" t="s">
        <v>83</v>
      </c>
      <c r="AE70" t="s">
        <v>66</v>
      </c>
      <c r="AF70" t="s">
        <v>525</v>
      </c>
    </row>
    <row r="71" spans="1:32">
      <c r="A71" t="s">
        <v>565</v>
      </c>
      <c r="B71" t="s">
        <v>566</v>
      </c>
      <c r="C71" t="s">
        <v>567</v>
      </c>
      <c r="D71" t="s">
        <v>567</v>
      </c>
      <c r="E71" t="s">
        <v>109</v>
      </c>
      <c r="F71" t="s">
        <v>68</v>
      </c>
      <c r="G71" t="s">
        <v>69</v>
      </c>
      <c r="H71" t="s">
        <v>70</v>
      </c>
      <c r="I71" t="s">
        <v>66</v>
      </c>
      <c r="J71" t="s">
        <v>67</v>
      </c>
      <c r="K71" t="s">
        <v>71</v>
      </c>
      <c r="L71" t="s">
        <v>72</v>
      </c>
      <c r="M71" t="s">
        <v>73</v>
      </c>
      <c r="N71" t="s">
        <v>66</v>
      </c>
      <c r="O71" t="s">
        <v>73</v>
      </c>
      <c r="P71" t="s">
        <v>66</v>
      </c>
      <c r="Q71" t="s">
        <v>568</v>
      </c>
      <c r="R71" t="s">
        <v>73</v>
      </c>
      <c r="S71" t="s">
        <v>568</v>
      </c>
      <c r="T71" t="s">
        <v>569</v>
      </c>
      <c r="U71" t="s">
        <v>570</v>
      </c>
      <c r="V71" t="s">
        <v>571</v>
      </c>
      <c r="W71" t="s">
        <v>66</v>
      </c>
      <c r="X71" t="s">
        <v>78</v>
      </c>
      <c r="Y71" t="s">
        <v>572</v>
      </c>
      <c r="Z71" t="s">
        <v>117</v>
      </c>
      <c r="AA71" t="s">
        <v>573</v>
      </c>
      <c r="AB71" t="s">
        <v>573</v>
      </c>
      <c r="AC71" t="s">
        <v>82</v>
      </c>
      <c r="AD71" t="s">
        <v>83</v>
      </c>
      <c r="AE71" t="s">
        <v>66</v>
      </c>
      <c r="AF71" t="s">
        <v>525</v>
      </c>
    </row>
    <row r="72" spans="1:32">
      <c r="A72" t="s">
        <v>574</v>
      </c>
      <c r="B72" t="s">
        <v>86</v>
      </c>
      <c r="C72" t="s">
        <v>575</v>
      </c>
      <c r="D72" t="s">
        <v>66</v>
      </c>
      <c r="E72" t="s">
        <v>67</v>
      </c>
      <c r="F72" t="s">
        <v>253</v>
      </c>
      <c r="G72" t="s">
        <v>254</v>
      </c>
      <c r="H72" t="s">
        <v>66</v>
      </c>
      <c r="I72" t="s">
        <v>66</v>
      </c>
      <c r="J72" t="s">
        <v>67</v>
      </c>
      <c r="K72" t="s">
        <v>281</v>
      </c>
      <c r="L72" t="s">
        <v>72</v>
      </c>
      <c r="M72" t="s">
        <v>73</v>
      </c>
      <c r="N72" t="s">
        <v>66</v>
      </c>
      <c r="O72" t="s">
        <v>73</v>
      </c>
      <c r="P72" t="s">
        <v>66</v>
      </c>
      <c r="Q72" t="s">
        <v>576</v>
      </c>
      <c r="R72" t="s">
        <v>73</v>
      </c>
      <c r="S72" t="s">
        <v>576</v>
      </c>
      <c r="T72" t="s">
        <v>577</v>
      </c>
      <c r="U72" t="s">
        <v>578</v>
      </c>
      <c r="V72" t="s">
        <v>579</v>
      </c>
      <c r="W72" t="s">
        <v>66</v>
      </c>
      <c r="X72" t="s">
        <v>78</v>
      </c>
      <c r="Y72" t="s">
        <v>580</v>
      </c>
      <c r="Z72" t="s">
        <v>385</v>
      </c>
      <c r="AA72" t="s">
        <v>581</v>
      </c>
      <c r="AB72" t="s">
        <v>581</v>
      </c>
      <c r="AC72" t="s">
        <v>82</v>
      </c>
      <c r="AD72" t="s">
        <v>83</v>
      </c>
      <c r="AE72" t="s">
        <v>66</v>
      </c>
      <c r="AF72" t="s">
        <v>525</v>
      </c>
    </row>
    <row r="73" spans="1:32">
      <c r="A73" t="s">
        <v>574</v>
      </c>
      <c r="B73" t="s">
        <v>86</v>
      </c>
      <c r="C73" t="s">
        <v>575</v>
      </c>
      <c r="D73" t="s">
        <v>66</v>
      </c>
      <c r="E73" t="s">
        <v>67</v>
      </c>
      <c r="F73" t="s">
        <v>253</v>
      </c>
      <c r="G73" t="s">
        <v>254</v>
      </c>
      <c r="H73" t="s">
        <v>66</v>
      </c>
      <c r="I73" t="s">
        <v>66</v>
      </c>
      <c r="J73" t="s">
        <v>67</v>
      </c>
      <c r="K73" t="s">
        <v>71</v>
      </c>
      <c r="L73" t="s">
        <v>72</v>
      </c>
      <c r="M73" t="s">
        <v>73</v>
      </c>
      <c r="N73" t="s">
        <v>66</v>
      </c>
      <c r="O73" t="s">
        <v>73</v>
      </c>
      <c r="P73" t="s">
        <v>66</v>
      </c>
      <c r="Q73" t="s">
        <v>582</v>
      </c>
      <c r="R73" t="s">
        <v>73</v>
      </c>
      <c r="S73" t="s">
        <v>582</v>
      </c>
      <c r="T73" t="s">
        <v>583</v>
      </c>
      <c r="U73" t="s">
        <v>584</v>
      </c>
      <c r="V73" t="s">
        <v>585</v>
      </c>
      <c r="W73" t="s">
        <v>66</v>
      </c>
      <c r="X73" t="s">
        <v>78</v>
      </c>
      <c r="Y73" t="s">
        <v>586</v>
      </c>
      <c r="Z73" t="s">
        <v>385</v>
      </c>
      <c r="AA73" t="s">
        <v>581</v>
      </c>
      <c r="AB73" t="s">
        <v>581</v>
      </c>
      <c r="AC73" t="s">
        <v>82</v>
      </c>
      <c r="AD73" t="s">
        <v>83</v>
      </c>
      <c r="AE73" t="s">
        <v>66</v>
      </c>
      <c r="AF73" t="s">
        <v>525</v>
      </c>
    </row>
    <row r="74" spans="1:32">
      <c r="A74" t="s">
        <v>587</v>
      </c>
      <c r="B74" t="s">
        <v>86</v>
      </c>
      <c r="C74" t="s">
        <v>588</v>
      </c>
      <c r="D74" t="s">
        <v>66</v>
      </c>
      <c r="E74" t="s">
        <v>67</v>
      </c>
      <c r="F74" t="s">
        <v>253</v>
      </c>
      <c r="G74" t="s">
        <v>254</v>
      </c>
      <c r="H74" t="s">
        <v>66</v>
      </c>
      <c r="I74" t="s">
        <v>66</v>
      </c>
      <c r="J74" t="s">
        <v>67</v>
      </c>
      <c r="K74" t="s">
        <v>71</v>
      </c>
      <c r="L74" t="s">
        <v>72</v>
      </c>
      <c r="M74" t="s">
        <v>73</v>
      </c>
      <c r="N74" t="s">
        <v>66</v>
      </c>
      <c r="O74" t="s">
        <v>73</v>
      </c>
      <c r="P74" t="s">
        <v>66</v>
      </c>
      <c r="Q74" t="s">
        <v>589</v>
      </c>
      <c r="R74" t="s">
        <v>73</v>
      </c>
      <c r="S74" t="s">
        <v>589</v>
      </c>
      <c r="T74" t="s">
        <v>590</v>
      </c>
      <c r="U74" t="s">
        <v>591</v>
      </c>
      <c r="V74" t="s">
        <v>592</v>
      </c>
      <c r="W74" t="s">
        <v>66</v>
      </c>
      <c r="X74" t="s">
        <v>78</v>
      </c>
      <c r="Y74" t="s">
        <v>593</v>
      </c>
      <c r="Z74" t="s">
        <v>385</v>
      </c>
      <c r="AA74" t="s">
        <v>594</v>
      </c>
      <c r="AB74" t="s">
        <v>594</v>
      </c>
      <c r="AC74" t="s">
        <v>82</v>
      </c>
      <c r="AD74" t="s">
        <v>83</v>
      </c>
      <c r="AE74" t="s">
        <v>66</v>
      </c>
      <c r="AF74" t="s">
        <v>525</v>
      </c>
    </row>
    <row r="75" spans="1:32">
      <c r="A75" t="s">
        <v>595</v>
      </c>
      <c r="B75" t="s">
        <v>98</v>
      </c>
      <c r="C75" t="s">
        <v>596</v>
      </c>
      <c r="D75" t="s">
        <v>66</v>
      </c>
      <c r="E75" t="s">
        <v>67</v>
      </c>
      <c r="F75" t="s">
        <v>100</v>
      </c>
      <c r="G75" t="s">
        <v>101</v>
      </c>
      <c r="H75" t="s">
        <v>102</v>
      </c>
      <c r="I75" t="s">
        <v>66</v>
      </c>
      <c r="J75" t="s">
        <v>67</v>
      </c>
      <c r="K75" t="s">
        <v>71</v>
      </c>
      <c r="L75" t="s">
        <v>72</v>
      </c>
      <c r="M75" t="s">
        <v>73</v>
      </c>
      <c r="N75" t="s">
        <v>66</v>
      </c>
      <c r="O75" t="s">
        <v>73</v>
      </c>
      <c r="P75" t="s">
        <v>66</v>
      </c>
      <c r="Q75" t="s">
        <v>589</v>
      </c>
      <c r="R75" t="s">
        <v>73</v>
      </c>
      <c r="S75" t="s">
        <v>589</v>
      </c>
      <c r="T75" t="s">
        <v>597</v>
      </c>
      <c r="U75" t="s">
        <v>598</v>
      </c>
      <c r="V75" t="s">
        <v>592</v>
      </c>
      <c r="W75" t="s">
        <v>66</v>
      </c>
      <c r="X75" t="s">
        <v>78</v>
      </c>
      <c r="Y75" t="s">
        <v>599</v>
      </c>
      <c r="Z75" t="s">
        <v>385</v>
      </c>
      <c r="AA75" t="s">
        <v>594</v>
      </c>
      <c r="AB75" t="s">
        <v>594</v>
      </c>
      <c r="AC75" t="s">
        <v>82</v>
      </c>
      <c r="AD75" t="s">
        <v>83</v>
      </c>
      <c r="AE75" t="s">
        <v>66</v>
      </c>
      <c r="AF75" t="s">
        <v>525</v>
      </c>
    </row>
    <row r="76" spans="1:32">
      <c r="A76" t="s">
        <v>600</v>
      </c>
      <c r="B76" t="s">
        <v>86</v>
      </c>
      <c r="C76" t="s">
        <v>601</v>
      </c>
      <c r="D76" t="s">
        <v>66</v>
      </c>
      <c r="E76" t="s">
        <v>67</v>
      </c>
      <c r="F76" t="s">
        <v>253</v>
      </c>
      <c r="G76" t="s">
        <v>254</v>
      </c>
      <c r="H76" t="s">
        <v>66</v>
      </c>
      <c r="I76" t="s">
        <v>66</v>
      </c>
      <c r="J76" t="s">
        <v>67</v>
      </c>
      <c r="K76" t="s">
        <v>71</v>
      </c>
      <c r="L76" t="s">
        <v>72</v>
      </c>
      <c r="M76" t="s">
        <v>73</v>
      </c>
      <c r="N76" t="s">
        <v>66</v>
      </c>
      <c r="O76" t="s">
        <v>73</v>
      </c>
      <c r="P76" t="s">
        <v>66</v>
      </c>
      <c r="Q76" t="s">
        <v>602</v>
      </c>
      <c r="R76" t="s">
        <v>73</v>
      </c>
      <c r="S76" t="s">
        <v>602</v>
      </c>
      <c r="T76" t="s">
        <v>603</v>
      </c>
      <c r="U76" t="s">
        <v>604</v>
      </c>
      <c r="V76" t="s">
        <v>605</v>
      </c>
      <c r="W76" t="s">
        <v>66</v>
      </c>
      <c r="X76" t="s">
        <v>78</v>
      </c>
      <c r="Y76" t="s">
        <v>606</v>
      </c>
      <c r="Z76" t="s">
        <v>385</v>
      </c>
      <c r="AA76" t="s">
        <v>607</v>
      </c>
      <c r="AB76" t="s">
        <v>607</v>
      </c>
      <c r="AC76" t="s">
        <v>82</v>
      </c>
      <c r="AD76" t="s">
        <v>83</v>
      </c>
      <c r="AE76" t="s">
        <v>66</v>
      </c>
      <c r="AF76" t="s">
        <v>525</v>
      </c>
    </row>
    <row r="77" spans="1:32">
      <c r="A77" t="s">
        <v>608</v>
      </c>
      <c r="B77" t="s">
        <v>325</v>
      </c>
      <c r="C77" t="s">
        <v>609</v>
      </c>
      <c r="D77" t="s">
        <v>66</v>
      </c>
      <c r="E77" t="s">
        <v>67</v>
      </c>
      <c r="F77" t="s">
        <v>100</v>
      </c>
      <c r="G77" t="s">
        <v>101</v>
      </c>
      <c r="H77" t="s">
        <v>102</v>
      </c>
      <c r="I77" t="s">
        <v>66</v>
      </c>
      <c r="J77" t="s">
        <v>67</v>
      </c>
      <c r="K77" t="s">
        <v>71</v>
      </c>
      <c r="L77" t="s">
        <v>72</v>
      </c>
      <c r="M77" t="s">
        <v>73</v>
      </c>
      <c r="N77" t="s">
        <v>66</v>
      </c>
      <c r="O77" t="s">
        <v>73</v>
      </c>
      <c r="P77" t="s">
        <v>66</v>
      </c>
      <c r="Q77" t="s">
        <v>610</v>
      </c>
      <c r="R77" t="s">
        <v>73</v>
      </c>
      <c r="S77" t="s">
        <v>610</v>
      </c>
      <c r="T77" t="s">
        <v>611</v>
      </c>
      <c r="U77" t="s">
        <v>612</v>
      </c>
      <c r="V77" t="s">
        <v>613</v>
      </c>
      <c r="W77" t="s">
        <v>66</v>
      </c>
      <c r="X77" t="s">
        <v>78</v>
      </c>
      <c r="Y77" t="s">
        <v>614</v>
      </c>
      <c r="Z77" t="s">
        <v>385</v>
      </c>
      <c r="AA77" t="s">
        <v>607</v>
      </c>
      <c r="AB77" t="s">
        <v>607</v>
      </c>
      <c r="AC77" t="s">
        <v>82</v>
      </c>
      <c r="AD77" t="s">
        <v>83</v>
      </c>
      <c r="AE77" t="s">
        <v>66</v>
      </c>
      <c r="AF77" t="s">
        <v>525</v>
      </c>
    </row>
    <row r="78" spans="1:32">
      <c r="A78" t="s">
        <v>615</v>
      </c>
      <c r="B78" t="s">
        <v>616</v>
      </c>
      <c r="C78" t="s">
        <v>617</v>
      </c>
      <c r="D78" t="s">
        <v>66</v>
      </c>
      <c r="E78" t="s">
        <v>67</v>
      </c>
      <c r="F78" t="s">
        <v>100</v>
      </c>
      <c r="G78" t="s">
        <v>101</v>
      </c>
      <c r="H78" t="s">
        <v>102</v>
      </c>
      <c r="I78" t="s">
        <v>66</v>
      </c>
      <c r="J78" t="s">
        <v>67</v>
      </c>
      <c r="K78" t="s">
        <v>71</v>
      </c>
      <c r="L78" t="s">
        <v>72</v>
      </c>
      <c r="M78" t="s">
        <v>73</v>
      </c>
      <c r="N78" t="s">
        <v>66</v>
      </c>
      <c r="O78" t="s">
        <v>73</v>
      </c>
      <c r="P78" t="s">
        <v>66</v>
      </c>
      <c r="Q78" t="s">
        <v>610</v>
      </c>
      <c r="R78" t="s">
        <v>73</v>
      </c>
      <c r="S78" t="s">
        <v>610</v>
      </c>
      <c r="T78" t="s">
        <v>618</v>
      </c>
      <c r="U78" t="s">
        <v>619</v>
      </c>
      <c r="V78" t="s">
        <v>613</v>
      </c>
      <c r="W78" t="s">
        <v>66</v>
      </c>
      <c r="X78" t="s">
        <v>78</v>
      </c>
      <c r="Y78" t="s">
        <v>620</v>
      </c>
      <c r="Z78" t="s">
        <v>385</v>
      </c>
      <c r="AA78" t="s">
        <v>607</v>
      </c>
      <c r="AB78" t="s">
        <v>607</v>
      </c>
      <c r="AC78" t="s">
        <v>82</v>
      </c>
      <c r="AD78" t="s">
        <v>83</v>
      </c>
      <c r="AE78" t="s">
        <v>66</v>
      </c>
      <c r="AF78" t="s">
        <v>525</v>
      </c>
    </row>
    <row r="79" spans="1:32">
      <c r="A79" t="s">
        <v>621</v>
      </c>
      <c r="B79" t="s">
        <v>622</v>
      </c>
      <c r="C79" t="s">
        <v>623</v>
      </c>
      <c r="D79" t="s">
        <v>66</v>
      </c>
      <c r="E79" t="s">
        <v>67</v>
      </c>
      <c r="F79" t="s">
        <v>100</v>
      </c>
      <c r="G79" t="s">
        <v>101</v>
      </c>
      <c r="H79" t="s">
        <v>102</v>
      </c>
      <c r="I79" t="s">
        <v>66</v>
      </c>
      <c r="J79" t="s">
        <v>67</v>
      </c>
      <c r="K79" t="s">
        <v>71</v>
      </c>
      <c r="L79" t="s">
        <v>72</v>
      </c>
      <c r="M79" t="s">
        <v>73</v>
      </c>
      <c r="N79" t="s">
        <v>66</v>
      </c>
      <c r="O79" t="s">
        <v>73</v>
      </c>
      <c r="P79" t="s">
        <v>66</v>
      </c>
      <c r="Q79" t="s">
        <v>610</v>
      </c>
      <c r="R79" t="s">
        <v>73</v>
      </c>
      <c r="S79" t="s">
        <v>610</v>
      </c>
      <c r="T79" t="s">
        <v>624</v>
      </c>
      <c r="U79" t="s">
        <v>625</v>
      </c>
      <c r="V79" t="s">
        <v>613</v>
      </c>
      <c r="W79" t="s">
        <v>66</v>
      </c>
      <c r="X79" t="s">
        <v>78</v>
      </c>
      <c r="Y79" t="s">
        <v>626</v>
      </c>
      <c r="Z79" t="s">
        <v>385</v>
      </c>
      <c r="AA79" t="s">
        <v>607</v>
      </c>
      <c r="AB79" t="s">
        <v>607</v>
      </c>
      <c r="AC79" t="s">
        <v>82</v>
      </c>
      <c r="AD79" t="s">
        <v>83</v>
      </c>
      <c r="AE79" t="s">
        <v>66</v>
      </c>
      <c r="AF79" t="s">
        <v>525</v>
      </c>
    </row>
    <row r="80" spans="1:32">
      <c r="A80" t="s">
        <v>627</v>
      </c>
      <c r="B80" t="s">
        <v>325</v>
      </c>
      <c r="C80" t="s">
        <v>628</v>
      </c>
      <c r="D80" t="s">
        <v>66</v>
      </c>
      <c r="E80" t="s">
        <v>67</v>
      </c>
      <c r="F80" t="s">
        <v>100</v>
      </c>
      <c r="G80" t="s">
        <v>101</v>
      </c>
      <c r="H80" t="s">
        <v>102</v>
      </c>
      <c r="I80" t="s">
        <v>66</v>
      </c>
      <c r="J80" t="s">
        <v>67</v>
      </c>
      <c r="K80" t="s">
        <v>71</v>
      </c>
      <c r="L80" t="s">
        <v>72</v>
      </c>
      <c r="M80" t="s">
        <v>73</v>
      </c>
      <c r="N80" t="s">
        <v>66</v>
      </c>
      <c r="O80" t="s">
        <v>73</v>
      </c>
      <c r="P80" t="s">
        <v>66</v>
      </c>
      <c r="Q80" t="s">
        <v>610</v>
      </c>
      <c r="R80" t="s">
        <v>73</v>
      </c>
      <c r="S80" t="s">
        <v>610</v>
      </c>
      <c r="T80" t="s">
        <v>629</v>
      </c>
      <c r="U80" t="s">
        <v>630</v>
      </c>
      <c r="V80" t="s">
        <v>613</v>
      </c>
      <c r="W80" t="s">
        <v>66</v>
      </c>
      <c r="X80" t="s">
        <v>78</v>
      </c>
      <c r="Y80" t="s">
        <v>631</v>
      </c>
      <c r="Z80" t="s">
        <v>385</v>
      </c>
      <c r="AA80" t="s">
        <v>607</v>
      </c>
      <c r="AB80" t="s">
        <v>607</v>
      </c>
      <c r="AC80" t="s">
        <v>82</v>
      </c>
      <c r="AD80" t="s">
        <v>83</v>
      </c>
      <c r="AE80" t="s">
        <v>66</v>
      </c>
      <c r="AF80" t="s">
        <v>525</v>
      </c>
    </row>
    <row r="81" spans="1:32">
      <c r="A81" t="s">
        <v>632</v>
      </c>
      <c r="B81" t="s">
        <v>325</v>
      </c>
      <c r="C81" t="s">
        <v>633</v>
      </c>
      <c r="D81" t="s">
        <v>66</v>
      </c>
      <c r="E81" t="s">
        <v>67</v>
      </c>
      <c r="F81" t="s">
        <v>100</v>
      </c>
      <c r="G81" t="s">
        <v>101</v>
      </c>
      <c r="H81" t="s">
        <v>102</v>
      </c>
      <c r="I81" t="s">
        <v>66</v>
      </c>
      <c r="J81" t="s">
        <v>67</v>
      </c>
      <c r="K81" t="s">
        <v>71</v>
      </c>
      <c r="L81" t="s">
        <v>72</v>
      </c>
      <c r="M81" t="s">
        <v>73</v>
      </c>
      <c r="N81" t="s">
        <v>66</v>
      </c>
      <c r="O81" t="s">
        <v>73</v>
      </c>
      <c r="P81" t="s">
        <v>66</v>
      </c>
      <c r="Q81" t="s">
        <v>610</v>
      </c>
      <c r="R81" t="s">
        <v>73</v>
      </c>
      <c r="S81" t="s">
        <v>610</v>
      </c>
      <c r="T81" t="s">
        <v>634</v>
      </c>
      <c r="U81" t="s">
        <v>635</v>
      </c>
      <c r="V81" t="s">
        <v>613</v>
      </c>
      <c r="W81" t="s">
        <v>66</v>
      </c>
      <c r="X81" t="s">
        <v>78</v>
      </c>
      <c r="Y81" t="s">
        <v>636</v>
      </c>
      <c r="Z81" t="s">
        <v>385</v>
      </c>
      <c r="AA81" t="s">
        <v>607</v>
      </c>
      <c r="AB81" t="s">
        <v>607</v>
      </c>
      <c r="AC81" t="s">
        <v>82</v>
      </c>
      <c r="AD81" t="s">
        <v>83</v>
      </c>
      <c r="AE81" t="s">
        <v>66</v>
      </c>
      <c r="AF81" t="s">
        <v>525</v>
      </c>
    </row>
    <row r="82" spans="1:32">
      <c r="A82" t="s">
        <v>637</v>
      </c>
      <c r="B82" t="s">
        <v>325</v>
      </c>
      <c r="C82" t="s">
        <v>638</v>
      </c>
      <c r="D82" t="s">
        <v>66</v>
      </c>
      <c r="E82" t="s">
        <v>67</v>
      </c>
      <c r="F82" t="s">
        <v>100</v>
      </c>
      <c r="G82" t="s">
        <v>101</v>
      </c>
      <c r="H82" t="s">
        <v>102</v>
      </c>
      <c r="I82" t="s">
        <v>66</v>
      </c>
      <c r="J82" t="s">
        <v>67</v>
      </c>
      <c r="K82" t="s">
        <v>71</v>
      </c>
      <c r="L82" t="s">
        <v>72</v>
      </c>
      <c r="M82" t="s">
        <v>73</v>
      </c>
      <c r="N82" t="s">
        <v>66</v>
      </c>
      <c r="O82" t="s">
        <v>73</v>
      </c>
      <c r="P82" t="s">
        <v>66</v>
      </c>
      <c r="Q82" t="s">
        <v>610</v>
      </c>
      <c r="R82" t="s">
        <v>73</v>
      </c>
      <c r="S82" t="s">
        <v>610</v>
      </c>
      <c r="T82" t="s">
        <v>639</v>
      </c>
      <c r="U82" t="s">
        <v>640</v>
      </c>
      <c r="V82" t="s">
        <v>613</v>
      </c>
      <c r="W82" t="s">
        <v>66</v>
      </c>
      <c r="X82" t="s">
        <v>78</v>
      </c>
      <c r="Y82" t="s">
        <v>641</v>
      </c>
      <c r="Z82" t="s">
        <v>385</v>
      </c>
      <c r="AA82" t="s">
        <v>607</v>
      </c>
      <c r="AB82" t="s">
        <v>607</v>
      </c>
      <c r="AC82" t="s">
        <v>82</v>
      </c>
      <c r="AD82" t="s">
        <v>83</v>
      </c>
      <c r="AE82" t="s">
        <v>66</v>
      </c>
      <c r="AF82" t="s">
        <v>525</v>
      </c>
    </row>
    <row r="83" spans="1:32">
      <c r="A83" t="s">
        <v>642</v>
      </c>
      <c r="B83" t="s">
        <v>643</v>
      </c>
      <c r="C83" t="s">
        <v>644</v>
      </c>
      <c r="D83" t="s">
        <v>66</v>
      </c>
      <c r="E83" t="s">
        <v>67</v>
      </c>
      <c r="F83" t="s">
        <v>100</v>
      </c>
      <c r="G83" t="s">
        <v>101</v>
      </c>
      <c r="H83" t="s">
        <v>102</v>
      </c>
      <c r="I83" t="s">
        <v>66</v>
      </c>
      <c r="J83" t="s">
        <v>67</v>
      </c>
      <c r="K83" t="s">
        <v>281</v>
      </c>
      <c r="L83" t="s">
        <v>72</v>
      </c>
      <c r="M83" t="s">
        <v>73</v>
      </c>
      <c r="N83" t="s">
        <v>66</v>
      </c>
      <c r="O83" t="s">
        <v>73</v>
      </c>
      <c r="P83" t="s">
        <v>66</v>
      </c>
      <c r="Q83" t="s">
        <v>610</v>
      </c>
      <c r="R83" t="s">
        <v>73</v>
      </c>
      <c r="S83" t="s">
        <v>610</v>
      </c>
      <c r="T83" t="s">
        <v>645</v>
      </c>
      <c r="U83" t="s">
        <v>646</v>
      </c>
      <c r="V83" t="s">
        <v>613</v>
      </c>
      <c r="W83" t="s">
        <v>66</v>
      </c>
      <c r="X83" t="s">
        <v>78</v>
      </c>
      <c r="Y83" t="s">
        <v>647</v>
      </c>
      <c r="Z83" t="s">
        <v>385</v>
      </c>
      <c r="AA83" t="s">
        <v>607</v>
      </c>
      <c r="AB83" t="s">
        <v>607</v>
      </c>
      <c r="AC83" t="s">
        <v>82</v>
      </c>
      <c r="AD83" t="s">
        <v>83</v>
      </c>
      <c r="AE83" t="s">
        <v>66</v>
      </c>
      <c r="AF83" t="s">
        <v>525</v>
      </c>
    </row>
    <row r="84" spans="1:32">
      <c r="A84" t="s">
        <v>648</v>
      </c>
      <c r="B84" t="s">
        <v>325</v>
      </c>
      <c r="C84" t="s">
        <v>649</v>
      </c>
      <c r="D84" t="s">
        <v>66</v>
      </c>
      <c r="E84" t="s">
        <v>67</v>
      </c>
      <c r="F84" t="s">
        <v>100</v>
      </c>
      <c r="G84" t="s">
        <v>101</v>
      </c>
      <c r="H84" t="s">
        <v>102</v>
      </c>
      <c r="I84" t="s">
        <v>66</v>
      </c>
      <c r="J84" t="s">
        <v>67</v>
      </c>
      <c r="K84" t="s">
        <v>71</v>
      </c>
      <c r="L84" t="s">
        <v>72</v>
      </c>
      <c r="M84" t="s">
        <v>73</v>
      </c>
      <c r="N84" t="s">
        <v>66</v>
      </c>
      <c r="O84" t="s">
        <v>73</v>
      </c>
      <c r="P84" t="s">
        <v>66</v>
      </c>
      <c r="Q84" t="s">
        <v>610</v>
      </c>
      <c r="R84" t="s">
        <v>73</v>
      </c>
      <c r="S84" t="s">
        <v>610</v>
      </c>
      <c r="T84" t="s">
        <v>650</v>
      </c>
      <c r="U84" t="s">
        <v>651</v>
      </c>
      <c r="V84" t="s">
        <v>613</v>
      </c>
      <c r="W84" t="s">
        <v>66</v>
      </c>
      <c r="X84" t="s">
        <v>78</v>
      </c>
      <c r="Y84" t="s">
        <v>652</v>
      </c>
      <c r="Z84" t="s">
        <v>385</v>
      </c>
      <c r="AA84" t="s">
        <v>607</v>
      </c>
      <c r="AB84" t="s">
        <v>607</v>
      </c>
      <c r="AC84" t="s">
        <v>82</v>
      </c>
      <c r="AD84" t="s">
        <v>83</v>
      </c>
      <c r="AE84" t="s">
        <v>66</v>
      </c>
      <c r="AF84" t="s">
        <v>525</v>
      </c>
    </row>
    <row r="85" spans="1:32">
      <c r="A85" t="s">
        <v>653</v>
      </c>
      <c r="B85" t="s">
        <v>325</v>
      </c>
      <c r="C85" t="s">
        <v>654</v>
      </c>
      <c r="D85" t="s">
        <v>66</v>
      </c>
      <c r="E85" t="s">
        <v>67</v>
      </c>
      <c r="F85" t="s">
        <v>100</v>
      </c>
      <c r="G85" t="s">
        <v>101</v>
      </c>
      <c r="H85" t="s">
        <v>102</v>
      </c>
      <c r="I85" t="s">
        <v>66</v>
      </c>
      <c r="J85" t="s">
        <v>67</v>
      </c>
      <c r="K85" t="s">
        <v>71</v>
      </c>
      <c r="L85" t="s">
        <v>72</v>
      </c>
      <c r="M85" t="s">
        <v>73</v>
      </c>
      <c r="N85" t="s">
        <v>66</v>
      </c>
      <c r="O85" t="s">
        <v>73</v>
      </c>
      <c r="P85" t="s">
        <v>66</v>
      </c>
      <c r="Q85" t="s">
        <v>610</v>
      </c>
      <c r="R85" t="s">
        <v>73</v>
      </c>
      <c r="S85" t="s">
        <v>610</v>
      </c>
      <c r="T85" t="s">
        <v>655</v>
      </c>
      <c r="U85" t="s">
        <v>656</v>
      </c>
      <c r="V85" t="s">
        <v>613</v>
      </c>
      <c r="W85" t="s">
        <v>66</v>
      </c>
      <c r="X85" t="s">
        <v>78</v>
      </c>
      <c r="Y85" t="s">
        <v>657</v>
      </c>
      <c r="Z85" t="s">
        <v>385</v>
      </c>
      <c r="AA85" t="s">
        <v>607</v>
      </c>
      <c r="AB85" t="s">
        <v>607</v>
      </c>
      <c r="AC85" t="s">
        <v>82</v>
      </c>
      <c r="AD85" t="s">
        <v>83</v>
      </c>
      <c r="AE85" t="s">
        <v>66</v>
      </c>
      <c r="AF85" t="s">
        <v>525</v>
      </c>
    </row>
    <row r="86" spans="1:32">
      <c r="A86" t="s">
        <v>658</v>
      </c>
      <c r="B86" t="s">
        <v>325</v>
      </c>
      <c r="C86" t="s">
        <v>659</v>
      </c>
      <c r="D86" t="s">
        <v>66</v>
      </c>
      <c r="E86" t="s">
        <v>67</v>
      </c>
      <c r="F86" t="s">
        <v>100</v>
      </c>
      <c r="G86" t="s">
        <v>101</v>
      </c>
      <c r="H86" t="s">
        <v>102</v>
      </c>
      <c r="I86" t="s">
        <v>66</v>
      </c>
      <c r="J86" t="s">
        <v>67</v>
      </c>
      <c r="K86" t="s">
        <v>71</v>
      </c>
      <c r="L86" t="s">
        <v>72</v>
      </c>
      <c r="M86" t="s">
        <v>73</v>
      </c>
      <c r="N86" t="s">
        <v>66</v>
      </c>
      <c r="O86" t="s">
        <v>73</v>
      </c>
      <c r="P86" t="s">
        <v>66</v>
      </c>
      <c r="Q86" t="s">
        <v>610</v>
      </c>
      <c r="R86" t="s">
        <v>73</v>
      </c>
      <c r="S86" t="s">
        <v>610</v>
      </c>
      <c r="T86" t="s">
        <v>660</v>
      </c>
      <c r="U86" t="s">
        <v>661</v>
      </c>
      <c r="V86" t="s">
        <v>613</v>
      </c>
      <c r="W86" t="s">
        <v>66</v>
      </c>
      <c r="X86" t="s">
        <v>78</v>
      </c>
      <c r="Y86" t="s">
        <v>662</v>
      </c>
      <c r="Z86" t="s">
        <v>385</v>
      </c>
      <c r="AA86" t="s">
        <v>607</v>
      </c>
      <c r="AB86" t="s">
        <v>607</v>
      </c>
      <c r="AC86" t="s">
        <v>82</v>
      </c>
      <c r="AD86" t="s">
        <v>83</v>
      </c>
      <c r="AE86" t="s">
        <v>66</v>
      </c>
      <c r="AF86" t="s">
        <v>525</v>
      </c>
    </row>
    <row r="87" spans="1:32">
      <c r="A87" t="s">
        <v>663</v>
      </c>
      <c r="B87" t="s">
        <v>325</v>
      </c>
      <c r="C87" t="s">
        <v>664</v>
      </c>
      <c r="D87" t="s">
        <v>66</v>
      </c>
      <c r="E87" t="s">
        <v>67</v>
      </c>
      <c r="F87" t="s">
        <v>100</v>
      </c>
      <c r="G87" t="s">
        <v>101</v>
      </c>
      <c r="H87" t="s">
        <v>102</v>
      </c>
      <c r="I87" t="s">
        <v>66</v>
      </c>
      <c r="J87" t="s">
        <v>67</v>
      </c>
      <c r="K87" t="s">
        <v>71</v>
      </c>
      <c r="L87" t="s">
        <v>72</v>
      </c>
      <c r="M87" t="s">
        <v>73</v>
      </c>
      <c r="N87" t="s">
        <v>66</v>
      </c>
      <c r="O87" t="s">
        <v>73</v>
      </c>
      <c r="P87" t="s">
        <v>66</v>
      </c>
      <c r="Q87" t="s">
        <v>610</v>
      </c>
      <c r="R87" t="s">
        <v>73</v>
      </c>
      <c r="S87" t="s">
        <v>610</v>
      </c>
      <c r="T87" t="s">
        <v>665</v>
      </c>
      <c r="U87" t="s">
        <v>666</v>
      </c>
      <c r="V87" t="s">
        <v>613</v>
      </c>
      <c r="W87" t="s">
        <v>66</v>
      </c>
      <c r="X87" t="s">
        <v>78</v>
      </c>
      <c r="Y87" t="s">
        <v>667</v>
      </c>
      <c r="Z87" t="s">
        <v>385</v>
      </c>
      <c r="AA87" t="s">
        <v>607</v>
      </c>
      <c r="AB87" t="s">
        <v>607</v>
      </c>
      <c r="AC87" t="s">
        <v>82</v>
      </c>
      <c r="AD87" t="s">
        <v>83</v>
      </c>
      <c r="AE87" t="s">
        <v>66</v>
      </c>
      <c r="AF87" t="s">
        <v>525</v>
      </c>
    </row>
    <row r="88" spans="1:32">
      <c r="A88" t="s">
        <v>668</v>
      </c>
      <c r="B88" t="s">
        <v>325</v>
      </c>
      <c r="C88" t="s">
        <v>669</v>
      </c>
      <c r="D88" t="s">
        <v>66</v>
      </c>
      <c r="E88" t="s">
        <v>67</v>
      </c>
      <c r="F88" t="s">
        <v>100</v>
      </c>
      <c r="G88" t="s">
        <v>101</v>
      </c>
      <c r="H88" t="s">
        <v>102</v>
      </c>
      <c r="I88" t="s">
        <v>66</v>
      </c>
      <c r="J88" t="s">
        <v>67</v>
      </c>
      <c r="K88" t="s">
        <v>71</v>
      </c>
      <c r="L88" t="s">
        <v>72</v>
      </c>
      <c r="M88" t="s">
        <v>73</v>
      </c>
      <c r="N88" t="s">
        <v>66</v>
      </c>
      <c r="O88" t="s">
        <v>73</v>
      </c>
      <c r="P88" t="s">
        <v>66</v>
      </c>
      <c r="Q88" t="s">
        <v>610</v>
      </c>
      <c r="R88" t="s">
        <v>73</v>
      </c>
      <c r="S88" t="s">
        <v>610</v>
      </c>
      <c r="T88" t="s">
        <v>670</v>
      </c>
      <c r="U88" t="s">
        <v>671</v>
      </c>
      <c r="V88" t="s">
        <v>613</v>
      </c>
      <c r="W88" t="s">
        <v>66</v>
      </c>
      <c r="X88" t="s">
        <v>78</v>
      </c>
      <c r="Y88" t="s">
        <v>672</v>
      </c>
      <c r="Z88" t="s">
        <v>385</v>
      </c>
      <c r="AA88" t="s">
        <v>607</v>
      </c>
      <c r="AB88" t="s">
        <v>607</v>
      </c>
      <c r="AC88" t="s">
        <v>82</v>
      </c>
      <c r="AD88" t="s">
        <v>83</v>
      </c>
      <c r="AE88" t="s">
        <v>66</v>
      </c>
      <c r="AF88" t="s">
        <v>525</v>
      </c>
    </row>
    <row r="89" spans="1:32">
      <c r="A89" t="s">
        <v>673</v>
      </c>
      <c r="B89" t="s">
        <v>325</v>
      </c>
      <c r="C89" t="s">
        <v>674</v>
      </c>
      <c r="D89" t="s">
        <v>66</v>
      </c>
      <c r="E89" t="s">
        <v>67</v>
      </c>
      <c r="F89" t="s">
        <v>100</v>
      </c>
      <c r="G89" t="s">
        <v>101</v>
      </c>
      <c r="H89" t="s">
        <v>102</v>
      </c>
      <c r="I89" t="s">
        <v>66</v>
      </c>
      <c r="J89" t="s">
        <v>67</v>
      </c>
      <c r="K89" t="s">
        <v>71</v>
      </c>
      <c r="L89" t="s">
        <v>72</v>
      </c>
      <c r="M89" t="s">
        <v>73</v>
      </c>
      <c r="N89" t="s">
        <v>66</v>
      </c>
      <c r="O89" t="s">
        <v>73</v>
      </c>
      <c r="P89" t="s">
        <v>66</v>
      </c>
      <c r="Q89" t="s">
        <v>610</v>
      </c>
      <c r="R89" t="s">
        <v>73</v>
      </c>
      <c r="S89" t="s">
        <v>610</v>
      </c>
      <c r="T89" t="s">
        <v>675</v>
      </c>
      <c r="U89" t="s">
        <v>676</v>
      </c>
      <c r="V89" t="s">
        <v>613</v>
      </c>
      <c r="W89" t="s">
        <v>66</v>
      </c>
      <c r="X89" t="s">
        <v>78</v>
      </c>
      <c r="Y89" t="s">
        <v>677</v>
      </c>
      <c r="Z89" t="s">
        <v>385</v>
      </c>
      <c r="AA89" t="s">
        <v>607</v>
      </c>
      <c r="AB89" t="s">
        <v>607</v>
      </c>
      <c r="AC89" t="s">
        <v>82</v>
      </c>
      <c r="AD89" t="s">
        <v>83</v>
      </c>
      <c r="AE89" t="s">
        <v>66</v>
      </c>
      <c r="AF89" t="s">
        <v>525</v>
      </c>
    </row>
    <row r="90" spans="1:32">
      <c r="A90" t="s">
        <v>678</v>
      </c>
      <c r="B90" t="s">
        <v>86</v>
      </c>
      <c r="C90" t="s">
        <v>679</v>
      </c>
      <c r="D90" t="s">
        <v>66</v>
      </c>
      <c r="E90" t="s">
        <v>67</v>
      </c>
      <c r="F90" t="s">
        <v>253</v>
      </c>
      <c r="G90" t="s">
        <v>254</v>
      </c>
      <c r="H90" t="s">
        <v>66</v>
      </c>
      <c r="I90" t="s">
        <v>66</v>
      </c>
      <c r="J90" t="s">
        <v>67</v>
      </c>
      <c r="K90" t="s">
        <v>71</v>
      </c>
      <c r="L90" t="s">
        <v>72</v>
      </c>
      <c r="M90" t="s">
        <v>73</v>
      </c>
      <c r="N90" t="s">
        <v>66</v>
      </c>
      <c r="O90" t="s">
        <v>73</v>
      </c>
      <c r="P90" t="s">
        <v>66</v>
      </c>
      <c r="Q90" t="s">
        <v>680</v>
      </c>
      <c r="R90" t="s">
        <v>73</v>
      </c>
      <c r="S90" t="s">
        <v>680</v>
      </c>
      <c r="T90" t="s">
        <v>681</v>
      </c>
      <c r="U90" t="s">
        <v>682</v>
      </c>
      <c r="V90" t="s">
        <v>683</v>
      </c>
      <c r="W90" t="s">
        <v>66</v>
      </c>
      <c r="X90" t="s">
        <v>78</v>
      </c>
      <c r="Y90" t="s">
        <v>684</v>
      </c>
      <c r="Z90" t="s">
        <v>385</v>
      </c>
      <c r="AA90" t="s">
        <v>607</v>
      </c>
      <c r="AB90" t="s">
        <v>607</v>
      </c>
      <c r="AC90" t="s">
        <v>82</v>
      </c>
      <c r="AD90" t="s">
        <v>83</v>
      </c>
      <c r="AE90" t="s">
        <v>66</v>
      </c>
      <c r="AF90" t="s">
        <v>525</v>
      </c>
    </row>
    <row r="91" spans="1:32">
      <c r="A91" t="s">
        <v>685</v>
      </c>
      <c r="B91" t="s">
        <v>86</v>
      </c>
      <c r="C91" t="s">
        <v>686</v>
      </c>
      <c r="D91" t="s">
        <v>66</v>
      </c>
      <c r="E91" t="s">
        <v>67</v>
      </c>
      <c r="F91" t="s">
        <v>88</v>
      </c>
      <c r="G91" t="s">
        <v>89</v>
      </c>
      <c r="H91" t="s">
        <v>89</v>
      </c>
      <c r="I91" t="s">
        <v>66</v>
      </c>
      <c r="J91" t="s">
        <v>67</v>
      </c>
      <c r="K91" t="s">
        <v>71</v>
      </c>
      <c r="L91" t="s">
        <v>72</v>
      </c>
      <c r="M91" t="s">
        <v>73</v>
      </c>
      <c r="N91" t="s">
        <v>66</v>
      </c>
      <c r="O91" t="s">
        <v>73</v>
      </c>
      <c r="P91" t="s">
        <v>66</v>
      </c>
      <c r="Q91" t="s">
        <v>680</v>
      </c>
      <c r="R91" t="s">
        <v>73</v>
      </c>
      <c r="S91" t="s">
        <v>680</v>
      </c>
      <c r="T91" t="s">
        <v>687</v>
      </c>
      <c r="U91" t="s">
        <v>688</v>
      </c>
      <c r="V91" t="s">
        <v>683</v>
      </c>
      <c r="W91" t="s">
        <v>66</v>
      </c>
      <c r="X91" t="s">
        <v>78</v>
      </c>
      <c r="Y91" t="s">
        <v>689</v>
      </c>
      <c r="Z91" t="s">
        <v>385</v>
      </c>
      <c r="AA91" t="s">
        <v>607</v>
      </c>
      <c r="AB91" t="s">
        <v>607</v>
      </c>
      <c r="AC91" t="s">
        <v>82</v>
      </c>
      <c r="AD91" t="s">
        <v>83</v>
      </c>
      <c r="AE91" t="s">
        <v>66</v>
      </c>
      <c r="AF91" t="s">
        <v>525</v>
      </c>
    </row>
    <row r="92" spans="1:32">
      <c r="A92" t="s">
        <v>690</v>
      </c>
      <c r="B92" t="s">
        <v>86</v>
      </c>
      <c r="C92" t="s">
        <v>691</v>
      </c>
      <c r="D92" t="s">
        <v>66</v>
      </c>
      <c r="E92" t="s">
        <v>67</v>
      </c>
      <c r="F92" t="s">
        <v>88</v>
      </c>
      <c r="G92" t="s">
        <v>89</v>
      </c>
      <c r="H92" t="s">
        <v>89</v>
      </c>
      <c r="I92" t="s">
        <v>66</v>
      </c>
      <c r="J92" t="s">
        <v>67</v>
      </c>
      <c r="K92" t="s">
        <v>281</v>
      </c>
      <c r="L92" t="s">
        <v>72</v>
      </c>
      <c r="M92" t="s">
        <v>73</v>
      </c>
      <c r="N92" t="s">
        <v>66</v>
      </c>
      <c r="O92" t="s">
        <v>73</v>
      </c>
      <c r="P92" t="s">
        <v>66</v>
      </c>
      <c r="Q92" t="s">
        <v>680</v>
      </c>
      <c r="R92" t="s">
        <v>73</v>
      </c>
      <c r="S92" t="s">
        <v>680</v>
      </c>
      <c r="T92" t="s">
        <v>692</v>
      </c>
      <c r="U92" t="s">
        <v>693</v>
      </c>
      <c r="V92" t="s">
        <v>683</v>
      </c>
      <c r="W92" t="s">
        <v>66</v>
      </c>
      <c r="X92" t="s">
        <v>78</v>
      </c>
      <c r="Y92" t="s">
        <v>694</v>
      </c>
      <c r="Z92" t="s">
        <v>385</v>
      </c>
      <c r="AA92" t="s">
        <v>607</v>
      </c>
      <c r="AB92" t="s">
        <v>607</v>
      </c>
      <c r="AC92" t="s">
        <v>82</v>
      </c>
      <c r="AD92" t="s">
        <v>83</v>
      </c>
      <c r="AE92" t="s">
        <v>66</v>
      </c>
      <c r="AF92" t="s">
        <v>525</v>
      </c>
    </row>
    <row r="93" spans="1:32">
      <c r="A93" t="s">
        <v>695</v>
      </c>
      <c r="B93" t="s">
        <v>86</v>
      </c>
      <c r="C93" t="s">
        <v>696</v>
      </c>
      <c r="D93" t="s">
        <v>66</v>
      </c>
      <c r="E93" t="s">
        <v>67</v>
      </c>
      <c r="F93" t="s">
        <v>88</v>
      </c>
      <c r="G93" t="s">
        <v>89</v>
      </c>
      <c r="H93" t="s">
        <v>89</v>
      </c>
      <c r="I93" t="s">
        <v>66</v>
      </c>
      <c r="J93" t="s">
        <v>67</v>
      </c>
      <c r="K93" t="s">
        <v>71</v>
      </c>
      <c r="L93" t="s">
        <v>72</v>
      </c>
      <c r="M93" t="s">
        <v>73</v>
      </c>
      <c r="N93" t="s">
        <v>66</v>
      </c>
      <c r="O93" t="s">
        <v>73</v>
      </c>
      <c r="P93" t="s">
        <v>66</v>
      </c>
      <c r="Q93" t="s">
        <v>680</v>
      </c>
      <c r="R93" t="s">
        <v>73</v>
      </c>
      <c r="S93" t="s">
        <v>680</v>
      </c>
      <c r="T93" t="s">
        <v>697</v>
      </c>
      <c r="U93" t="s">
        <v>698</v>
      </c>
      <c r="V93" t="s">
        <v>683</v>
      </c>
      <c r="W93" t="s">
        <v>66</v>
      </c>
      <c r="X93" t="s">
        <v>78</v>
      </c>
      <c r="Y93" t="s">
        <v>699</v>
      </c>
      <c r="Z93" t="s">
        <v>385</v>
      </c>
      <c r="AA93" t="s">
        <v>607</v>
      </c>
      <c r="AB93" t="s">
        <v>607</v>
      </c>
      <c r="AC93" t="s">
        <v>82</v>
      </c>
      <c r="AD93" t="s">
        <v>83</v>
      </c>
      <c r="AE93" t="s">
        <v>66</v>
      </c>
      <c r="AF93" t="s">
        <v>525</v>
      </c>
    </row>
    <row r="94" spans="1:32">
      <c r="A94" t="s">
        <v>700</v>
      </c>
      <c r="B94" t="s">
        <v>86</v>
      </c>
      <c r="C94" t="s">
        <v>701</v>
      </c>
      <c r="D94" t="s">
        <v>66</v>
      </c>
      <c r="E94" t="s">
        <v>67</v>
      </c>
      <c r="F94" t="s">
        <v>253</v>
      </c>
      <c r="G94" t="s">
        <v>254</v>
      </c>
      <c r="H94" t="s">
        <v>66</v>
      </c>
      <c r="I94" t="s">
        <v>66</v>
      </c>
      <c r="J94" t="s">
        <v>67</v>
      </c>
      <c r="K94" t="s">
        <v>71</v>
      </c>
      <c r="L94" t="s">
        <v>72</v>
      </c>
      <c r="M94" t="s">
        <v>73</v>
      </c>
      <c r="N94" t="s">
        <v>66</v>
      </c>
      <c r="O94" t="s">
        <v>73</v>
      </c>
      <c r="P94" t="s">
        <v>66</v>
      </c>
      <c r="Q94" t="s">
        <v>680</v>
      </c>
      <c r="R94" t="s">
        <v>73</v>
      </c>
      <c r="S94" t="s">
        <v>680</v>
      </c>
      <c r="T94" t="s">
        <v>702</v>
      </c>
      <c r="U94" t="s">
        <v>703</v>
      </c>
      <c r="V94" t="s">
        <v>683</v>
      </c>
      <c r="W94" t="s">
        <v>66</v>
      </c>
      <c r="X94" t="s">
        <v>78</v>
      </c>
      <c r="Y94" t="s">
        <v>704</v>
      </c>
      <c r="Z94" t="s">
        <v>385</v>
      </c>
      <c r="AA94" t="s">
        <v>607</v>
      </c>
      <c r="AB94" t="s">
        <v>607</v>
      </c>
      <c r="AC94" t="s">
        <v>82</v>
      </c>
      <c r="AD94" t="s">
        <v>83</v>
      </c>
      <c r="AE94" t="s">
        <v>66</v>
      </c>
      <c r="AF94" t="s">
        <v>525</v>
      </c>
    </row>
    <row r="95" spans="1:32">
      <c r="A95" t="s">
        <v>705</v>
      </c>
      <c r="B95" t="s">
        <v>86</v>
      </c>
      <c r="C95" t="s">
        <v>706</v>
      </c>
      <c r="D95" t="s">
        <v>66</v>
      </c>
      <c r="E95" t="s">
        <v>67</v>
      </c>
      <c r="F95" t="s">
        <v>253</v>
      </c>
      <c r="G95" t="s">
        <v>254</v>
      </c>
      <c r="H95" t="s">
        <v>66</v>
      </c>
      <c r="I95" t="s">
        <v>66</v>
      </c>
      <c r="J95" t="s">
        <v>67</v>
      </c>
      <c r="K95" t="s">
        <v>71</v>
      </c>
      <c r="L95" t="s">
        <v>72</v>
      </c>
      <c r="M95" t="s">
        <v>73</v>
      </c>
      <c r="N95" t="s">
        <v>66</v>
      </c>
      <c r="O95" t="s">
        <v>73</v>
      </c>
      <c r="P95" t="s">
        <v>66</v>
      </c>
      <c r="Q95" t="s">
        <v>680</v>
      </c>
      <c r="R95" t="s">
        <v>73</v>
      </c>
      <c r="S95" t="s">
        <v>680</v>
      </c>
      <c r="T95" t="s">
        <v>707</v>
      </c>
      <c r="U95" t="s">
        <v>708</v>
      </c>
      <c r="V95" t="s">
        <v>683</v>
      </c>
      <c r="W95" t="s">
        <v>66</v>
      </c>
      <c r="X95" t="s">
        <v>78</v>
      </c>
      <c r="Y95" t="s">
        <v>709</v>
      </c>
      <c r="Z95" t="s">
        <v>385</v>
      </c>
      <c r="AA95" t="s">
        <v>607</v>
      </c>
      <c r="AB95" t="s">
        <v>607</v>
      </c>
      <c r="AC95" t="s">
        <v>82</v>
      </c>
      <c r="AD95" t="s">
        <v>83</v>
      </c>
      <c r="AE95" t="s">
        <v>66</v>
      </c>
      <c r="AF95" t="s">
        <v>525</v>
      </c>
    </row>
    <row r="96" spans="1:32">
      <c r="A96" t="s">
        <v>710</v>
      </c>
      <c r="B96" t="s">
        <v>86</v>
      </c>
      <c r="C96" t="s">
        <v>711</v>
      </c>
      <c r="D96" t="s">
        <v>66</v>
      </c>
      <c r="E96" t="s">
        <v>67</v>
      </c>
      <c r="F96" t="s">
        <v>88</v>
      </c>
      <c r="G96" t="s">
        <v>89</v>
      </c>
      <c r="H96" t="s">
        <v>89</v>
      </c>
      <c r="I96" t="s">
        <v>66</v>
      </c>
      <c r="J96" t="s">
        <v>67</v>
      </c>
      <c r="K96" t="s">
        <v>71</v>
      </c>
      <c r="L96" t="s">
        <v>72</v>
      </c>
      <c r="M96" t="s">
        <v>73</v>
      </c>
      <c r="N96" t="s">
        <v>66</v>
      </c>
      <c r="O96" t="s">
        <v>73</v>
      </c>
      <c r="P96" t="s">
        <v>66</v>
      </c>
      <c r="Q96" t="s">
        <v>680</v>
      </c>
      <c r="R96" t="s">
        <v>73</v>
      </c>
      <c r="S96" t="s">
        <v>680</v>
      </c>
      <c r="T96" t="s">
        <v>712</v>
      </c>
      <c r="U96" t="s">
        <v>713</v>
      </c>
      <c r="V96" t="s">
        <v>683</v>
      </c>
      <c r="W96" t="s">
        <v>66</v>
      </c>
      <c r="X96" t="s">
        <v>78</v>
      </c>
      <c r="Y96" t="s">
        <v>714</v>
      </c>
      <c r="Z96" t="s">
        <v>385</v>
      </c>
      <c r="AA96" t="s">
        <v>607</v>
      </c>
      <c r="AB96" t="s">
        <v>607</v>
      </c>
      <c r="AC96" t="s">
        <v>82</v>
      </c>
      <c r="AD96" t="s">
        <v>83</v>
      </c>
      <c r="AE96" t="s">
        <v>66</v>
      </c>
      <c r="AF96" t="s">
        <v>525</v>
      </c>
    </row>
    <row r="97" spans="1:32">
      <c r="A97" t="s">
        <v>715</v>
      </c>
      <c r="B97" t="s">
        <v>86</v>
      </c>
      <c r="C97" t="s">
        <v>716</v>
      </c>
      <c r="D97" t="s">
        <v>66</v>
      </c>
      <c r="E97" t="s">
        <v>67</v>
      </c>
      <c r="F97" t="s">
        <v>253</v>
      </c>
      <c r="G97" t="s">
        <v>254</v>
      </c>
      <c r="H97" t="s">
        <v>66</v>
      </c>
      <c r="I97" t="s">
        <v>66</v>
      </c>
      <c r="J97" t="s">
        <v>67</v>
      </c>
      <c r="K97" t="s">
        <v>71</v>
      </c>
      <c r="L97" t="s">
        <v>72</v>
      </c>
      <c r="M97" t="s">
        <v>73</v>
      </c>
      <c r="N97" t="s">
        <v>66</v>
      </c>
      <c r="O97" t="s">
        <v>73</v>
      </c>
      <c r="P97" t="s">
        <v>66</v>
      </c>
      <c r="Q97" t="s">
        <v>680</v>
      </c>
      <c r="R97" t="s">
        <v>73</v>
      </c>
      <c r="S97" t="s">
        <v>680</v>
      </c>
      <c r="T97" t="s">
        <v>717</v>
      </c>
      <c r="U97" t="s">
        <v>718</v>
      </c>
      <c r="V97" t="s">
        <v>683</v>
      </c>
      <c r="W97" t="s">
        <v>66</v>
      </c>
      <c r="X97" t="s">
        <v>78</v>
      </c>
      <c r="Y97" t="s">
        <v>719</v>
      </c>
      <c r="Z97" t="s">
        <v>385</v>
      </c>
      <c r="AA97" t="s">
        <v>607</v>
      </c>
      <c r="AB97" t="s">
        <v>607</v>
      </c>
      <c r="AC97" t="s">
        <v>82</v>
      </c>
      <c r="AD97" t="s">
        <v>83</v>
      </c>
      <c r="AE97" t="s">
        <v>66</v>
      </c>
      <c r="AF97" t="s">
        <v>525</v>
      </c>
    </row>
    <row r="98" spans="1:32">
      <c r="A98" t="s">
        <v>720</v>
      </c>
      <c r="B98" t="s">
        <v>86</v>
      </c>
      <c r="C98" t="s">
        <v>721</v>
      </c>
      <c r="D98" t="s">
        <v>66</v>
      </c>
      <c r="E98" t="s">
        <v>67</v>
      </c>
      <c r="F98" t="s">
        <v>253</v>
      </c>
      <c r="G98" t="s">
        <v>254</v>
      </c>
      <c r="H98" t="s">
        <v>66</v>
      </c>
      <c r="I98" t="s">
        <v>66</v>
      </c>
      <c r="J98" t="s">
        <v>67</v>
      </c>
      <c r="K98" t="s">
        <v>71</v>
      </c>
      <c r="L98" t="s">
        <v>72</v>
      </c>
      <c r="M98" t="s">
        <v>73</v>
      </c>
      <c r="N98" t="s">
        <v>66</v>
      </c>
      <c r="O98" t="s">
        <v>73</v>
      </c>
      <c r="P98" t="s">
        <v>66</v>
      </c>
      <c r="Q98" t="s">
        <v>680</v>
      </c>
      <c r="R98" t="s">
        <v>73</v>
      </c>
      <c r="S98" t="s">
        <v>680</v>
      </c>
      <c r="T98" t="s">
        <v>722</v>
      </c>
      <c r="U98" t="s">
        <v>723</v>
      </c>
      <c r="V98" t="s">
        <v>683</v>
      </c>
      <c r="W98" t="s">
        <v>66</v>
      </c>
      <c r="X98" t="s">
        <v>78</v>
      </c>
      <c r="Y98" t="s">
        <v>724</v>
      </c>
      <c r="Z98" t="s">
        <v>385</v>
      </c>
      <c r="AA98" t="s">
        <v>607</v>
      </c>
      <c r="AB98" t="s">
        <v>607</v>
      </c>
      <c r="AC98" t="s">
        <v>82</v>
      </c>
      <c r="AD98" t="s">
        <v>83</v>
      </c>
      <c r="AE98" t="s">
        <v>66</v>
      </c>
      <c r="AF98" t="s">
        <v>525</v>
      </c>
    </row>
    <row r="99" spans="1:32">
      <c r="A99" t="s">
        <v>725</v>
      </c>
      <c r="B99" t="s">
        <v>86</v>
      </c>
      <c r="C99" t="s">
        <v>726</v>
      </c>
      <c r="D99" t="s">
        <v>66</v>
      </c>
      <c r="E99" t="s">
        <v>67</v>
      </c>
      <c r="F99" t="s">
        <v>253</v>
      </c>
      <c r="G99" t="s">
        <v>254</v>
      </c>
      <c r="H99" t="s">
        <v>66</v>
      </c>
      <c r="I99" t="s">
        <v>66</v>
      </c>
      <c r="J99" t="s">
        <v>67</v>
      </c>
      <c r="K99" t="s">
        <v>71</v>
      </c>
      <c r="L99" t="s">
        <v>72</v>
      </c>
      <c r="M99" t="s">
        <v>73</v>
      </c>
      <c r="N99" t="s">
        <v>66</v>
      </c>
      <c r="O99" t="s">
        <v>73</v>
      </c>
      <c r="P99" t="s">
        <v>66</v>
      </c>
      <c r="Q99" t="s">
        <v>680</v>
      </c>
      <c r="R99" t="s">
        <v>73</v>
      </c>
      <c r="S99" t="s">
        <v>680</v>
      </c>
      <c r="T99" t="s">
        <v>727</v>
      </c>
      <c r="U99" t="s">
        <v>728</v>
      </c>
      <c r="V99" t="s">
        <v>683</v>
      </c>
      <c r="W99" t="s">
        <v>66</v>
      </c>
      <c r="X99" t="s">
        <v>78</v>
      </c>
      <c r="Y99" t="s">
        <v>729</v>
      </c>
      <c r="Z99" t="s">
        <v>385</v>
      </c>
      <c r="AA99" t="s">
        <v>607</v>
      </c>
      <c r="AB99" t="s">
        <v>607</v>
      </c>
      <c r="AC99" t="s">
        <v>82</v>
      </c>
      <c r="AD99" t="s">
        <v>83</v>
      </c>
      <c r="AE99" t="s">
        <v>66</v>
      </c>
      <c r="AF99" t="s">
        <v>525</v>
      </c>
    </row>
    <row r="100" spans="1:32">
      <c r="A100" t="s">
        <v>730</v>
      </c>
      <c r="B100" t="s">
        <v>86</v>
      </c>
      <c r="C100" t="s">
        <v>731</v>
      </c>
      <c r="D100" t="s">
        <v>66</v>
      </c>
      <c r="E100" t="s">
        <v>67</v>
      </c>
      <c r="F100" t="s">
        <v>253</v>
      </c>
      <c r="G100" t="s">
        <v>254</v>
      </c>
      <c r="H100" t="s">
        <v>66</v>
      </c>
      <c r="I100" t="s">
        <v>66</v>
      </c>
      <c r="J100" t="s">
        <v>67</v>
      </c>
      <c r="K100" t="s">
        <v>71</v>
      </c>
      <c r="L100" t="s">
        <v>72</v>
      </c>
      <c r="M100" t="s">
        <v>73</v>
      </c>
      <c r="N100" t="s">
        <v>66</v>
      </c>
      <c r="O100" t="s">
        <v>73</v>
      </c>
      <c r="P100" t="s">
        <v>66</v>
      </c>
      <c r="Q100" t="s">
        <v>680</v>
      </c>
      <c r="R100" t="s">
        <v>73</v>
      </c>
      <c r="S100" t="s">
        <v>680</v>
      </c>
      <c r="T100" t="s">
        <v>732</v>
      </c>
      <c r="U100" t="s">
        <v>733</v>
      </c>
      <c r="V100" t="s">
        <v>683</v>
      </c>
      <c r="W100" t="s">
        <v>66</v>
      </c>
      <c r="X100" t="s">
        <v>78</v>
      </c>
      <c r="Y100" t="s">
        <v>734</v>
      </c>
      <c r="Z100" t="s">
        <v>385</v>
      </c>
      <c r="AA100" t="s">
        <v>607</v>
      </c>
      <c r="AB100" t="s">
        <v>607</v>
      </c>
      <c r="AC100" t="s">
        <v>82</v>
      </c>
      <c r="AD100" t="s">
        <v>83</v>
      </c>
      <c r="AE100" t="s">
        <v>66</v>
      </c>
      <c r="AF100" t="s">
        <v>525</v>
      </c>
    </row>
    <row r="101" spans="1:32">
      <c r="A101" t="s">
        <v>735</v>
      </c>
      <c r="B101" t="s">
        <v>86</v>
      </c>
      <c r="C101" t="s">
        <v>736</v>
      </c>
      <c r="D101" t="s">
        <v>66</v>
      </c>
      <c r="E101" t="s">
        <v>67</v>
      </c>
      <c r="F101" t="s">
        <v>253</v>
      </c>
      <c r="G101" t="s">
        <v>254</v>
      </c>
      <c r="H101" t="s">
        <v>66</v>
      </c>
      <c r="I101" t="s">
        <v>66</v>
      </c>
      <c r="J101" t="s">
        <v>67</v>
      </c>
      <c r="K101" t="s">
        <v>71</v>
      </c>
      <c r="L101" t="s">
        <v>72</v>
      </c>
      <c r="M101" t="s">
        <v>73</v>
      </c>
      <c r="N101" t="s">
        <v>66</v>
      </c>
      <c r="O101" t="s">
        <v>73</v>
      </c>
      <c r="P101" t="s">
        <v>66</v>
      </c>
      <c r="Q101" t="s">
        <v>680</v>
      </c>
      <c r="R101" t="s">
        <v>73</v>
      </c>
      <c r="S101" t="s">
        <v>680</v>
      </c>
      <c r="T101" t="s">
        <v>737</v>
      </c>
      <c r="U101" t="s">
        <v>738</v>
      </c>
      <c r="V101" t="s">
        <v>683</v>
      </c>
      <c r="W101" t="s">
        <v>66</v>
      </c>
      <c r="X101" t="s">
        <v>78</v>
      </c>
      <c r="Y101" t="s">
        <v>739</v>
      </c>
      <c r="Z101" t="s">
        <v>385</v>
      </c>
      <c r="AA101" t="s">
        <v>607</v>
      </c>
      <c r="AB101" t="s">
        <v>607</v>
      </c>
      <c r="AC101" t="s">
        <v>82</v>
      </c>
      <c r="AD101" t="s">
        <v>83</v>
      </c>
      <c r="AE101" t="s">
        <v>66</v>
      </c>
      <c r="AF101" t="s">
        <v>525</v>
      </c>
    </row>
    <row r="102" spans="1:32">
      <c r="A102" t="s">
        <v>740</v>
      </c>
      <c r="B102" t="s">
        <v>86</v>
      </c>
      <c r="C102" t="s">
        <v>741</v>
      </c>
      <c r="D102" t="s">
        <v>66</v>
      </c>
      <c r="E102" t="s">
        <v>67</v>
      </c>
      <c r="F102" t="s">
        <v>253</v>
      </c>
      <c r="G102" t="s">
        <v>254</v>
      </c>
      <c r="H102" t="s">
        <v>66</v>
      </c>
      <c r="I102" t="s">
        <v>66</v>
      </c>
      <c r="J102" t="s">
        <v>67</v>
      </c>
      <c r="K102" t="s">
        <v>71</v>
      </c>
      <c r="L102" t="s">
        <v>72</v>
      </c>
      <c r="M102" t="s">
        <v>73</v>
      </c>
      <c r="N102" t="s">
        <v>66</v>
      </c>
      <c r="O102" t="s">
        <v>73</v>
      </c>
      <c r="P102" t="s">
        <v>66</v>
      </c>
      <c r="Q102" t="s">
        <v>680</v>
      </c>
      <c r="R102" t="s">
        <v>73</v>
      </c>
      <c r="S102" t="s">
        <v>680</v>
      </c>
      <c r="T102" t="s">
        <v>742</v>
      </c>
      <c r="U102" t="s">
        <v>743</v>
      </c>
      <c r="V102" t="s">
        <v>683</v>
      </c>
      <c r="W102" t="s">
        <v>66</v>
      </c>
      <c r="X102" t="s">
        <v>78</v>
      </c>
      <c r="Y102" t="s">
        <v>744</v>
      </c>
      <c r="Z102" t="s">
        <v>385</v>
      </c>
      <c r="AA102" t="s">
        <v>607</v>
      </c>
      <c r="AB102" t="s">
        <v>607</v>
      </c>
      <c r="AC102" t="s">
        <v>82</v>
      </c>
      <c r="AD102" t="s">
        <v>83</v>
      </c>
      <c r="AE102" t="s">
        <v>66</v>
      </c>
      <c r="AF102" t="s">
        <v>525</v>
      </c>
    </row>
    <row r="103" spans="1:32">
      <c r="A103" t="s">
        <v>745</v>
      </c>
      <c r="B103" t="s">
        <v>86</v>
      </c>
      <c r="C103" t="s">
        <v>746</v>
      </c>
      <c r="D103" t="s">
        <v>66</v>
      </c>
      <c r="E103" t="s">
        <v>67</v>
      </c>
      <c r="F103" t="s">
        <v>253</v>
      </c>
      <c r="G103" t="s">
        <v>254</v>
      </c>
      <c r="H103" t="s">
        <v>66</v>
      </c>
      <c r="I103" t="s">
        <v>66</v>
      </c>
      <c r="J103" t="s">
        <v>67</v>
      </c>
      <c r="K103" t="s">
        <v>71</v>
      </c>
      <c r="L103" t="s">
        <v>72</v>
      </c>
      <c r="M103" t="s">
        <v>73</v>
      </c>
      <c r="N103" t="s">
        <v>66</v>
      </c>
      <c r="O103" t="s">
        <v>73</v>
      </c>
      <c r="P103" t="s">
        <v>66</v>
      </c>
      <c r="Q103" t="s">
        <v>680</v>
      </c>
      <c r="R103" t="s">
        <v>73</v>
      </c>
      <c r="S103" t="s">
        <v>680</v>
      </c>
      <c r="T103" t="s">
        <v>747</v>
      </c>
      <c r="U103" t="s">
        <v>748</v>
      </c>
      <c r="V103" t="s">
        <v>683</v>
      </c>
      <c r="W103" t="s">
        <v>66</v>
      </c>
      <c r="X103" t="s">
        <v>78</v>
      </c>
      <c r="Y103" t="s">
        <v>749</v>
      </c>
      <c r="Z103" t="s">
        <v>385</v>
      </c>
      <c r="AA103" t="s">
        <v>607</v>
      </c>
      <c r="AB103" t="s">
        <v>607</v>
      </c>
      <c r="AC103" t="s">
        <v>82</v>
      </c>
      <c r="AD103" t="s">
        <v>83</v>
      </c>
      <c r="AE103" t="s">
        <v>66</v>
      </c>
      <c r="AF103" t="s">
        <v>525</v>
      </c>
    </row>
    <row r="104" spans="1:32">
      <c r="A104" t="s">
        <v>690</v>
      </c>
      <c r="B104" t="s">
        <v>86</v>
      </c>
      <c r="C104" t="s">
        <v>691</v>
      </c>
      <c r="D104" t="s">
        <v>66</v>
      </c>
      <c r="E104" t="s">
        <v>67</v>
      </c>
      <c r="F104" t="s">
        <v>68</v>
      </c>
      <c r="G104" t="s">
        <v>69</v>
      </c>
      <c r="H104" t="s">
        <v>70</v>
      </c>
      <c r="I104" t="s">
        <v>66</v>
      </c>
      <c r="J104" t="s">
        <v>67</v>
      </c>
      <c r="K104" t="s">
        <v>71</v>
      </c>
      <c r="L104" t="s">
        <v>72</v>
      </c>
      <c r="M104" t="s">
        <v>73</v>
      </c>
      <c r="N104" t="s">
        <v>66</v>
      </c>
      <c r="O104" t="s">
        <v>73</v>
      </c>
      <c r="P104" t="s">
        <v>66</v>
      </c>
      <c r="Q104" t="s">
        <v>750</v>
      </c>
      <c r="R104" t="s">
        <v>73</v>
      </c>
      <c r="S104" t="s">
        <v>750</v>
      </c>
      <c r="T104" t="s">
        <v>751</v>
      </c>
      <c r="U104" t="s">
        <v>752</v>
      </c>
      <c r="V104" t="s">
        <v>753</v>
      </c>
      <c r="W104" t="s">
        <v>66</v>
      </c>
      <c r="X104" t="s">
        <v>78</v>
      </c>
      <c r="Y104" t="s">
        <v>754</v>
      </c>
      <c r="Z104" t="s">
        <v>385</v>
      </c>
      <c r="AA104" t="s">
        <v>607</v>
      </c>
      <c r="AB104" t="s">
        <v>607</v>
      </c>
      <c r="AC104" t="s">
        <v>82</v>
      </c>
      <c r="AD104" t="s">
        <v>83</v>
      </c>
      <c r="AE104" t="s">
        <v>66</v>
      </c>
      <c r="AF104" t="s">
        <v>525</v>
      </c>
    </row>
    <row r="105" spans="1:32">
      <c r="A105" t="s">
        <v>642</v>
      </c>
      <c r="B105" t="s">
        <v>643</v>
      </c>
      <c r="C105" t="s">
        <v>644</v>
      </c>
      <c r="D105" t="s">
        <v>66</v>
      </c>
      <c r="E105" t="s">
        <v>67</v>
      </c>
      <c r="F105" t="s">
        <v>100</v>
      </c>
      <c r="G105" t="s">
        <v>101</v>
      </c>
      <c r="H105" t="s">
        <v>102</v>
      </c>
      <c r="I105" t="s">
        <v>66</v>
      </c>
      <c r="J105" t="s">
        <v>67</v>
      </c>
      <c r="K105" t="s">
        <v>71</v>
      </c>
      <c r="L105" t="s">
        <v>72</v>
      </c>
      <c r="M105" t="s">
        <v>73</v>
      </c>
      <c r="N105" t="s">
        <v>66</v>
      </c>
      <c r="O105" t="s">
        <v>73</v>
      </c>
      <c r="P105" t="s">
        <v>66</v>
      </c>
      <c r="Q105" t="s">
        <v>750</v>
      </c>
      <c r="R105" t="s">
        <v>73</v>
      </c>
      <c r="S105" t="s">
        <v>750</v>
      </c>
      <c r="T105" t="s">
        <v>755</v>
      </c>
      <c r="U105" t="s">
        <v>756</v>
      </c>
      <c r="V105" t="s">
        <v>753</v>
      </c>
      <c r="W105" t="s">
        <v>66</v>
      </c>
      <c r="X105" t="s">
        <v>78</v>
      </c>
      <c r="Y105" t="s">
        <v>757</v>
      </c>
      <c r="Z105" t="s">
        <v>385</v>
      </c>
      <c r="AA105" t="s">
        <v>607</v>
      </c>
      <c r="AB105" t="s">
        <v>607</v>
      </c>
      <c r="AC105" t="s">
        <v>82</v>
      </c>
      <c r="AD105" t="s">
        <v>83</v>
      </c>
      <c r="AE105" t="s">
        <v>66</v>
      </c>
      <c r="AF105" t="s">
        <v>525</v>
      </c>
    </row>
    <row r="106" spans="1:32">
      <c r="A106" t="s">
        <v>758</v>
      </c>
      <c r="B106" t="s">
        <v>325</v>
      </c>
      <c r="C106" t="s">
        <v>759</v>
      </c>
      <c r="D106" t="s">
        <v>66</v>
      </c>
      <c r="E106" t="s">
        <v>67</v>
      </c>
      <c r="F106" t="s">
        <v>100</v>
      </c>
      <c r="G106" t="s">
        <v>101</v>
      </c>
      <c r="H106" t="s">
        <v>102</v>
      </c>
      <c r="I106" t="s">
        <v>66</v>
      </c>
      <c r="J106" t="s">
        <v>67</v>
      </c>
      <c r="K106" t="s">
        <v>71</v>
      </c>
      <c r="L106" t="s">
        <v>72</v>
      </c>
      <c r="M106" t="s">
        <v>73</v>
      </c>
      <c r="N106" t="s">
        <v>66</v>
      </c>
      <c r="O106" t="s">
        <v>73</v>
      </c>
      <c r="P106" t="s">
        <v>66</v>
      </c>
      <c r="Q106" t="s">
        <v>760</v>
      </c>
      <c r="R106" t="s">
        <v>73</v>
      </c>
      <c r="S106" t="s">
        <v>760</v>
      </c>
      <c r="T106" t="s">
        <v>761</v>
      </c>
      <c r="U106" t="s">
        <v>762</v>
      </c>
      <c r="V106" t="s">
        <v>763</v>
      </c>
      <c r="W106" t="s">
        <v>66</v>
      </c>
      <c r="X106" t="s">
        <v>78</v>
      </c>
      <c r="Y106" t="s">
        <v>764</v>
      </c>
      <c r="Z106" t="s">
        <v>385</v>
      </c>
      <c r="AA106" t="s">
        <v>607</v>
      </c>
      <c r="AB106" t="s">
        <v>607</v>
      </c>
      <c r="AC106" t="s">
        <v>82</v>
      </c>
      <c r="AD106" t="s">
        <v>83</v>
      </c>
      <c r="AE106" t="s">
        <v>66</v>
      </c>
      <c r="AF106" t="s">
        <v>765</v>
      </c>
    </row>
    <row r="107" spans="1:32">
      <c r="A107" t="s">
        <v>279</v>
      </c>
      <c r="B107" t="s">
        <v>86</v>
      </c>
      <c r="C107" t="s">
        <v>280</v>
      </c>
      <c r="D107" t="s">
        <v>66</v>
      </c>
      <c r="E107" t="s">
        <v>67</v>
      </c>
      <c r="F107" t="s">
        <v>68</v>
      </c>
      <c r="G107" t="s">
        <v>69</v>
      </c>
      <c r="H107" t="s">
        <v>70</v>
      </c>
      <c r="I107" t="s">
        <v>66</v>
      </c>
      <c r="J107" t="s">
        <v>67</v>
      </c>
      <c r="K107" t="s">
        <v>71</v>
      </c>
      <c r="L107" t="s">
        <v>72</v>
      </c>
      <c r="M107" t="s">
        <v>73</v>
      </c>
      <c r="N107" t="s">
        <v>66</v>
      </c>
      <c r="O107" t="s">
        <v>73</v>
      </c>
      <c r="P107" t="s">
        <v>66</v>
      </c>
      <c r="Q107" t="s">
        <v>760</v>
      </c>
      <c r="R107" t="s">
        <v>73</v>
      </c>
      <c r="S107" t="s">
        <v>760</v>
      </c>
      <c r="T107" t="s">
        <v>766</v>
      </c>
      <c r="U107" t="s">
        <v>767</v>
      </c>
      <c r="V107" t="s">
        <v>763</v>
      </c>
      <c r="W107" t="s">
        <v>66</v>
      </c>
      <c r="X107" t="s">
        <v>78</v>
      </c>
      <c r="Y107" t="s">
        <v>768</v>
      </c>
      <c r="Z107" t="s">
        <v>385</v>
      </c>
      <c r="AA107" t="s">
        <v>607</v>
      </c>
      <c r="AB107" t="s">
        <v>607</v>
      </c>
      <c r="AC107" t="s">
        <v>82</v>
      </c>
      <c r="AD107" t="s">
        <v>83</v>
      </c>
      <c r="AE107" t="s">
        <v>66</v>
      </c>
      <c r="AF107" t="s">
        <v>765</v>
      </c>
    </row>
    <row r="108" spans="1:32">
      <c r="A108" t="s">
        <v>769</v>
      </c>
      <c r="B108" t="s">
        <v>770</v>
      </c>
      <c r="C108" t="s">
        <v>771</v>
      </c>
      <c r="D108" t="s">
        <v>771</v>
      </c>
      <c r="E108" t="s">
        <v>67</v>
      </c>
      <c r="F108" t="s">
        <v>164</v>
      </c>
      <c r="G108" t="s">
        <v>165</v>
      </c>
      <c r="H108" t="s">
        <v>166</v>
      </c>
      <c r="I108" t="s">
        <v>66</v>
      </c>
      <c r="J108" t="s">
        <v>67</v>
      </c>
      <c r="K108" t="s">
        <v>71</v>
      </c>
      <c r="L108" t="s">
        <v>72</v>
      </c>
      <c r="M108" t="s">
        <v>73</v>
      </c>
      <c r="N108" t="s">
        <v>66</v>
      </c>
      <c r="O108" t="s">
        <v>73</v>
      </c>
      <c r="P108" t="s">
        <v>66</v>
      </c>
      <c r="Q108" t="s">
        <v>772</v>
      </c>
      <c r="R108" t="s">
        <v>73</v>
      </c>
      <c r="S108" t="s">
        <v>772</v>
      </c>
      <c r="T108" t="s">
        <v>773</v>
      </c>
      <c r="U108" t="s">
        <v>774</v>
      </c>
      <c r="V108" t="s">
        <v>775</v>
      </c>
      <c r="W108" t="s">
        <v>66</v>
      </c>
      <c r="X108" t="s">
        <v>78</v>
      </c>
      <c r="Y108" t="s">
        <v>776</v>
      </c>
      <c r="Z108" t="s">
        <v>117</v>
      </c>
      <c r="AA108" t="s">
        <v>607</v>
      </c>
      <c r="AB108" t="s">
        <v>607</v>
      </c>
      <c r="AC108" t="s">
        <v>82</v>
      </c>
      <c r="AD108" t="s">
        <v>83</v>
      </c>
      <c r="AE108" t="s">
        <v>66</v>
      </c>
      <c r="AF108" t="s">
        <v>525</v>
      </c>
    </row>
    <row r="109" spans="1:32">
      <c r="A109" t="s">
        <v>777</v>
      </c>
      <c r="B109" t="s">
        <v>778</v>
      </c>
      <c r="C109" t="s">
        <v>779</v>
      </c>
      <c r="D109" t="s">
        <v>779</v>
      </c>
      <c r="E109" t="s">
        <v>109</v>
      </c>
      <c r="F109" t="s">
        <v>68</v>
      </c>
      <c r="G109" t="s">
        <v>69</v>
      </c>
      <c r="H109" t="s">
        <v>70</v>
      </c>
      <c r="I109" t="s">
        <v>66</v>
      </c>
      <c r="J109" t="s">
        <v>67</v>
      </c>
      <c r="K109" t="s">
        <v>71</v>
      </c>
      <c r="L109" t="s">
        <v>72</v>
      </c>
      <c r="M109" t="s">
        <v>73</v>
      </c>
      <c r="N109" t="s">
        <v>66</v>
      </c>
      <c r="O109" t="s">
        <v>73</v>
      </c>
      <c r="P109" t="s">
        <v>66</v>
      </c>
      <c r="Q109" t="s">
        <v>780</v>
      </c>
      <c r="R109" t="s">
        <v>73</v>
      </c>
      <c r="S109" t="s">
        <v>780</v>
      </c>
      <c r="T109" t="s">
        <v>781</v>
      </c>
      <c r="U109" t="s">
        <v>782</v>
      </c>
      <c r="V109" t="s">
        <v>783</v>
      </c>
      <c r="W109" t="s">
        <v>66</v>
      </c>
      <c r="X109" t="s">
        <v>78</v>
      </c>
      <c r="Y109" t="s">
        <v>784</v>
      </c>
      <c r="Z109" t="s">
        <v>117</v>
      </c>
      <c r="AA109" t="s">
        <v>785</v>
      </c>
      <c r="AB109" t="s">
        <v>785</v>
      </c>
      <c r="AC109" t="s">
        <v>82</v>
      </c>
      <c r="AD109" t="s">
        <v>83</v>
      </c>
      <c r="AE109" t="s">
        <v>66</v>
      </c>
      <c r="AF109" t="s">
        <v>525</v>
      </c>
    </row>
    <row r="110" spans="1:32">
      <c r="A110" t="s">
        <v>786</v>
      </c>
      <c r="B110" t="s">
        <v>251</v>
      </c>
      <c r="C110" t="s">
        <v>787</v>
      </c>
      <c r="D110" t="s">
        <v>66</v>
      </c>
      <c r="E110" t="s">
        <v>67</v>
      </c>
      <c r="F110" t="s">
        <v>253</v>
      </c>
      <c r="G110" t="s">
        <v>254</v>
      </c>
      <c r="H110" t="s">
        <v>66</v>
      </c>
      <c r="I110" t="s">
        <v>66</v>
      </c>
      <c r="J110" t="s">
        <v>67</v>
      </c>
      <c r="K110" t="s">
        <v>71</v>
      </c>
      <c r="L110" t="s">
        <v>72</v>
      </c>
      <c r="M110" t="s">
        <v>73</v>
      </c>
      <c r="N110" t="s">
        <v>66</v>
      </c>
      <c r="O110" t="s">
        <v>73</v>
      </c>
      <c r="P110" t="s">
        <v>66</v>
      </c>
      <c r="Q110" t="s">
        <v>788</v>
      </c>
      <c r="R110" t="s">
        <v>73</v>
      </c>
      <c r="S110" t="s">
        <v>788</v>
      </c>
      <c r="T110" t="s">
        <v>789</v>
      </c>
      <c r="U110" t="s">
        <v>790</v>
      </c>
      <c r="V110" t="s">
        <v>791</v>
      </c>
      <c r="W110" t="s">
        <v>66</v>
      </c>
      <c r="X110" t="s">
        <v>78</v>
      </c>
      <c r="Y110" t="s">
        <v>792</v>
      </c>
      <c r="Z110" t="s">
        <v>95</v>
      </c>
      <c r="AA110" t="s">
        <v>793</v>
      </c>
      <c r="AB110" t="s">
        <v>793</v>
      </c>
      <c r="AC110" t="s">
        <v>82</v>
      </c>
      <c r="AD110" t="s">
        <v>83</v>
      </c>
      <c r="AE110" t="s">
        <v>66</v>
      </c>
      <c r="AF110" t="s">
        <v>525</v>
      </c>
    </row>
    <row r="111" spans="1:32">
      <c r="A111" t="s">
        <v>794</v>
      </c>
      <c r="B111" t="s">
        <v>251</v>
      </c>
      <c r="C111" t="s">
        <v>795</v>
      </c>
      <c r="D111" t="s">
        <v>66</v>
      </c>
      <c r="E111" t="s">
        <v>67</v>
      </c>
      <c r="F111" t="s">
        <v>253</v>
      </c>
      <c r="G111" t="s">
        <v>254</v>
      </c>
      <c r="H111" t="s">
        <v>66</v>
      </c>
      <c r="I111" t="s">
        <v>66</v>
      </c>
      <c r="J111" t="s">
        <v>67</v>
      </c>
      <c r="K111" t="s">
        <v>71</v>
      </c>
      <c r="L111" t="s">
        <v>72</v>
      </c>
      <c r="M111" t="s">
        <v>73</v>
      </c>
      <c r="N111" t="s">
        <v>66</v>
      </c>
      <c r="O111" t="s">
        <v>73</v>
      </c>
      <c r="P111" t="s">
        <v>66</v>
      </c>
      <c r="Q111" t="s">
        <v>788</v>
      </c>
      <c r="R111" t="s">
        <v>73</v>
      </c>
      <c r="S111" t="s">
        <v>788</v>
      </c>
      <c r="T111" t="s">
        <v>796</v>
      </c>
      <c r="U111" t="s">
        <v>797</v>
      </c>
      <c r="V111" t="s">
        <v>791</v>
      </c>
      <c r="W111" t="s">
        <v>66</v>
      </c>
      <c r="X111" t="s">
        <v>78</v>
      </c>
      <c r="Y111" t="s">
        <v>798</v>
      </c>
      <c r="Z111" t="s">
        <v>95</v>
      </c>
      <c r="AA111" t="s">
        <v>793</v>
      </c>
      <c r="AB111" t="s">
        <v>793</v>
      </c>
      <c r="AC111" t="s">
        <v>82</v>
      </c>
      <c r="AD111" t="s">
        <v>83</v>
      </c>
      <c r="AE111" t="s">
        <v>66</v>
      </c>
      <c r="AF111" t="s">
        <v>525</v>
      </c>
    </row>
    <row r="112" spans="1:32">
      <c r="A112" t="s">
        <v>799</v>
      </c>
      <c r="B112" t="s">
        <v>770</v>
      </c>
      <c r="C112" t="s">
        <v>800</v>
      </c>
      <c r="D112" t="s">
        <v>800</v>
      </c>
      <c r="E112" t="s">
        <v>67</v>
      </c>
      <c r="F112" t="s">
        <v>164</v>
      </c>
      <c r="G112" t="s">
        <v>165</v>
      </c>
      <c r="H112" t="s">
        <v>166</v>
      </c>
      <c r="I112" t="s">
        <v>66</v>
      </c>
      <c r="J112" t="s">
        <v>67</v>
      </c>
      <c r="K112" t="s">
        <v>71</v>
      </c>
      <c r="L112" t="s">
        <v>72</v>
      </c>
      <c r="M112" t="s">
        <v>73</v>
      </c>
      <c r="N112" t="s">
        <v>66</v>
      </c>
      <c r="O112" t="s">
        <v>73</v>
      </c>
      <c r="P112" t="s">
        <v>66</v>
      </c>
      <c r="Q112" t="s">
        <v>801</v>
      </c>
      <c r="R112" t="s">
        <v>73</v>
      </c>
      <c r="S112" t="s">
        <v>801</v>
      </c>
      <c r="T112" t="s">
        <v>802</v>
      </c>
      <c r="U112" t="s">
        <v>803</v>
      </c>
      <c r="V112" t="s">
        <v>804</v>
      </c>
      <c r="W112" t="s">
        <v>66</v>
      </c>
      <c r="X112" t="s">
        <v>78</v>
      </c>
      <c r="Y112" t="s">
        <v>805</v>
      </c>
      <c r="Z112" t="s">
        <v>117</v>
      </c>
      <c r="AA112" t="s">
        <v>806</v>
      </c>
      <c r="AB112" t="s">
        <v>806</v>
      </c>
      <c r="AC112" t="s">
        <v>82</v>
      </c>
      <c r="AD112" t="s">
        <v>83</v>
      </c>
      <c r="AE112" t="s">
        <v>66</v>
      </c>
      <c r="AF112" t="s">
        <v>525</v>
      </c>
    </row>
    <row r="113" spans="1:32">
      <c r="A113" t="s">
        <v>807</v>
      </c>
      <c r="B113" t="s">
        <v>86</v>
      </c>
      <c r="C113" t="s">
        <v>808</v>
      </c>
      <c r="D113" t="s">
        <v>66</v>
      </c>
      <c r="E113" t="s">
        <v>67</v>
      </c>
      <c r="F113" t="s">
        <v>253</v>
      </c>
      <c r="G113" t="s">
        <v>254</v>
      </c>
      <c r="H113" t="s">
        <v>66</v>
      </c>
      <c r="I113" t="s">
        <v>66</v>
      </c>
      <c r="J113" t="s">
        <v>67</v>
      </c>
      <c r="K113" t="s">
        <v>71</v>
      </c>
      <c r="L113" t="s">
        <v>72</v>
      </c>
      <c r="M113" t="s">
        <v>73</v>
      </c>
      <c r="N113" t="s">
        <v>66</v>
      </c>
      <c r="O113" t="s">
        <v>73</v>
      </c>
      <c r="P113" t="s">
        <v>66</v>
      </c>
      <c r="Q113" t="s">
        <v>809</v>
      </c>
      <c r="R113" t="s">
        <v>73</v>
      </c>
      <c r="S113" t="s">
        <v>809</v>
      </c>
      <c r="T113" t="s">
        <v>810</v>
      </c>
      <c r="U113" t="s">
        <v>811</v>
      </c>
      <c r="V113" t="s">
        <v>812</v>
      </c>
      <c r="W113" t="s">
        <v>66</v>
      </c>
      <c r="X113" t="s">
        <v>78</v>
      </c>
      <c r="Y113" t="s">
        <v>813</v>
      </c>
      <c r="Z113" t="s">
        <v>385</v>
      </c>
      <c r="AA113" t="s">
        <v>814</v>
      </c>
      <c r="AB113" t="s">
        <v>814</v>
      </c>
      <c r="AC113" t="s">
        <v>82</v>
      </c>
      <c r="AD113" t="s">
        <v>83</v>
      </c>
      <c r="AE113" t="s">
        <v>66</v>
      </c>
      <c r="AF113" t="s">
        <v>525</v>
      </c>
    </row>
    <row r="114" spans="1:32">
      <c r="A114" t="s">
        <v>815</v>
      </c>
      <c r="B114" t="s">
        <v>86</v>
      </c>
      <c r="C114" t="s">
        <v>816</v>
      </c>
      <c r="D114" t="s">
        <v>66</v>
      </c>
      <c r="E114" t="s">
        <v>67</v>
      </c>
      <c r="F114" t="s">
        <v>253</v>
      </c>
      <c r="G114" t="s">
        <v>254</v>
      </c>
      <c r="H114" t="s">
        <v>66</v>
      </c>
      <c r="I114" t="s">
        <v>66</v>
      </c>
      <c r="J114" t="s">
        <v>67</v>
      </c>
      <c r="K114" t="s">
        <v>71</v>
      </c>
      <c r="L114" t="s">
        <v>72</v>
      </c>
      <c r="M114" t="s">
        <v>73</v>
      </c>
      <c r="N114" t="s">
        <v>66</v>
      </c>
      <c r="O114" t="s">
        <v>73</v>
      </c>
      <c r="P114" t="s">
        <v>66</v>
      </c>
      <c r="Q114" t="s">
        <v>809</v>
      </c>
      <c r="R114" t="s">
        <v>73</v>
      </c>
      <c r="S114" t="s">
        <v>809</v>
      </c>
      <c r="T114" t="s">
        <v>817</v>
      </c>
      <c r="U114" t="s">
        <v>818</v>
      </c>
      <c r="V114" t="s">
        <v>812</v>
      </c>
      <c r="W114" t="s">
        <v>66</v>
      </c>
      <c r="X114" t="s">
        <v>78</v>
      </c>
      <c r="Y114" t="s">
        <v>819</v>
      </c>
      <c r="Z114" t="s">
        <v>385</v>
      </c>
      <c r="AA114" t="s">
        <v>814</v>
      </c>
      <c r="AB114" t="s">
        <v>814</v>
      </c>
      <c r="AC114" t="s">
        <v>82</v>
      </c>
      <c r="AD114" t="s">
        <v>83</v>
      </c>
      <c r="AE114" t="s">
        <v>66</v>
      </c>
      <c r="AF114" t="s">
        <v>525</v>
      </c>
    </row>
    <row r="115" spans="1:32">
      <c r="A115" t="s">
        <v>820</v>
      </c>
      <c r="B115" t="s">
        <v>325</v>
      </c>
      <c r="C115" t="s">
        <v>821</v>
      </c>
      <c r="D115" t="s">
        <v>66</v>
      </c>
      <c r="E115" t="s">
        <v>67</v>
      </c>
      <c r="F115" t="s">
        <v>100</v>
      </c>
      <c r="G115" t="s">
        <v>101</v>
      </c>
      <c r="H115" t="s">
        <v>102</v>
      </c>
      <c r="I115" t="s">
        <v>66</v>
      </c>
      <c r="J115" t="s">
        <v>67</v>
      </c>
      <c r="K115" t="s">
        <v>281</v>
      </c>
      <c r="L115" t="s">
        <v>72</v>
      </c>
      <c r="M115" t="s">
        <v>73</v>
      </c>
      <c r="N115" t="s">
        <v>66</v>
      </c>
      <c r="O115" t="s">
        <v>73</v>
      </c>
      <c r="P115" t="s">
        <v>66</v>
      </c>
      <c r="Q115" t="s">
        <v>809</v>
      </c>
      <c r="R115" t="s">
        <v>73</v>
      </c>
      <c r="S115" t="s">
        <v>809</v>
      </c>
      <c r="T115" t="s">
        <v>822</v>
      </c>
      <c r="U115" t="s">
        <v>823</v>
      </c>
      <c r="V115" t="s">
        <v>812</v>
      </c>
      <c r="W115" t="s">
        <v>66</v>
      </c>
      <c r="X115" t="s">
        <v>78</v>
      </c>
      <c r="Y115" t="s">
        <v>824</v>
      </c>
      <c r="Z115" t="s">
        <v>385</v>
      </c>
      <c r="AA115" t="s">
        <v>814</v>
      </c>
      <c r="AB115" t="s">
        <v>814</v>
      </c>
      <c r="AC115" t="s">
        <v>82</v>
      </c>
      <c r="AD115" t="s">
        <v>83</v>
      </c>
      <c r="AE115" t="s">
        <v>66</v>
      </c>
      <c r="AF115" t="s">
        <v>525</v>
      </c>
    </row>
    <row r="116" spans="1:32">
      <c r="A116" t="s">
        <v>825</v>
      </c>
      <c r="B116" t="s">
        <v>86</v>
      </c>
      <c r="C116" t="s">
        <v>826</v>
      </c>
      <c r="D116" t="s">
        <v>66</v>
      </c>
      <c r="E116" t="s">
        <v>67</v>
      </c>
      <c r="F116" t="s">
        <v>253</v>
      </c>
      <c r="G116" t="s">
        <v>254</v>
      </c>
      <c r="H116" t="s">
        <v>66</v>
      </c>
      <c r="I116" t="s">
        <v>66</v>
      </c>
      <c r="J116" t="s">
        <v>67</v>
      </c>
      <c r="K116" t="s">
        <v>71</v>
      </c>
      <c r="L116" t="s">
        <v>72</v>
      </c>
      <c r="M116" t="s">
        <v>73</v>
      </c>
      <c r="N116" t="s">
        <v>66</v>
      </c>
      <c r="O116" t="s">
        <v>73</v>
      </c>
      <c r="P116" t="s">
        <v>66</v>
      </c>
      <c r="Q116" t="s">
        <v>809</v>
      </c>
      <c r="R116" t="s">
        <v>73</v>
      </c>
      <c r="S116" t="s">
        <v>809</v>
      </c>
      <c r="T116" t="s">
        <v>827</v>
      </c>
      <c r="U116" t="s">
        <v>828</v>
      </c>
      <c r="V116" t="s">
        <v>812</v>
      </c>
      <c r="W116" t="s">
        <v>66</v>
      </c>
      <c r="X116" t="s">
        <v>78</v>
      </c>
      <c r="Y116" t="s">
        <v>829</v>
      </c>
      <c r="Z116" t="s">
        <v>385</v>
      </c>
      <c r="AA116" t="s">
        <v>814</v>
      </c>
      <c r="AB116" t="s">
        <v>814</v>
      </c>
      <c r="AC116" t="s">
        <v>82</v>
      </c>
      <c r="AD116" t="s">
        <v>83</v>
      </c>
      <c r="AE116" t="s">
        <v>66</v>
      </c>
      <c r="AF116" t="s">
        <v>525</v>
      </c>
    </row>
    <row r="117" spans="1:32">
      <c r="A117" t="s">
        <v>830</v>
      </c>
      <c r="B117" t="s">
        <v>98</v>
      </c>
      <c r="C117" t="s">
        <v>831</v>
      </c>
      <c r="D117" t="s">
        <v>66</v>
      </c>
      <c r="E117" t="s">
        <v>67</v>
      </c>
      <c r="F117" t="s">
        <v>100</v>
      </c>
      <c r="G117" t="s">
        <v>101</v>
      </c>
      <c r="H117" t="s">
        <v>102</v>
      </c>
      <c r="I117" t="s">
        <v>66</v>
      </c>
      <c r="J117" t="s">
        <v>67</v>
      </c>
      <c r="K117" t="s">
        <v>71</v>
      </c>
      <c r="L117" t="s">
        <v>72</v>
      </c>
      <c r="M117" t="s">
        <v>73</v>
      </c>
      <c r="N117" t="s">
        <v>66</v>
      </c>
      <c r="O117" t="s">
        <v>73</v>
      </c>
      <c r="P117" t="s">
        <v>66</v>
      </c>
      <c r="Q117" t="s">
        <v>809</v>
      </c>
      <c r="R117" t="s">
        <v>73</v>
      </c>
      <c r="S117" t="s">
        <v>809</v>
      </c>
      <c r="T117" t="s">
        <v>832</v>
      </c>
      <c r="U117" t="s">
        <v>833</v>
      </c>
      <c r="V117" t="s">
        <v>812</v>
      </c>
      <c r="W117" t="s">
        <v>66</v>
      </c>
      <c r="X117" t="s">
        <v>78</v>
      </c>
      <c r="Y117" t="s">
        <v>834</v>
      </c>
      <c r="Z117" t="s">
        <v>385</v>
      </c>
      <c r="AA117" t="s">
        <v>814</v>
      </c>
      <c r="AB117" t="s">
        <v>814</v>
      </c>
      <c r="AC117" t="s">
        <v>82</v>
      </c>
      <c r="AD117" t="s">
        <v>83</v>
      </c>
      <c r="AE117" t="s">
        <v>66</v>
      </c>
      <c r="AF117" t="s">
        <v>525</v>
      </c>
    </row>
    <row r="118" spans="1:32">
      <c r="A118" t="s">
        <v>835</v>
      </c>
      <c r="B118" t="s">
        <v>325</v>
      </c>
      <c r="C118" t="s">
        <v>836</v>
      </c>
      <c r="D118" t="s">
        <v>66</v>
      </c>
      <c r="E118" t="s">
        <v>67</v>
      </c>
      <c r="F118" t="s">
        <v>100</v>
      </c>
      <c r="G118" t="s">
        <v>101</v>
      </c>
      <c r="H118" t="s">
        <v>102</v>
      </c>
      <c r="I118" t="s">
        <v>66</v>
      </c>
      <c r="J118" t="s">
        <v>67</v>
      </c>
      <c r="K118" t="s">
        <v>281</v>
      </c>
      <c r="L118" t="s">
        <v>72</v>
      </c>
      <c r="M118" t="s">
        <v>73</v>
      </c>
      <c r="N118" t="s">
        <v>66</v>
      </c>
      <c r="O118" t="s">
        <v>73</v>
      </c>
      <c r="P118" t="s">
        <v>66</v>
      </c>
      <c r="Q118" t="s">
        <v>809</v>
      </c>
      <c r="R118" t="s">
        <v>73</v>
      </c>
      <c r="S118" t="s">
        <v>809</v>
      </c>
      <c r="T118" t="s">
        <v>837</v>
      </c>
      <c r="U118" t="s">
        <v>838</v>
      </c>
      <c r="V118" t="s">
        <v>812</v>
      </c>
      <c r="W118" t="s">
        <v>66</v>
      </c>
      <c r="X118" t="s">
        <v>78</v>
      </c>
      <c r="Y118" t="s">
        <v>839</v>
      </c>
      <c r="Z118" t="s">
        <v>385</v>
      </c>
      <c r="AA118" t="s">
        <v>814</v>
      </c>
      <c r="AB118" t="s">
        <v>814</v>
      </c>
      <c r="AC118" t="s">
        <v>82</v>
      </c>
      <c r="AD118" t="s">
        <v>83</v>
      </c>
      <c r="AE118" t="s">
        <v>66</v>
      </c>
      <c r="AF118" t="s">
        <v>525</v>
      </c>
    </row>
    <row r="119" spans="1:32">
      <c r="A119" t="s">
        <v>840</v>
      </c>
      <c r="B119" t="s">
        <v>841</v>
      </c>
      <c r="C119" t="s">
        <v>842</v>
      </c>
      <c r="D119" t="s">
        <v>842</v>
      </c>
      <c r="E119" t="s">
        <v>109</v>
      </c>
      <c r="F119" t="s">
        <v>110</v>
      </c>
      <c r="G119" t="s">
        <v>111</v>
      </c>
      <c r="H119" t="s">
        <v>66</v>
      </c>
      <c r="I119" t="s">
        <v>66</v>
      </c>
      <c r="J119" t="s">
        <v>67</v>
      </c>
      <c r="K119" t="s">
        <v>71</v>
      </c>
      <c r="L119" t="s">
        <v>72</v>
      </c>
      <c r="M119" t="s">
        <v>73</v>
      </c>
      <c r="N119" t="s">
        <v>66</v>
      </c>
      <c r="O119" t="s">
        <v>73</v>
      </c>
      <c r="P119" t="s">
        <v>66</v>
      </c>
      <c r="Q119" t="s">
        <v>843</v>
      </c>
      <c r="R119" t="s">
        <v>73</v>
      </c>
      <c r="S119" t="s">
        <v>843</v>
      </c>
      <c r="T119" t="s">
        <v>844</v>
      </c>
      <c r="U119" t="s">
        <v>845</v>
      </c>
      <c r="V119" t="s">
        <v>846</v>
      </c>
      <c r="W119" t="s">
        <v>66</v>
      </c>
      <c r="X119" t="s">
        <v>78</v>
      </c>
      <c r="Y119" t="s">
        <v>847</v>
      </c>
      <c r="Z119" t="s">
        <v>158</v>
      </c>
      <c r="AA119" t="s">
        <v>848</v>
      </c>
      <c r="AB119" t="s">
        <v>848</v>
      </c>
      <c r="AC119" t="s">
        <v>82</v>
      </c>
      <c r="AD119" t="s">
        <v>83</v>
      </c>
      <c r="AE119" t="s">
        <v>66</v>
      </c>
      <c r="AF119" t="s">
        <v>525</v>
      </c>
    </row>
    <row r="120" spans="1:32">
      <c r="A120" t="s">
        <v>849</v>
      </c>
      <c r="B120" t="s">
        <v>841</v>
      </c>
      <c r="C120" t="s">
        <v>850</v>
      </c>
      <c r="D120" t="s">
        <v>850</v>
      </c>
      <c r="E120" t="s">
        <v>109</v>
      </c>
      <c r="F120" t="s">
        <v>110</v>
      </c>
      <c r="G120" t="s">
        <v>111</v>
      </c>
      <c r="H120" t="s">
        <v>66</v>
      </c>
      <c r="I120" t="s">
        <v>66</v>
      </c>
      <c r="J120" t="s">
        <v>67</v>
      </c>
      <c r="K120" t="s">
        <v>281</v>
      </c>
      <c r="L120" t="s">
        <v>72</v>
      </c>
      <c r="M120" t="s">
        <v>73</v>
      </c>
      <c r="N120" t="s">
        <v>66</v>
      </c>
      <c r="O120" t="s">
        <v>73</v>
      </c>
      <c r="P120" t="s">
        <v>66</v>
      </c>
      <c r="Q120" t="s">
        <v>851</v>
      </c>
      <c r="R120" t="s">
        <v>73</v>
      </c>
      <c r="S120" t="s">
        <v>851</v>
      </c>
      <c r="T120" t="s">
        <v>852</v>
      </c>
      <c r="U120" t="s">
        <v>853</v>
      </c>
      <c r="V120" t="s">
        <v>854</v>
      </c>
      <c r="W120" t="s">
        <v>66</v>
      </c>
      <c r="X120" t="s">
        <v>78</v>
      </c>
      <c r="Y120" t="s">
        <v>855</v>
      </c>
      <c r="Z120" t="s">
        <v>158</v>
      </c>
      <c r="AA120" t="s">
        <v>848</v>
      </c>
      <c r="AB120" t="s">
        <v>848</v>
      </c>
      <c r="AC120" t="s">
        <v>82</v>
      </c>
      <c r="AD120" t="s">
        <v>83</v>
      </c>
      <c r="AE120" t="s">
        <v>66</v>
      </c>
      <c r="AF120" t="s">
        <v>525</v>
      </c>
    </row>
    <row r="121" spans="1:32">
      <c r="A121" t="s">
        <v>856</v>
      </c>
      <c r="B121" t="s">
        <v>841</v>
      </c>
      <c r="C121" t="s">
        <v>857</v>
      </c>
      <c r="D121" t="s">
        <v>857</v>
      </c>
      <c r="E121" t="s">
        <v>109</v>
      </c>
      <c r="F121" t="s">
        <v>110</v>
      </c>
      <c r="G121" t="s">
        <v>111</v>
      </c>
      <c r="H121" t="s">
        <v>66</v>
      </c>
      <c r="I121" t="s">
        <v>66</v>
      </c>
      <c r="J121" t="s">
        <v>67</v>
      </c>
      <c r="K121" t="s">
        <v>71</v>
      </c>
      <c r="L121" t="s">
        <v>72</v>
      </c>
      <c r="M121" t="s">
        <v>73</v>
      </c>
      <c r="N121" t="s">
        <v>66</v>
      </c>
      <c r="O121" t="s">
        <v>73</v>
      </c>
      <c r="P121" t="s">
        <v>66</v>
      </c>
      <c r="Q121" t="s">
        <v>858</v>
      </c>
      <c r="R121" t="s">
        <v>73</v>
      </c>
      <c r="S121" t="s">
        <v>858</v>
      </c>
      <c r="T121" t="s">
        <v>859</v>
      </c>
      <c r="U121" t="s">
        <v>860</v>
      </c>
      <c r="V121" t="s">
        <v>861</v>
      </c>
      <c r="W121" t="s">
        <v>66</v>
      </c>
      <c r="X121" t="s">
        <v>78</v>
      </c>
      <c r="Y121" t="s">
        <v>862</v>
      </c>
      <c r="Z121" t="s">
        <v>158</v>
      </c>
      <c r="AA121" t="s">
        <v>848</v>
      </c>
      <c r="AB121" t="s">
        <v>848</v>
      </c>
      <c r="AC121" t="s">
        <v>82</v>
      </c>
      <c r="AD121" t="s">
        <v>83</v>
      </c>
      <c r="AE121" t="s">
        <v>66</v>
      </c>
      <c r="AF121" t="s">
        <v>525</v>
      </c>
    </row>
    <row r="122" spans="1:32">
      <c r="A122" t="s">
        <v>863</v>
      </c>
      <c r="B122" t="s">
        <v>864</v>
      </c>
      <c r="C122" t="s">
        <v>865</v>
      </c>
      <c r="D122" t="s">
        <v>865</v>
      </c>
      <c r="E122" t="s">
        <v>109</v>
      </c>
      <c r="F122" t="s">
        <v>110</v>
      </c>
      <c r="G122" t="s">
        <v>111</v>
      </c>
      <c r="H122" t="s">
        <v>66</v>
      </c>
      <c r="I122" t="s">
        <v>66</v>
      </c>
      <c r="J122" t="s">
        <v>67</v>
      </c>
      <c r="K122" t="s">
        <v>71</v>
      </c>
      <c r="L122" t="s">
        <v>72</v>
      </c>
      <c r="M122" t="s">
        <v>73</v>
      </c>
      <c r="N122" t="s">
        <v>66</v>
      </c>
      <c r="O122" t="s">
        <v>73</v>
      </c>
      <c r="P122" t="s">
        <v>66</v>
      </c>
      <c r="Q122" t="s">
        <v>866</v>
      </c>
      <c r="R122" t="s">
        <v>73</v>
      </c>
      <c r="S122" t="s">
        <v>866</v>
      </c>
      <c r="T122" t="s">
        <v>867</v>
      </c>
      <c r="U122" t="s">
        <v>868</v>
      </c>
      <c r="V122" t="s">
        <v>869</v>
      </c>
      <c r="W122" t="s">
        <v>66</v>
      </c>
      <c r="X122" t="s">
        <v>78</v>
      </c>
      <c r="Y122" t="s">
        <v>862</v>
      </c>
      <c r="Z122" t="s">
        <v>158</v>
      </c>
      <c r="AA122" t="s">
        <v>848</v>
      </c>
      <c r="AB122" t="s">
        <v>848</v>
      </c>
      <c r="AC122" t="s">
        <v>82</v>
      </c>
      <c r="AD122" t="s">
        <v>83</v>
      </c>
      <c r="AE122" t="s">
        <v>66</v>
      </c>
      <c r="AF122" t="s">
        <v>525</v>
      </c>
    </row>
    <row r="123" spans="1:32">
      <c r="A123" t="s">
        <v>835</v>
      </c>
      <c r="B123" t="s">
        <v>325</v>
      </c>
      <c r="C123" t="s">
        <v>836</v>
      </c>
      <c r="D123" t="s">
        <v>66</v>
      </c>
      <c r="E123" t="s">
        <v>67</v>
      </c>
      <c r="F123" t="s">
        <v>100</v>
      </c>
      <c r="G123" t="s">
        <v>101</v>
      </c>
      <c r="H123" t="s">
        <v>102</v>
      </c>
      <c r="I123" t="s">
        <v>66</v>
      </c>
      <c r="J123" t="s">
        <v>67</v>
      </c>
      <c r="K123" t="s">
        <v>71</v>
      </c>
      <c r="L123" t="s">
        <v>72</v>
      </c>
      <c r="M123" t="s">
        <v>73</v>
      </c>
      <c r="N123" t="s">
        <v>66</v>
      </c>
      <c r="O123" t="s">
        <v>73</v>
      </c>
      <c r="P123" t="s">
        <v>66</v>
      </c>
      <c r="Q123" t="s">
        <v>870</v>
      </c>
      <c r="R123" t="s">
        <v>73</v>
      </c>
      <c r="S123" t="s">
        <v>870</v>
      </c>
      <c r="T123" t="s">
        <v>871</v>
      </c>
      <c r="U123" t="s">
        <v>872</v>
      </c>
      <c r="V123" t="s">
        <v>873</v>
      </c>
      <c r="W123" t="s">
        <v>66</v>
      </c>
      <c r="X123" t="s">
        <v>78</v>
      </c>
      <c r="Y123" t="s">
        <v>874</v>
      </c>
      <c r="Z123" t="s">
        <v>385</v>
      </c>
      <c r="AA123" t="s">
        <v>875</v>
      </c>
      <c r="AB123" t="s">
        <v>875</v>
      </c>
      <c r="AC123" t="s">
        <v>82</v>
      </c>
      <c r="AD123" t="s">
        <v>83</v>
      </c>
      <c r="AE123" t="s">
        <v>66</v>
      </c>
      <c r="AF123" t="s">
        <v>876</v>
      </c>
    </row>
    <row r="124" spans="1:32">
      <c r="A124" t="s">
        <v>820</v>
      </c>
      <c r="B124" t="s">
        <v>325</v>
      </c>
      <c r="C124" t="s">
        <v>821</v>
      </c>
      <c r="D124" t="s">
        <v>66</v>
      </c>
      <c r="E124" t="s">
        <v>67</v>
      </c>
      <c r="F124" t="s">
        <v>100</v>
      </c>
      <c r="G124" t="s">
        <v>101</v>
      </c>
      <c r="H124" t="s">
        <v>102</v>
      </c>
      <c r="I124" t="s">
        <v>66</v>
      </c>
      <c r="J124" t="s">
        <v>67</v>
      </c>
      <c r="K124" t="s">
        <v>71</v>
      </c>
      <c r="L124" t="s">
        <v>72</v>
      </c>
      <c r="M124" t="s">
        <v>73</v>
      </c>
      <c r="N124" t="s">
        <v>66</v>
      </c>
      <c r="O124" t="s">
        <v>73</v>
      </c>
      <c r="P124" t="s">
        <v>66</v>
      </c>
      <c r="Q124" t="s">
        <v>870</v>
      </c>
      <c r="R124" t="s">
        <v>73</v>
      </c>
      <c r="S124" t="s">
        <v>870</v>
      </c>
      <c r="T124" t="s">
        <v>877</v>
      </c>
      <c r="U124" t="s">
        <v>878</v>
      </c>
      <c r="V124" t="s">
        <v>873</v>
      </c>
      <c r="W124" t="s">
        <v>66</v>
      </c>
      <c r="X124" t="s">
        <v>78</v>
      </c>
      <c r="Y124" t="s">
        <v>879</v>
      </c>
      <c r="Z124" t="s">
        <v>385</v>
      </c>
      <c r="AA124" t="s">
        <v>875</v>
      </c>
      <c r="AB124" t="s">
        <v>875</v>
      </c>
      <c r="AC124" t="s">
        <v>82</v>
      </c>
      <c r="AD124" t="s">
        <v>83</v>
      </c>
      <c r="AE124" t="s">
        <v>66</v>
      </c>
      <c r="AF124" t="s">
        <v>876</v>
      </c>
    </row>
    <row r="125" spans="1:32">
      <c r="A125" t="s">
        <v>880</v>
      </c>
      <c r="B125" t="s">
        <v>86</v>
      </c>
      <c r="C125" t="s">
        <v>881</v>
      </c>
      <c r="D125" t="s">
        <v>66</v>
      </c>
      <c r="E125" t="s">
        <v>67</v>
      </c>
      <c r="F125" t="s">
        <v>253</v>
      </c>
      <c r="G125" t="s">
        <v>254</v>
      </c>
      <c r="H125" t="s">
        <v>66</v>
      </c>
      <c r="I125" t="s">
        <v>66</v>
      </c>
      <c r="J125" t="s">
        <v>67</v>
      </c>
      <c r="K125" t="s">
        <v>71</v>
      </c>
      <c r="L125" t="s">
        <v>72</v>
      </c>
      <c r="M125" t="s">
        <v>73</v>
      </c>
      <c r="N125" t="s">
        <v>66</v>
      </c>
      <c r="O125" t="s">
        <v>73</v>
      </c>
      <c r="P125" t="s">
        <v>66</v>
      </c>
      <c r="Q125" t="s">
        <v>870</v>
      </c>
      <c r="R125" t="s">
        <v>73</v>
      </c>
      <c r="S125" t="s">
        <v>870</v>
      </c>
      <c r="T125" t="s">
        <v>882</v>
      </c>
      <c r="U125" t="s">
        <v>883</v>
      </c>
      <c r="V125" t="s">
        <v>873</v>
      </c>
      <c r="W125" t="s">
        <v>66</v>
      </c>
      <c r="X125" t="s">
        <v>78</v>
      </c>
      <c r="Y125" t="s">
        <v>884</v>
      </c>
      <c r="Z125" t="s">
        <v>385</v>
      </c>
      <c r="AA125" t="s">
        <v>875</v>
      </c>
      <c r="AB125" t="s">
        <v>875</v>
      </c>
      <c r="AC125" t="s">
        <v>82</v>
      </c>
      <c r="AD125" t="s">
        <v>83</v>
      </c>
      <c r="AE125" t="s">
        <v>66</v>
      </c>
      <c r="AF125" t="s">
        <v>876</v>
      </c>
    </row>
    <row r="126" spans="1:32">
      <c r="A126" t="s">
        <v>885</v>
      </c>
      <c r="B126" t="s">
        <v>86</v>
      </c>
      <c r="C126" t="s">
        <v>886</v>
      </c>
      <c r="D126" t="s">
        <v>66</v>
      </c>
      <c r="E126" t="s">
        <v>67</v>
      </c>
      <c r="F126" t="s">
        <v>253</v>
      </c>
      <c r="G126" t="s">
        <v>254</v>
      </c>
      <c r="H126" t="s">
        <v>66</v>
      </c>
      <c r="I126" t="s">
        <v>66</v>
      </c>
      <c r="J126" t="s">
        <v>67</v>
      </c>
      <c r="K126" t="s">
        <v>71</v>
      </c>
      <c r="L126" t="s">
        <v>72</v>
      </c>
      <c r="M126" t="s">
        <v>73</v>
      </c>
      <c r="N126" t="s">
        <v>66</v>
      </c>
      <c r="O126" t="s">
        <v>73</v>
      </c>
      <c r="P126" t="s">
        <v>66</v>
      </c>
      <c r="Q126" t="s">
        <v>870</v>
      </c>
      <c r="R126" t="s">
        <v>73</v>
      </c>
      <c r="S126" t="s">
        <v>870</v>
      </c>
      <c r="T126" t="s">
        <v>887</v>
      </c>
      <c r="U126" t="s">
        <v>888</v>
      </c>
      <c r="V126" t="s">
        <v>873</v>
      </c>
      <c r="W126" t="s">
        <v>66</v>
      </c>
      <c r="X126" t="s">
        <v>78</v>
      </c>
      <c r="Y126" t="s">
        <v>889</v>
      </c>
      <c r="Z126" t="s">
        <v>385</v>
      </c>
      <c r="AA126" t="s">
        <v>875</v>
      </c>
      <c r="AB126" t="s">
        <v>875</v>
      </c>
      <c r="AC126" t="s">
        <v>82</v>
      </c>
      <c r="AD126" t="s">
        <v>83</v>
      </c>
      <c r="AE126" t="s">
        <v>66</v>
      </c>
      <c r="AF126" t="s">
        <v>876</v>
      </c>
    </row>
    <row r="127" spans="1:32">
      <c r="A127" t="s">
        <v>890</v>
      </c>
      <c r="B127" t="s">
        <v>325</v>
      </c>
      <c r="C127" t="s">
        <v>891</v>
      </c>
      <c r="D127" t="s">
        <v>66</v>
      </c>
      <c r="E127" t="s">
        <v>67</v>
      </c>
      <c r="F127" t="s">
        <v>100</v>
      </c>
      <c r="G127" t="s">
        <v>101</v>
      </c>
      <c r="H127" t="s">
        <v>102</v>
      </c>
      <c r="I127" t="s">
        <v>66</v>
      </c>
      <c r="J127" t="s">
        <v>67</v>
      </c>
      <c r="K127" t="s">
        <v>71</v>
      </c>
      <c r="L127" t="s">
        <v>72</v>
      </c>
      <c r="M127" t="s">
        <v>73</v>
      </c>
      <c r="N127" t="s">
        <v>66</v>
      </c>
      <c r="O127" t="s">
        <v>73</v>
      </c>
      <c r="P127" t="s">
        <v>66</v>
      </c>
      <c r="Q127" t="s">
        <v>870</v>
      </c>
      <c r="R127" t="s">
        <v>73</v>
      </c>
      <c r="S127" t="s">
        <v>870</v>
      </c>
      <c r="T127" t="s">
        <v>892</v>
      </c>
      <c r="U127" t="s">
        <v>893</v>
      </c>
      <c r="V127" t="s">
        <v>873</v>
      </c>
      <c r="W127" t="s">
        <v>66</v>
      </c>
      <c r="X127" t="s">
        <v>78</v>
      </c>
      <c r="Y127" t="s">
        <v>894</v>
      </c>
      <c r="Z127" t="s">
        <v>385</v>
      </c>
      <c r="AA127" t="s">
        <v>875</v>
      </c>
      <c r="AB127" t="s">
        <v>875</v>
      </c>
      <c r="AC127" t="s">
        <v>82</v>
      </c>
      <c r="AD127" t="s">
        <v>83</v>
      </c>
      <c r="AE127" t="s">
        <v>66</v>
      </c>
      <c r="AF127" t="s">
        <v>876</v>
      </c>
    </row>
    <row r="128" spans="1:32">
      <c r="A128" t="s">
        <v>895</v>
      </c>
      <c r="B128" t="s">
        <v>86</v>
      </c>
      <c r="C128" t="s">
        <v>896</v>
      </c>
      <c r="D128" t="s">
        <v>66</v>
      </c>
      <c r="E128" t="s">
        <v>67</v>
      </c>
      <c r="F128" t="s">
        <v>88</v>
      </c>
      <c r="G128" t="s">
        <v>89</v>
      </c>
      <c r="H128" t="s">
        <v>89</v>
      </c>
      <c r="I128" t="s">
        <v>66</v>
      </c>
      <c r="J128" t="s">
        <v>67</v>
      </c>
      <c r="K128" t="s">
        <v>71</v>
      </c>
      <c r="L128" t="s">
        <v>72</v>
      </c>
      <c r="M128" t="s">
        <v>73</v>
      </c>
      <c r="N128" t="s">
        <v>66</v>
      </c>
      <c r="O128" t="s">
        <v>73</v>
      </c>
      <c r="P128" t="s">
        <v>66</v>
      </c>
      <c r="Q128" t="s">
        <v>897</v>
      </c>
      <c r="R128" t="s">
        <v>73</v>
      </c>
      <c r="S128" t="s">
        <v>897</v>
      </c>
      <c r="T128" t="s">
        <v>898</v>
      </c>
      <c r="U128" t="s">
        <v>899</v>
      </c>
      <c r="V128" t="s">
        <v>900</v>
      </c>
      <c r="W128" t="s">
        <v>66</v>
      </c>
      <c r="X128" t="s">
        <v>78</v>
      </c>
      <c r="Y128" t="s">
        <v>901</v>
      </c>
      <c r="Z128" t="s">
        <v>385</v>
      </c>
      <c r="AA128" t="s">
        <v>875</v>
      </c>
      <c r="AB128" t="s">
        <v>875</v>
      </c>
      <c r="AC128" t="s">
        <v>82</v>
      </c>
      <c r="AD128" t="s">
        <v>83</v>
      </c>
      <c r="AE128" t="s">
        <v>66</v>
      </c>
      <c r="AF128" t="s">
        <v>876</v>
      </c>
    </row>
    <row r="129" spans="1:32">
      <c r="A129" t="s">
        <v>902</v>
      </c>
      <c r="B129" t="s">
        <v>325</v>
      </c>
      <c r="C129" t="s">
        <v>903</v>
      </c>
      <c r="D129" t="s">
        <v>66</v>
      </c>
      <c r="E129" t="s">
        <v>67</v>
      </c>
      <c r="F129" t="s">
        <v>100</v>
      </c>
      <c r="G129" t="s">
        <v>101</v>
      </c>
      <c r="H129" t="s">
        <v>102</v>
      </c>
      <c r="I129" t="s">
        <v>66</v>
      </c>
      <c r="J129" t="s">
        <v>67</v>
      </c>
      <c r="K129" t="s">
        <v>71</v>
      </c>
      <c r="L129" t="s">
        <v>72</v>
      </c>
      <c r="M129" t="s">
        <v>73</v>
      </c>
      <c r="N129" t="s">
        <v>66</v>
      </c>
      <c r="O129" t="s">
        <v>73</v>
      </c>
      <c r="P129" t="s">
        <v>66</v>
      </c>
      <c r="Q129" t="s">
        <v>897</v>
      </c>
      <c r="R129" t="s">
        <v>73</v>
      </c>
      <c r="S129" t="s">
        <v>897</v>
      </c>
      <c r="T129" t="s">
        <v>904</v>
      </c>
      <c r="U129" t="s">
        <v>905</v>
      </c>
      <c r="V129" t="s">
        <v>900</v>
      </c>
      <c r="W129" t="s">
        <v>66</v>
      </c>
      <c r="X129" t="s">
        <v>78</v>
      </c>
      <c r="Y129" t="s">
        <v>906</v>
      </c>
      <c r="Z129" t="s">
        <v>385</v>
      </c>
      <c r="AA129" t="s">
        <v>875</v>
      </c>
      <c r="AB129" t="s">
        <v>875</v>
      </c>
      <c r="AC129" t="s">
        <v>82</v>
      </c>
      <c r="AD129" t="s">
        <v>83</v>
      </c>
      <c r="AE129" t="s">
        <v>66</v>
      </c>
      <c r="AF129" t="s">
        <v>876</v>
      </c>
    </row>
    <row r="130" spans="1:32">
      <c r="A130" t="s">
        <v>907</v>
      </c>
      <c r="B130" t="s">
        <v>86</v>
      </c>
      <c r="C130" t="s">
        <v>908</v>
      </c>
      <c r="D130" t="s">
        <v>66</v>
      </c>
      <c r="E130" t="s">
        <v>67</v>
      </c>
      <c r="F130" t="s">
        <v>253</v>
      </c>
      <c r="G130" t="s">
        <v>254</v>
      </c>
      <c r="H130" t="s">
        <v>66</v>
      </c>
      <c r="I130" t="s">
        <v>66</v>
      </c>
      <c r="J130" t="s">
        <v>67</v>
      </c>
      <c r="K130" t="s">
        <v>71</v>
      </c>
      <c r="L130" t="s">
        <v>72</v>
      </c>
      <c r="M130" t="s">
        <v>73</v>
      </c>
      <c r="N130" t="s">
        <v>66</v>
      </c>
      <c r="O130" t="s">
        <v>73</v>
      </c>
      <c r="P130" t="s">
        <v>66</v>
      </c>
      <c r="Q130" t="s">
        <v>897</v>
      </c>
      <c r="R130" t="s">
        <v>73</v>
      </c>
      <c r="S130" t="s">
        <v>897</v>
      </c>
      <c r="T130" t="s">
        <v>909</v>
      </c>
      <c r="U130" t="s">
        <v>910</v>
      </c>
      <c r="V130" t="s">
        <v>900</v>
      </c>
      <c r="W130" t="s">
        <v>66</v>
      </c>
      <c r="X130" t="s">
        <v>78</v>
      </c>
      <c r="Y130" t="s">
        <v>911</v>
      </c>
      <c r="Z130" t="s">
        <v>385</v>
      </c>
      <c r="AA130" t="s">
        <v>875</v>
      </c>
      <c r="AB130" t="s">
        <v>875</v>
      </c>
      <c r="AC130" t="s">
        <v>82</v>
      </c>
      <c r="AD130" t="s">
        <v>83</v>
      </c>
      <c r="AE130" t="s">
        <v>66</v>
      </c>
      <c r="AF130" t="s">
        <v>876</v>
      </c>
    </row>
    <row r="131" spans="1:32">
      <c r="A131" t="s">
        <v>912</v>
      </c>
      <c r="B131" t="s">
        <v>86</v>
      </c>
      <c r="C131" t="s">
        <v>913</v>
      </c>
      <c r="D131" t="s">
        <v>66</v>
      </c>
      <c r="E131" t="s">
        <v>67</v>
      </c>
      <c r="F131" t="s">
        <v>253</v>
      </c>
      <c r="G131" t="s">
        <v>254</v>
      </c>
      <c r="H131" t="s">
        <v>66</v>
      </c>
      <c r="I131" t="s">
        <v>66</v>
      </c>
      <c r="J131" t="s">
        <v>67</v>
      </c>
      <c r="K131" t="s">
        <v>71</v>
      </c>
      <c r="L131" t="s">
        <v>72</v>
      </c>
      <c r="M131" t="s">
        <v>73</v>
      </c>
      <c r="N131" t="s">
        <v>66</v>
      </c>
      <c r="O131" t="s">
        <v>73</v>
      </c>
      <c r="P131" t="s">
        <v>66</v>
      </c>
      <c r="Q131" t="s">
        <v>897</v>
      </c>
      <c r="R131" t="s">
        <v>73</v>
      </c>
      <c r="S131" t="s">
        <v>897</v>
      </c>
      <c r="T131" t="s">
        <v>914</v>
      </c>
      <c r="U131" t="s">
        <v>915</v>
      </c>
      <c r="V131" t="s">
        <v>900</v>
      </c>
      <c r="W131" t="s">
        <v>66</v>
      </c>
      <c r="X131" t="s">
        <v>78</v>
      </c>
      <c r="Y131" t="s">
        <v>916</v>
      </c>
      <c r="Z131" t="s">
        <v>385</v>
      </c>
      <c r="AA131" t="s">
        <v>875</v>
      </c>
      <c r="AB131" t="s">
        <v>875</v>
      </c>
      <c r="AC131" t="s">
        <v>82</v>
      </c>
      <c r="AD131" t="s">
        <v>83</v>
      </c>
      <c r="AE131" t="s">
        <v>66</v>
      </c>
      <c r="AF131" t="s">
        <v>876</v>
      </c>
    </row>
    <row r="132" spans="1:32">
      <c r="A132" t="s">
        <v>917</v>
      </c>
      <c r="B132" t="s">
        <v>86</v>
      </c>
      <c r="C132" t="s">
        <v>918</v>
      </c>
      <c r="D132" t="s">
        <v>66</v>
      </c>
      <c r="E132" t="s">
        <v>67</v>
      </c>
      <c r="F132" t="s">
        <v>253</v>
      </c>
      <c r="G132" t="s">
        <v>254</v>
      </c>
      <c r="H132" t="s">
        <v>66</v>
      </c>
      <c r="I132" t="s">
        <v>66</v>
      </c>
      <c r="J132" t="s">
        <v>67</v>
      </c>
      <c r="K132" t="s">
        <v>71</v>
      </c>
      <c r="L132" t="s">
        <v>72</v>
      </c>
      <c r="M132" t="s">
        <v>73</v>
      </c>
      <c r="N132" t="s">
        <v>66</v>
      </c>
      <c r="O132" t="s">
        <v>73</v>
      </c>
      <c r="P132" t="s">
        <v>66</v>
      </c>
      <c r="Q132" t="s">
        <v>897</v>
      </c>
      <c r="R132" t="s">
        <v>73</v>
      </c>
      <c r="S132" t="s">
        <v>897</v>
      </c>
      <c r="T132" t="s">
        <v>919</v>
      </c>
      <c r="U132" t="s">
        <v>920</v>
      </c>
      <c r="V132" t="s">
        <v>900</v>
      </c>
      <c r="W132" t="s">
        <v>66</v>
      </c>
      <c r="X132" t="s">
        <v>78</v>
      </c>
      <c r="Y132" t="s">
        <v>921</v>
      </c>
      <c r="Z132" t="s">
        <v>385</v>
      </c>
      <c r="AA132" t="s">
        <v>875</v>
      </c>
      <c r="AB132" t="s">
        <v>875</v>
      </c>
      <c r="AC132" t="s">
        <v>82</v>
      </c>
      <c r="AD132" t="s">
        <v>83</v>
      </c>
      <c r="AE132" t="s">
        <v>66</v>
      </c>
      <c r="AF132" t="s">
        <v>876</v>
      </c>
    </row>
    <row r="133" spans="1:32">
      <c r="A133" t="s">
        <v>922</v>
      </c>
      <c r="B133" t="s">
        <v>86</v>
      </c>
      <c r="C133" t="s">
        <v>923</v>
      </c>
      <c r="D133" t="s">
        <v>66</v>
      </c>
      <c r="E133" t="s">
        <v>67</v>
      </c>
      <c r="F133" t="s">
        <v>253</v>
      </c>
      <c r="G133" t="s">
        <v>254</v>
      </c>
      <c r="H133" t="s">
        <v>66</v>
      </c>
      <c r="I133" t="s">
        <v>66</v>
      </c>
      <c r="J133" t="s">
        <v>67</v>
      </c>
      <c r="K133" t="s">
        <v>71</v>
      </c>
      <c r="L133" t="s">
        <v>72</v>
      </c>
      <c r="M133" t="s">
        <v>73</v>
      </c>
      <c r="N133" t="s">
        <v>66</v>
      </c>
      <c r="O133" t="s">
        <v>73</v>
      </c>
      <c r="P133" t="s">
        <v>66</v>
      </c>
      <c r="Q133" t="s">
        <v>897</v>
      </c>
      <c r="R133" t="s">
        <v>73</v>
      </c>
      <c r="S133" t="s">
        <v>897</v>
      </c>
      <c r="T133" t="s">
        <v>924</v>
      </c>
      <c r="U133" t="s">
        <v>925</v>
      </c>
      <c r="V133" t="s">
        <v>900</v>
      </c>
      <c r="W133" t="s">
        <v>66</v>
      </c>
      <c r="X133" t="s">
        <v>78</v>
      </c>
      <c r="Y133" t="s">
        <v>926</v>
      </c>
      <c r="Z133" t="s">
        <v>385</v>
      </c>
      <c r="AA133" t="s">
        <v>875</v>
      </c>
      <c r="AB133" t="s">
        <v>875</v>
      </c>
      <c r="AC133" t="s">
        <v>82</v>
      </c>
      <c r="AD133" t="s">
        <v>83</v>
      </c>
      <c r="AE133" t="s">
        <v>66</v>
      </c>
      <c r="AF133" t="s">
        <v>876</v>
      </c>
    </row>
    <row r="134" spans="1:32">
      <c r="A134" t="s">
        <v>927</v>
      </c>
      <c r="B134" t="s">
        <v>325</v>
      </c>
      <c r="C134" t="s">
        <v>928</v>
      </c>
      <c r="D134" t="s">
        <v>66</v>
      </c>
      <c r="E134" t="s">
        <v>67</v>
      </c>
      <c r="F134" t="s">
        <v>100</v>
      </c>
      <c r="G134" t="s">
        <v>101</v>
      </c>
      <c r="H134" t="s">
        <v>102</v>
      </c>
      <c r="I134" t="s">
        <v>66</v>
      </c>
      <c r="J134" t="s">
        <v>67</v>
      </c>
      <c r="K134" t="s">
        <v>71</v>
      </c>
      <c r="L134" t="s">
        <v>72</v>
      </c>
      <c r="M134" t="s">
        <v>73</v>
      </c>
      <c r="N134" t="s">
        <v>66</v>
      </c>
      <c r="O134" t="s">
        <v>73</v>
      </c>
      <c r="P134" t="s">
        <v>66</v>
      </c>
      <c r="Q134" t="s">
        <v>897</v>
      </c>
      <c r="R134" t="s">
        <v>73</v>
      </c>
      <c r="S134" t="s">
        <v>897</v>
      </c>
      <c r="T134" t="s">
        <v>929</v>
      </c>
      <c r="U134" t="s">
        <v>930</v>
      </c>
      <c r="V134" t="s">
        <v>900</v>
      </c>
      <c r="W134" t="s">
        <v>66</v>
      </c>
      <c r="X134" t="s">
        <v>78</v>
      </c>
      <c r="Y134" t="s">
        <v>931</v>
      </c>
      <c r="Z134" t="s">
        <v>385</v>
      </c>
      <c r="AA134" t="s">
        <v>875</v>
      </c>
      <c r="AB134" t="s">
        <v>875</v>
      </c>
      <c r="AC134" t="s">
        <v>82</v>
      </c>
      <c r="AD134" t="s">
        <v>83</v>
      </c>
      <c r="AE134" t="s">
        <v>66</v>
      </c>
      <c r="AF134" t="s">
        <v>876</v>
      </c>
    </row>
    <row r="135" spans="1:32">
      <c r="A135" t="s">
        <v>932</v>
      </c>
      <c r="B135" t="s">
        <v>933</v>
      </c>
      <c r="C135" t="s">
        <v>934</v>
      </c>
      <c r="D135" t="s">
        <v>66</v>
      </c>
      <c r="E135" t="s">
        <v>67</v>
      </c>
      <c r="F135" t="s">
        <v>935</v>
      </c>
      <c r="G135" t="s">
        <v>936</v>
      </c>
      <c r="H135" t="s">
        <v>937</v>
      </c>
      <c r="I135" t="s">
        <v>66</v>
      </c>
      <c r="J135" t="s">
        <v>67</v>
      </c>
      <c r="K135" t="s">
        <v>71</v>
      </c>
      <c r="L135" t="s">
        <v>72</v>
      </c>
      <c r="M135" t="s">
        <v>73</v>
      </c>
      <c r="N135" t="s">
        <v>66</v>
      </c>
      <c r="O135" t="s">
        <v>73</v>
      </c>
      <c r="P135" t="s">
        <v>66</v>
      </c>
      <c r="Q135" t="s">
        <v>938</v>
      </c>
      <c r="R135" t="s">
        <v>73</v>
      </c>
      <c r="S135" t="s">
        <v>938</v>
      </c>
      <c r="T135" t="s">
        <v>939</v>
      </c>
      <c r="U135" t="s">
        <v>940</v>
      </c>
      <c r="V135" t="s">
        <v>941</v>
      </c>
      <c r="W135" t="s">
        <v>66</v>
      </c>
      <c r="X135" t="s">
        <v>78</v>
      </c>
      <c r="Y135" t="s">
        <v>942</v>
      </c>
      <c r="Z135" t="s">
        <v>182</v>
      </c>
      <c r="AA135" t="s">
        <v>943</v>
      </c>
      <c r="AB135" t="s">
        <v>943</v>
      </c>
      <c r="AC135" t="s">
        <v>82</v>
      </c>
      <c r="AD135" t="s">
        <v>83</v>
      </c>
      <c r="AE135" t="s">
        <v>66</v>
      </c>
      <c r="AF135" t="s">
        <v>525</v>
      </c>
    </row>
    <row r="136" spans="1:32">
      <c r="A136" t="s">
        <v>944</v>
      </c>
      <c r="B136" t="s">
        <v>945</v>
      </c>
      <c r="C136" t="s">
        <v>946</v>
      </c>
      <c r="D136" t="s">
        <v>946</v>
      </c>
      <c r="E136" t="s">
        <v>109</v>
      </c>
      <c r="F136" t="s">
        <v>947</v>
      </c>
      <c r="G136" t="s">
        <v>948</v>
      </c>
      <c r="H136" t="s">
        <v>66</v>
      </c>
      <c r="I136" t="s">
        <v>66</v>
      </c>
      <c r="J136" t="s">
        <v>67</v>
      </c>
      <c r="K136" t="s">
        <v>71</v>
      </c>
      <c r="L136" t="s">
        <v>72</v>
      </c>
      <c r="M136" t="s">
        <v>73</v>
      </c>
      <c r="N136" t="s">
        <v>66</v>
      </c>
      <c r="O136" t="s">
        <v>73</v>
      </c>
      <c r="P136" t="s">
        <v>66</v>
      </c>
      <c r="Q136" t="s">
        <v>949</v>
      </c>
      <c r="R136" t="s">
        <v>73</v>
      </c>
      <c r="S136" t="s">
        <v>949</v>
      </c>
      <c r="T136" t="s">
        <v>950</v>
      </c>
      <c r="U136" t="s">
        <v>951</v>
      </c>
      <c r="V136" t="s">
        <v>952</v>
      </c>
      <c r="W136" t="s">
        <v>66</v>
      </c>
      <c r="X136" t="s">
        <v>78</v>
      </c>
      <c r="Y136" t="s">
        <v>953</v>
      </c>
      <c r="Z136" t="s">
        <v>158</v>
      </c>
      <c r="AA136" t="s">
        <v>943</v>
      </c>
      <c r="AB136" t="s">
        <v>943</v>
      </c>
      <c r="AC136" t="s">
        <v>82</v>
      </c>
      <c r="AD136" t="s">
        <v>83</v>
      </c>
      <c r="AE136" t="s">
        <v>66</v>
      </c>
      <c r="AF136" t="s">
        <v>525</v>
      </c>
    </row>
    <row r="137" spans="1:32">
      <c r="A137" t="s">
        <v>954</v>
      </c>
      <c r="B137" t="s">
        <v>955</v>
      </c>
      <c r="C137" t="s">
        <v>956</v>
      </c>
      <c r="D137" t="s">
        <v>66</v>
      </c>
      <c r="E137" t="s">
        <v>66</v>
      </c>
      <c r="F137" t="s">
        <v>164</v>
      </c>
      <c r="G137" t="s">
        <v>165</v>
      </c>
      <c r="H137" t="s">
        <v>166</v>
      </c>
      <c r="I137" t="s">
        <v>66</v>
      </c>
      <c r="J137" t="s">
        <v>67</v>
      </c>
      <c r="K137" t="s">
        <v>71</v>
      </c>
      <c r="L137" t="s">
        <v>72</v>
      </c>
      <c r="M137" t="s">
        <v>73</v>
      </c>
      <c r="N137" t="s">
        <v>66</v>
      </c>
      <c r="O137" t="s">
        <v>73</v>
      </c>
      <c r="P137" t="s">
        <v>66</v>
      </c>
      <c r="Q137" t="s">
        <v>957</v>
      </c>
      <c r="R137" t="s">
        <v>73</v>
      </c>
      <c r="S137" t="s">
        <v>957</v>
      </c>
      <c r="T137" t="s">
        <v>958</v>
      </c>
      <c r="U137" t="s">
        <v>959</v>
      </c>
      <c r="V137" t="s">
        <v>960</v>
      </c>
      <c r="W137" t="s">
        <v>66</v>
      </c>
      <c r="X137" t="s">
        <v>78</v>
      </c>
      <c r="Y137" t="s">
        <v>961</v>
      </c>
      <c r="Z137" t="s">
        <v>158</v>
      </c>
      <c r="AA137" t="s">
        <v>962</v>
      </c>
      <c r="AB137" t="s">
        <v>962</v>
      </c>
      <c r="AC137" t="s">
        <v>82</v>
      </c>
      <c r="AD137" t="s">
        <v>83</v>
      </c>
      <c r="AE137" t="s">
        <v>66</v>
      </c>
      <c r="AF137" t="s">
        <v>525</v>
      </c>
    </row>
    <row r="138" spans="1:32">
      <c r="A138" t="s">
        <v>963</v>
      </c>
      <c r="B138" t="s">
        <v>964</v>
      </c>
      <c r="C138" t="s">
        <v>965</v>
      </c>
      <c r="D138" t="s">
        <v>66</v>
      </c>
      <c r="E138" t="s">
        <v>66</v>
      </c>
      <c r="F138" t="s">
        <v>110</v>
      </c>
      <c r="G138" t="s">
        <v>111</v>
      </c>
      <c r="H138" t="s">
        <v>66</v>
      </c>
      <c r="I138" t="s">
        <v>66</v>
      </c>
      <c r="J138" t="s">
        <v>67</v>
      </c>
      <c r="K138" t="s">
        <v>71</v>
      </c>
      <c r="L138" t="s">
        <v>72</v>
      </c>
      <c r="M138" t="s">
        <v>73</v>
      </c>
      <c r="N138" t="s">
        <v>66</v>
      </c>
      <c r="O138" t="s">
        <v>73</v>
      </c>
      <c r="P138" t="s">
        <v>66</v>
      </c>
      <c r="Q138" t="s">
        <v>957</v>
      </c>
      <c r="R138" t="s">
        <v>73</v>
      </c>
      <c r="S138" t="s">
        <v>957</v>
      </c>
      <c r="T138" t="s">
        <v>966</v>
      </c>
      <c r="U138" t="s">
        <v>967</v>
      </c>
      <c r="V138" t="s">
        <v>960</v>
      </c>
      <c r="W138" t="s">
        <v>66</v>
      </c>
      <c r="X138" t="s">
        <v>78</v>
      </c>
      <c r="Y138" t="s">
        <v>968</v>
      </c>
      <c r="Z138" t="s">
        <v>158</v>
      </c>
      <c r="AA138" t="s">
        <v>962</v>
      </c>
      <c r="AB138" t="s">
        <v>962</v>
      </c>
      <c r="AC138" t="s">
        <v>82</v>
      </c>
      <c r="AD138" t="s">
        <v>83</v>
      </c>
      <c r="AE138" t="s">
        <v>66</v>
      </c>
      <c r="AF138" t="s">
        <v>525</v>
      </c>
    </row>
    <row r="139" spans="1:32">
      <c r="A139" t="s">
        <v>969</v>
      </c>
      <c r="B139" t="s">
        <v>86</v>
      </c>
      <c r="C139" t="s">
        <v>970</v>
      </c>
      <c r="D139" t="s">
        <v>66</v>
      </c>
      <c r="E139" t="s">
        <v>67</v>
      </c>
      <c r="F139" t="s">
        <v>68</v>
      </c>
      <c r="G139" t="s">
        <v>69</v>
      </c>
      <c r="H139" t="s">
        <v>70</v>
      </c>
      <c r="I139" t="s">
        <v>66</v>
      </c>
      <c r="J139" t="s">
        <v>67</v>
      </c>
      <c r="K139" t="s">
        <v>71</v>
      </c>
      <c r="L139" t="s">
        <v>72</v>
      </c>
      <c r="M139" t="s">
        <v>73</v>
      </c>
      <c r="N139" t="s">
        <v>66</v>
      </c>
      <c r="O139" t="s">
        <v>73</v>
      </c>
      <c r="P139" t="s">
        <v>66</v>
      </c>
      <c r="Q139" t="s">
        <v>971</v>
      </c>
      <c r="R139" t="s">
        <v>73</v>
      </c>
      <c r="S139" t="s">
        <v>971</v>
      </c>
      <c r="T139" t="s">
        <v>972</v>
      </c>
      <c r="U139" t="s">
        <v>973</v>
      </c>
      <c r="V139" t="s">
        <v>974</v>
      </c>
      <c r="W139" t="s">
        <v>66</v>
      </c>
      <c r="X139" t="s">
        <v>78</v>
      </c>
      <c r="Y139" t="s">
        <v>975</v>
      </c>
      <c r="Z139" t="s">
        <v>158</v>
      </c>
      <c r="AA139" t="s">
        <v>962</v>
      </c>
      <c r="AB139" t="s">
        <v>962</v>
      </c>
      <c r="AC139" t="s">
        <v>82</v>
      </c>
      <c r="AD139" t="s">
        <v>83</v>
      </c>
      <c r="AE139" t="s">
        <v>66</v>
      </c>
      <c r="AF139" t="s">
        <v>525</v>
      </c>
    </row>
    <row r="140" spans="1:32">
      <c r="A140" t="s">
        <v>976</v>
      </c>
      <c r="B140" t="s">
        <v>977</v>
      </c>
      <c r="C140" t="s">
        <v>978</v>
      </c>
      <c r="D140" t="s">
        <v>978</v>
      </c>
      <c r="E140" t="s">
        <v>109</v>
      </c>
      <c r="F140" t="s">
        <v>68</v>
      </c>
      <c r="G140" t="s">
        <v>69</v>
      </c>
      <c r="H140" t="s">
        <v>66</v>
      </c>
      <c r="I140" t="s">
        <v>66</v>
      </c>
      <c r="J140" t="s">
        <v>67</v>
      </c>
      <c r="K140" t="s">
        <v>71</v>
      </c>
      <c r="L140" t="s">
        <v>72</v>
      </c>
      <c r="M140" t="s">
        <v>73</v>
      </c>
      <c r="N140" t="s">
        <v>66</v>
      </c>
      <c r="O140" t="s">
        <v>73</v>
      </c>
      <c r="P140" t="s">
        <v>66</v>
      </c>
      <c r="Q140" t="s">
        <v>979</v>
      </c>
      <c r="R140" t="s">
        <v>73</v>
      </c>
      <c r="S140" t="s">
        <v>979</v>
      </c>
      <c r="T140" t="s">
        <v>980</v>
      </c>
      <c r="U140" t="s">
        <v>981</v>
      </c>
      <c r="V140" t="s">
        <v>982</v>
      </c>
      <c r="W140" t="s">
        <v>66</v>
      </c>
      <c r="X140" t="s">
        <v>78</v>
      </c>
      <c r="Y140" t="s">
        <v>983</v>
      </c>
      <c r="Z140" t="s">
        <v>182</v>
      </c>
      <c r="AA140" t="s">
        <v>984</v>
      </c>
      <c r="AB140" t="s">
        <v>984</v>
      </c>
      <c r="AC140" t="s">
        <v>82</v>
      </c>
      <c r="AD140" t="s">
        <v>83</v>
      </c>
      <c r="AE140" t="s">
        <v>66</v>
      </c>
      <c r="AF140" t="s">
        <v>876</v>
      </c>
    </row>
    <row r="141" spans="1:32">
      <c r="A141" t="s">
        <v>985</v>
      </c>
      <c r="B141" t="s">
        <v>986</v>
      </c>
      <c r="C141" t="s">
        <v>987</v>
      </c>
      <c r="D141" t="s">
        <v>66</v>
      </c>
      <c r="E141" t="s">
        <v>67</v>
      </c>
      <c r="F141" t="s">
        <v>988</v>
      </c>
      <c r="G141" t="s">
        <v>989</v>
      </c>
      <c r="H141" t="s">
        <v>66</v>
      </c>
      <c r="I141" t="s">
        <v>66</v>
      </c>
      <c r="J141" t="s">
        <v>67</v>
      </c>
      <c r="K141" t="s">
        <v>71</v>
      </c>
      <c r="L141" t="s">
        <v>72</v>
      </c>
      <c r="M141" t="s">
        <v>73</v>
      </c>
      <c r="N141" t="s">
        <v>66</v>
      </c>
      <c r="O141" t="s">
        <v>73</v>
      </c>
      <c r="P141" t="s">
        <v>66</v>
      </c>
      <c r="Q141" t="s">
        <v>979</v>
      </c>
      <c r="R141" t="s">
        <v>73</v>
      </c>
      <c r="S141" t="s">
        <v>979</v>
      </c>
      <c r="T141" t="s">
        <v>990</v>
      </c>
      <c r="U141" t="s">
        <v>991</v>
      </c>
      <c r="V141" t="s">
        <v>982</v>
      </c>
      <c r="W141" t="s">
        <v>66</v>
      </c>
      <c r="X141" t="s">
        <v>78</v>
      </c>
      <c r="Y141" t="s">
        <v>992</v>
      </c>
      <c r="Z141" t="s">
        <v>182</v>
      </c>
      <c r="AA141" t="s">
        <v>984</v>
      </c>
      <c r="AB141" t="s">
        <v>984</v>
      </c>
      <c r="AC141" t="s">
        <v>82</v>
      </c>
      <c r="AD141" t="s">
        <v>83</v>
      </c>
      <c r="AE141" t="s">
        <v>66</v>
      </c>
      <c r="AF141" t="s">
        <v>876</v>
      </c>
    </row>
    <row r="142" spans="1:32">
      <c r="A142" t="s">
        <v>993</v>
      </c>
      <c r="B142" t="s">
        <v>162</v>
      </c>
      <c r="C142" t="s">
        <v>994</v>
      </c>
      <c r="D142" t="s">
        <v>66</v>
      </c>
      <c r="E142" t="s">
        <v>67</v>
      </c>
      <c r="F142" t="s">
        <v>164</v>
      </c>
      <c r="G142" t="s">
        <v>165</v>
      </c>
      <c r="H142" t="s">
        <v>66</v>
      </c>
      <c r="I142" t="s">
        <v>66</v>
      </c>
      <c r="J142" t="s">
        <v>67</v>
      </c>
      <c r="K142" t="s">
        <v>71</v>
      </c>
      <c r="L142" t="s">
        <v>72</v>
      </c>
      <c r="M142" t="s">
        <v>73</v>
      </c>
      <c r="N142" t="s">
        <v>66</v>
      </c>
      <c r="O142" t="s">
        <v>73</v>
      </c>
      <c r="P142" t="s">
        <v>66</v>
      </c>
      <c r="Q142" t="s">
        <v>979</v>
      </c>
      <c r="R142" t="s">
        <v>73</v>
      </c>
      <c r="S142" t="s">
        <v>979</v>
      </c>
      <c r="T142" t="s">
        <v>995</v>
      </c>
      <c r="U142" t="s">
        <v>996</v>
      </c>
      <c r="V142" t="s">
        <v>982</v>
      </c>
      <c r="W142" t="s">
        <v>66</v>
      </c>
      <c r="X142" t="s">
        <v>78</v>
      </c>
      <c r="Y142" t="s">
        <v>997</v>
      </c>
      <c r="Z142" t="s">
        <v>182</v>
      </c>
      <c r="AA142" t="s">
        <v>984</v>
      </c>
      <c r="AB142" t="s">
        <v>984</v>
      </c>
      <c r="AC142" t="s">
        <v>82</v>
      </c>
      <c r="AD142" t="s">
        <v>83</v>
      </c>
      <c r="AE142" t="s">
        <v>66</v>
      </c>
      <c r="AF142" t="s">
        <v>876</v>
      </c>
    </row>
    <row r="143" spans="1:32">
      <c r="A143" t="s">
        <v>998</v>
      </c>
      <c r="B143" t="s">
        <v>841</v>
      </c>
      <c r="C143" t="s">
        <v>999</v>
      </c>
      <c r="D143" t="s">
        <v>999</v>
      </c>
      <c r="E143" t="s">
        <v>109</v>
      </c>
      <c r="F143" t="s">
        <v>110</v>
      </c>
      <c r="G143" t="s">
        <v>111</v>
      </c>
      <c r="H143" t="s">
        <v>66</v>
      </c>
      <c r="I143" t="s">
        <v>66</v>
      </c>
      <c r="J143" t="s">
        <v>67</v>
      </c>
      <c r="K143" t="s">
        <v>71</v>
      </c>
      <c r="L143" t="s">
        <v>72</v>
      </c>
      <c r="M143" t="s">
        <v>73</v>
      </c>
      <c r="N143" t="s">
        <v>66</v>
      </c>
      <c r="O143" t="s">
        <v>73</v>
      </c>
      <c r="P143" t="s">
        <v>66</v>
      </c>
      <c r="Q143" t="s">
        <v>979</v>
      </c>
      <c r="R143" t="s">
        <v>73</v>
      </c>
      <c r="S143" t="s">
        <v>979</v>
      </c>
      <c r="T143" t="s">
        <v>1000</v>
      </c>
      <c r="U143" t="s">
        <v>1001</v>
      </c>
      <c r="V143" t="s">
        <v>982</v>
      </c>
      <c r="W143" t="s">
        <v>66</v>
      </c>
      <c r="X143" t="s">
        <v>78</v>
      </c>
      <c r="Y143" t="s">
        <v>1002</v>
      </c>
      <c r="Z143" t="s">
        <v>182</v>
      </c>
      <c r="AA143" t="s">
        <v>984</v>
      </c>
      <c r="AB143" t="s">
        <v>984</v>
      </c>
      <c r="AC143" t="s">
        <v>82</v>
      </c>
      <c r="AD143" t="s">
        <v>83</v>
      </c>
      <c r="AE143" t="s">
        <v>66</v>
      </c>
      <c r="AF143" t="s">
        <v>876</v>
      </c>
    </row>
    <row r="144" spans="1:32">
      <c r="A144" t="s">
        <v>1003</v>
      </c>
      <c r="B144" t="s">
        <v>1004</v>
      </c>
      <c r="C144" t="s">
        <v>1005</v>
      </c>
      <c r="D144" t="s">
        <v>66</v>
      </c>
      <c r="E144" t="s">
        <v>67</v>
      </c>
      <c r="F144" t="s">
        <v>68</v>
      </c>
      <c r="G144" t="s">
        <v>69</v>
      </c>
      <c r="H144" t="s">
        <v>66</v>
      </c>
      <c r="I144" t="s">
        <v>66</v>
      </c>
      <c r="J144" t="s">
        <v>67</v>
      </c>
      <c r="K144" t="s">
        <v>71</v>
      </c>
      <c r="L144" t="s">
        <v>72</v>
      </c>
      <c r="M144" t="s">
        <v>73</v>
      </c>
      <c r="N144" t="s">
        <v>66</v>
      </c>
      <c r="O144" t="s">
        <v>73</v>
      </c>
      <c r="P144" t="s">
        <v>66</v>
      </c>
      <c r="Q144" t="s">
        <v>979</v>
      </c>
      <c r="R144" t="s">
        <v>73</v>
      </c>
      <c r="S144" t="s">
        <v>979</v>
      </c>
      <c r="T144" t="s">
        <v>1006</v>
      </c>
      <c r="U144" t="s">
        <v>1007</v>
      </c>
      <c r="V144" t="s">
        <v>982</v>
      </c>
      <c r="W144" t="s">
        <v>66</v>
      </c>
      <c r="X144" t="s">
        <v>78</v>
      </c>
      <c r="Y144" t="s">
        <v>1008</v>
      </c>
      <c r="Z144" t="s">
        <v>182</v>
      </c>
      <c r="AA144" t="s">
        <v>984</v>
      </c>
      <c r="AB144" t="s">
        <v>984</v>
      </c>
      <c r="AC144" t="s">
        <v>82</v>
      </c>
      <c r="AD144" t="s">
        <v>83</v>
      </c>
      <c r="AE144" t="s">
        <v>66</v>
      </c>
      <c r="AF144" t="s">
        <v>876</v>
      </c>
    </row>
    <row r="145" spans="1:32">
      <c r="A145" t="s">
        <v>1009</v>
      </c>
      <c r="B145" t="s">
        <v>308</v>
      </c>
      <c r="C145" t="s">
        <v>1010</v>
      </c>
      <c r="D145" t="s">
        <v>1010</v>
      </c>
      <c r="E145" t="s">
        <v>109</v>
      </c>
      <c r="F145" t="s">
        <v>110</v>
      </c>
      <c r="G145" t="s">
        <v>111</v>
      </c>
      <c r="H145" t="s">
        <v>66</v>
      </c>
      <c r="I145" t="s">
        <v>66</v>
      </c>
      <c r="J145" t="s">
        <v>67</v>
      </c>
      <c r="K145" t="s">
        <v>71</v>
      </c>
      <c r="L145" t="s">
        <v>72</v>
      </c>
      <c r="M145" t="s">
        <v>73</v>
      </c>
      <c r="N145" t="s">
        <v>66</v>
      </c>
      <c r="O145" t="s">
        <v>73</v>
      </c>
      <c r="P145" t="s">
        <v>66</v>
      </c>
      <c r="Q145" t="s">
        <v>979</v>
      </c>
      <c r="R145" t="s">
        <v>73</v>
      </c>
      <c r="S145" t="s">
        <v>979</v>
      </c>
      <c r="T145" t="s">
        <v>1011</v>
      </c>
      <c r="U145" t="s">
        <v>1012</v>
      </c>
      <c r="V145" t="s">
        <v>982</v>
      </c>
      <c r="W145" t="s">
        <v>66</v>
      </c>
      <c r="X145" t="s">
        <v>78</v>
      </c>
      <c r="Y145" t="s">
        <v>1013</v>
      </c>
      <c r="Z145" t="s">
        <v>182</v>
      </c>
      <c r="AA145" t="s">
        <v>984</v>
      </c>
      <c r="AB145" t="s">
        <v>984</v>
      </c>
      <c r="AC145" t="s">
        <v>82</v>
      </c>
      <c r="AD145" t="s">
        <v>83</v>
      </c>
      <c r="AE145" t="s">
        <v>66</v>
      </c>
      <c r="AF145" t="s">
        <v>876</v>
      </c>
    </row>
    <row r="146" spans="1:32">
      <c r="A146" t="s">
        <v>1014</v>
      </c>
      <c r="B146" t="s">
        <v>1015</v>
      </c>
      <c r="C146" t="s">
        <v>1016</v>
      </c>
      <c r="D146" t="s">
        <v>66</v>
      </c>
      <c r="E146" t="s">
        <v>67</v>
      </c>
      <c r="F146" t="s">
        <v>947</v>
      </c>
      <c r="G146" t="s">
        <v>948</v>
      </c>
      <c r="H146" t="s">
        <v>66</v>
      </c>
      <c r="I146" t="s">
        <v>66</v>
      </c>
      <c r="J146" t="s">
        <v>67</v>
      </c>
      <c r="K146" t="s">
        <v>71</v>
      </c>
      <c r="L146" t="s">
        <v>72</v>
      </c>
      <c r="M146" t="s">
        <v>73</v>
      </c>
      <c r="N146" t="s">
        <v>66</v>
      </c>
      <c r="O146" t="s">
        <v>73</v>
      </c>
      <c r="P146" t="s">
        <v>66</v>
      </c>
      <c r="Q146" t="s">
        <v>979</v>
      </c>
      <c r="R146" t="s">
        <v>73</v>
      </c>
      <c r="S146" t="s">
        <v>979</v>
      </c>
      <c r="T146" t="s">
        <v>1017</v>
      </c>
      <c r="U146" t="s">
        <v>1018</v>
      </c>
      <c r="V146" t="s">
        <v>982</v>
      </c>
      <c r="W146" t="s">
        <v>66</v>
      </c>
      <c r="X146" t="s">
        <v>78</v>
      </c>
      <c r="Y146" t="s">
        <v>1019</v>
      </c>
      <c r="Z146" t="s">
        <v>182</v>
      </c>
      <c r="AA146" t="s">
        <v>984</v>
      </c>
      <c r="AB146" t="s">
        <v>984</v>
      </c>
      <c r="AC146" t="s">
        <v>82</v>
      </c>
      <c r="AD146" t="s">
        <v>83</v>
      </c>
      <c r="AE146" t="s">
        <v>66</v>
      </c>
      <c r="AF146" t="s">
        <v>876</v>
      </c>
    </row>
    <row r="147" spans="1:32">
      <c r="A147" t="s">
        <v>1020</v>
      </c>
      <c r="B147" t="s">
        <v>162</v>
      </c>
      <c r="C147" t="s">
        <v>1021</v>
      </c>
      <c r="D147" t="s">
        <v>66</v>
      </c>
      <c r="E147" t="s">
        <v>67</v>
      </c>
      <c r="F147" t="s">
        <v>164</v>
      </c>
      <c r="G147" t="s">
        <v>165</v>
      </c>
      <c r="H147" t="s">
        <v>66</v>
      </c>
      <c r="I147" t="s">
        <v>66</v>
      </c>
      <c r="J147" t="s">
        <v>67</v>
      </c>
      <c r="K147" t="s">
        <v>71</v>
      </c>
      <c r="L147" t="s">
        <v>72</v>
      </c>
      <c r="M147" t="s">
        <v>73</v>
      </c>
      <c r="N147" t="s">
        <v>66</v>
      </c>
      <c r="O147" t="s">
        <v>73</v>
      </c>
      <c r="P147" t="s">
        <v>66</v>
      </c>
      <c r="Q147" t="s">
        <v>979</v>
      </c>
      <c r="R147" t="s">
        <v>73</v>
      </c>
      <c r="S147" t="s">
        <v>979</v>
      </c>
      <c r="T147" t="s">
        <v>1022</v>
      </c>
      <c r="U147" t="s">
        <v>1023</v>
      </c>
      <c r="V147" t="s">
        <v>982</v>
      </c>
      <c r="W147" t="s">
        <v>66</v>
      </c>
      <c r="X147" t="s">
        <v>78</v>
      </c>
      <c r="Y147" t="s">
        <v>1024</v>
      </c>
      <c r="Z147" t="s">
        <v>182</v>
      </c>
      <c r="AA147" t="s">
        <v>984</v>
      </c>
      <c r="AB147" t="s">
        <v>984</v>
      </c>
      <c r="AC147" t="s">
        <v>82</v>
      </c>
      <c r="AD147" t="s">
        <v>83</v>
      </c>
      <c r="AE147" t="s">
        <v>66</v>
      </c>
      <c r="AF147" t="s">
        <v>876</v>
      </c>
    </row>
    <row r="148" spans="1:32">
      <c r="A148" t="s">
        <v>1025</v>
      </c>
      <c r="B148" t="s">
        <v>107</v>
      </c>
      <c r="C148" t="s">
        <v>1026</v>
      </c>
      <c r="D148" t="s">
        <v>1026</v>
      </c>
      <c r="E148" t="s">
        <v>109</v>
      </c>
      <c r="F148" t="s">
        <v>110</v>
      </c>
      <c r="G148" t="s">
        <v>111</v>
      </c>
      <c r="H148" t="s">
        <v>66</v>
      </c>
      <c r="I148" t="s">
        <v>66</v>
      </c>
      <c r="J148" t="s">
        <v>67</v>
      </c>
      <c r="K148" t="s">
        <v>71</v>
      </c>
      <c r="L148" t="s">
        <v>72</v>
      </c>
      <c r="M148" t="s">
        <v>73</v>
      </c>
      <c r="N148" t="s">
        <v>66</v>
      </c>
      <c r="O148" t="s">
        <v>73</v>
      </c>
      <c r="P148" t="s">
        <v>66</v>
      </c>
      <c r="Q148" t="s">
        <v>979</v>
      </c>
      <c r="R148" t="s">
        <v>73</v>
      </c>
      <c r="S148" t="s">
        <v>979</v>
      </c>
      <c r="T148" t="s">
        <v>1027</v>
      </c>
      <c r="U148" t="s">
        <v>1028</v>
      </c>
      <c r="V148" t="s">
        <v>982</v>
      </c>
      <c r="W148" t="s">
        <v>66</v>
      </c>
      <c r="X148" t="s">
        <v>78</v>
      </c>
      <c r="Y148" t="s">
        <v>1029</v>
      </c>
      <c r="Z148" t="s">
        <v>182</v>
      </c>
      <c r="AA148" t="s">
        <v>984</v>
      </c>
      <c r="AB148" t="s">
        <v>984</v>
      </c>
      <c r="AC148" t="s">
        <v>82</v>
      </c>
      <c r="AD148" t="s">
        <v>83</v>
      </c>
      <c r="AE148" t="s">
        <v>66</v>
      </c>
      <c r="AF148" t="s">
        <v>876</v>
      </c>
    </row>
    <row r="149" spans="1:32">
      <c r="A149" t="s">
        <v>1030</v>
      </c>
      <c r="B149" t="s">
        <v>359</v>
      </c>
      <c r="C149" t="s">
        <v>1031</v>
      </c>
      <c r="D149" t="s">
        <v>1031</v>
      </c>
      <c r="E149" t="s">
        <v>109</v>
      </c>
      <c r="F149" t="s">
        <v>947</v>
      </c>
      <c r="G149" t="s">
        <v>948</v>
      </c>
      <c r="H149" t="s">
        <v>66</v>
      </c>
      <c r="I149" t="s">
        <v>66</v>
      </c>
      <c r="J149" t="s">
        <v>67</v>
      </c>
      <c r="K149" t="s">
        <v>71</v>
      </c>
      <c r="L149" t="s">
        <v>72</v>
      </c>
      <c r="M149" t="s">
        <v>73</v>
      </c>
      <c r="N149" t="s">
        <v>66</v>
      </c>
      <c r="O149" t="s">
        <v>73</v>
      </c>
      <c r="P149" t="s">
        <v>66</v>
      </c>
      <c r="Q149" t="s">
        <v>979</v>
      </c>
      <c r="R149" t="s">
        <v>73</v>
      </c>
      <c r="S149" t="s">
        <v>979</v>
      </c>
      <c r="T149" t="s">
        <v>1032</v>
      </c>
      <c r="U149" t="s">
        <v>1033</v>
      </c>
      <c r="V149" t="s">
        <v>982</v>
      </c>
      <c r="W149" t="s">
        <v>66</v>
      </c>
      <c r="X149" t="s">
        <v>78</v>
      </c>
      <c r="Y149" t="s">
        <v>1034</v>
      </c>
      <c r="Z149" t="s">
        <v>182</v>
      </c>
      <c r="AA149" t="s">
        <v>984</v>
      </c>
      <c r="AB149" t="s">
        <v>984</v>
      </c>
      <c r="AC149" t="s">
        <v>82</v>
      </c>
      <c r="AD149" t="s">
        <v>83</v>
      </c>
      <c r="AE149" t="s">
        <v>66</v>
      </c>
      <c r="AF149" t="s">
        <v>876</v>
      </c>
    </row>
    <row r="150" spans="1:32">
      <c r="A150" t="s">
        <v>1035</v>
      </c>
      <c r="B150" t="s">
        <v>251</v>
      </c>
      <c r="C150" t="s">
        <v>1036</v>
      </c>
      <c r="D150" t="s">
        <v>66</v>
      </c>
      <c r="E150" t="s">
        <v>67</v>
      </c>
      <c r="F150" t="s">
        <v>68</v>
      </c>
      <c r="G150" t="s">
        <v>69</v>
      </c>
      <c r="H150" t="s">
        <v>66</v>
      </c>
      <c r="I150" t="s">
        <v>66</v>
      </c>
      <c r="J150" t="s">
        <v>67</v>
      </c>
      <c r="K150" t="s">
        <v>71</v>
      </c>
      <c r="L150" t="s">
        <v>72</v>
      </c>
      <c r="M150" t="s">
        <v>73</v>
      </c>
      <c r="N150" t="s">
        <v>66</v>
      </c>
      <c r="O150" t="s">
        <v>73</v>
      </c>
      <c r="P150" t="s">
        <v>66</v>
      </c>
      <c r="Q150" t="s">
        <v>979</v>
      </c>
      <c r="R150" t="s">
        <v>73</v>
      </c>
      <c r="S150" t="s">
        <v>979</v>
      </c>
      <c r="T150" t="s">
        <v>1037</v>
      </c>
      <c r="U150" t="s">
        <v>1038</v>
      </c>
      <c r="V150" t="s">
        <v>982</v>
      </c>
      <c r="W150" t="s">
        <v>66</v>
      </c>
      <c r="X150" t="s">
        <v>78</v>
      </c>
      <c r="Y150" t="s">
        <v>1039</v>
      </c>
      <c r="Z150" t="s">
        <v>182</v>
      </c>
      <c r="AA150" t="s">
        <v>984</v>
      </c>
      <c r="AB150" t="s">
        <v>984</v>
      </c>
      <c r="AC150" t="s">
        <v>82</v>
      </c>
      <c r="AD150" t="s">
        <v>83</v>
      </c>
      <c r="AE150" t="s">
        <v>66</v>
      </c>
      <c r="AF150" t="s">
        <v>876</v>
      </c>
    </row>
    <row r="151" spans="1:32">
      <c r="A151" t="s">
        <v>1040</v>
      </c>
      <c r="B151" t="s">
        <v>1041</v>
      </c>
      <c r="C151" t="s">
        <v>1042</v>
      </c>
      <c r="D151" t="s">
        <v>1042</v>
      </c>
      <c r="E151" t="s">
        <v>109</v>
      </c>
      <c r="F151" t="s">
        <v>110</v>
      </c>
      <c r="G151" t="s">
        <v>111</v>
      </c>
      <c r="H151" t="s">
        <v>66</v>
      </c>
      <c r="I151" t="s">
        <v>66</v>
      </c>
      <c r="J151" t="s">
        <v>67</v>
      </c>
      <c r="K151" t="s">
        <v>71</v>
      </c>
      <c r="L151" t="s">
        <v>72</v>
      </c>
      <c r="M151" t="s">
        <v>73</v>
      </c>
      <c r="N151" t="s">
        <v>66</v>
      </c>
      <c r="O151" t="s">
        <v>73</v>
      </c>
      <c r="P151" t="s">
        <v>66</v>
      </c>
      <c r="Q151" t="s">
        <v>979</v>
      </c>
      <c r="R151" t="s">
        <v>73</v>
      </c>
      <c r="S151" t="s">
        <v>979</v>
      </c>
      <c r="T151" t="s">
        <v>1043</v>
      </c>
      <c r="U151" t="s">
        <v>1044</v>
      </c>
      <c r="V151" t="s">
        <v>982</v>
      </c>
      <c r="W151" t="s">
        <v>66</v>
      </c>
      <c r="X151" t="s">
        <v>78</v>
      </c>
      <c r="Y151" t="s">
        <v>1045</v>
      </c>
      <c r="Z151" t="s">
        <v>182</v>
      </c>
      <c r="AA151" t="s">
        <v>984</v>
      </c>
      <c r="AB151" t="s">
        <v>984</v>
      </c>
      <c r="AC151" t="s">
        <v>82</v>
      </c>
      <c r="AD151" t="s">
        <v>83</v>
      </c>
      <c r="AE151" t="s">
        <v>66</v>
      </c>
      <c r="AF151" t="s">
        <v>876</v>
      </c>
    </row>
    <row r="152" spans="1:32">
      <c r="A152" t="s">
        <v>1046</v>
      </c>
      <c r="B152" t="s">
        <v>162</v>
      </c>
      <c r="C152" t="s">
        <v>1047</v>
      </c>
      <c r="D152" t="s">
        <v>66</v>
      </c>
      <c r="E152" t="s">
        <v>67</v>
      </c>
      <c r="F152" t="s">
        <v>164</v>
      </c>
      <c r="G152" t="s">
        <v>165</v>
      </c>
      <c r="H152" t="s">
        <v>66</v>
      </c>
      <c r="I152" t="s">
        <v>66</v>
      </c>
      <c r="J152" t="s">
        <v>67</v>
      </c>
      <c r="K152" t="s">
        <v>71</v>
      </c>
      <c r="L152" t="s">
        <v>72</v>
      </c>
      <c r="M152" t="s">
        <v>73</v>
      </c>
      <c r="N152" t="s">
        <v>66</v>
      </c>
      <c r="O152" t="s">
        <v>73</v>
      </c>
      <c r="P152" t="s">
        <v>66</v>
      </c>
      <c r="Q152" t="s">
        <v>979</v>
      </c>
      <c r="R152" t="s">
        <v>73</v>
      </c>
      <c r="S152" t="s">
        <v>979</v>
      </c>
      <c r="T152" t="s">
        <v>1048</v>
      </c>
      <c r="U152" t="s">
        <v>1049</v>
      </c>
      <c r="V152" t="s">
        <v>982</v>
      </c>
      <c r="W152" t="s">
        <v>66</v>
      </c>
      <c r="X152" t="s">
        <v>78</v>
      </c>
      <c r="Y152" t="s">
        <v>1050</v>
      </c>
      <c r="Z152" t="s">
        <v>182</v>
      </c>
      <c r="AA152" t="s">
        <v>984</v>
      </c>
      <c r="AB152" t="s">
        <v>984</v>
      </c>
      <c r="AC152" t="s">
        <v>82</v>
      </c>
      <c r="AD152" t="s">
        <v>83</v>
      </c>
      <c r="AE152" t="s">
        <v>66</v>
      </c>
      <c r="AF152" t="s">
        <v>876</v>
      </c>
    </row>
    <row r="153" spans="1:32">
      <c r="A153" t="s">
        <v>1051</v>
      </c>
      <c r="B153" t="s">
        <v>1052</v>
      </c>
      <c r="C153" t="s">
        <v>1053</v>
      </c>
      <c r="D153" t="s">
        <v>66</v>
      </c>
      <c r="E153" t="s">
        <v>67</v>
      </c>
      <c r="F153" t="s">
        <v>164</v>
      </c>
      <c r="G153" t="s">
        <v>165</v>
      </c>
      <c r="H153" t="s">
        <v>66</v>
      </c>
      <c r="I153" t="s">
        <v>66</v>
      </c>
      <c r="J153" t="s">
        <v>67</v>
      </c>
      <c r="K153" t="s">
        <v>71</v>
      </c>
      <c r="L153" t="s">
        <v>72</v>
      </c>
      <c r="M153" t="s">
        <v>73</v>
      </c>
      <c r="N153" t="s">
        <v>66</v>
      </c>
      <c r="O153" t="s">
        <v>73</v>
      </c>
      <c r="P153" t="s">
        <v>66</v>
      </c>
      <c r="Q153" t="s">
        <v>979</v>
      </c>
      <c r="R153" t="s">
        <v>73</v>
      </c>
      <c r="S153" t="s">
        <v>979</v>
      </c>
      <c r="T153" t="s">
        <v>1054</v>
      </c>
      <c r="U153" t="s">
        <v>1055</v>
      </c>
      <c r="V153" t="s">
        <v>982</v>
      </c>
      <c r="W153" t="s">
        <v>66</v>
      </c>
      <c r="X153" t="s">
        <v>78</v>
      </c>
      <c r="Y153" t="s">
        <v>1056</v>
      </c>
      <c r="Z153" t="s">
        <v>182</v>
      </c>
      <c r="AA153" t="s">
        <v>984</v>
      </c>
      <c r="AB153" t="s">
        <v>984</v>
      </c>
      <c r="AC153" t="s">
        <v>82</v>
      </c>
      <c r="AD153" t="s">
        <v>83</v>
      </c>
      <c r="AE153" t="s">
        <v>66</v>
      </c>
      <c r="AF153" t="s">
        <v>876</v>
      </c>
    </row>
    <row r="154" spans="1:32">
      <c r="A154" t="s">
        <v>1057</v>
      </c>
      <c r="B154" t="s">
        <v>1058</v>
      </c>
      <c r="C154" t="s">
        <v>1059</v>
      </c>
      <c r="D154" t="s">
        <v>1059</v>
      </c>
      <c r="E154" t="s">
        <v>109</v>
      </c>
      <c r="F154" t="s">
        <v>110</v>
      </c>
      <c r="G154" t="s">
        <v>111</v>
      </c>
      <c r="H154" t="s">
        <v>66</v>
      </c>
      <c r="I154" t="s">
        <v>66</v>
      </c>
      <c r="J154" t="s">
        <v>67</v>
      </c>
      <c r="K154" t="s">
        <v>71</v>
      </c>
      <c r="L154" t="s">
        <v>72</v>
      </c>
      <c r="M154" t="s">
        <v>73</v>
      </c>
      <c r="N154" t="s">
        <v>66</v>
      </c>
      <c r="O154" t="s">
        <v>73</v>
      </c>
      <c r="P154" t="s">
        <v>66</v>
      </c>
      <c r="Q154" t="s">
        <v>979</v>
      </c>
      <c r="R154" t="s">
        <v>73</v>
      </c>
      <c r="S154" t="s">
        <v>979</v>
      </c>
      <c r="T154" t="s">
        <v>1060</v>
      </c>
      <c r="U154" t="s">
        <v>1061</v>
      </c>
      <c r="V154" t="s">
        <v>982</v>
      </c>
      <c r="W154" t="s">
        <v>66</v>
      </c>
      <c r="X154" t="s">
        <v>78</v>
      </c>
      <c r="Y154" t="s">
        <v>1062</v>
      </c>
      <c r="Z154" t="s">
        <v>182</v>
      </c>
      <c r="AA154" t="s">
        <v>984</v>
      </c>
      <c r="AB154" t="s">
        <v>984</v>
      </c>
      <c r="AC154" t="s">
        <v>82</v>
      </c>
      <c r="AD154" t="s">
        <v>83</v>
      </c>
      <c r="AE154" t="s">
        <v>66</v>
      </c>
      <c r="AF154" t="s">
        <v>876</v>
      </c>
    </row>
    <row r="155" spans="1:32">
      <c r="A155" t="s">
        <v>1063</v>
      </c>
      <c r="B155" t="s">
        <v>1064</v>
      </c>
      <c r="C155" t="s">
        <v>1065</v>
      </c>
      <c r="D155" t="s">
        <v>66</v>
      </c>
      <c r="E155" t="s">
        <v>67</v>
      </c>
      <c r="F155" t="s">
        <v>110</v>
      </c>
      <c r="G155" t="s">
        <v>111</v>
      </c>
      <c r="H155" t="s">
        <v>66</v>
      </c>
      <c r="I155" t="s">
        <v>66</v>
      </c>
      <c r="J155" t="s">
        <v>67</v>
      </c>
      <c r="K155" t="s">
        <v>71</v>
      </c>
      <c r="L155" t="s">
        <v>72</v>
      </c>
      <c r="M155" t="s">
        <v>73</v>
      </c>
      <c r="N155" t="s">
        <v>66</v>
      </c>
      <c r="O155" t="s">
        <v>73</v>
      </c>
      <c r="P155" t="s">
        <v>66</v>
      </c>
      <c r="Q155" t="s">
        <v>979</v>
      </c>
      <c r="R155" t="s">
        <v>73</v>
      </c>
      <c r="S155" t="s">
        <v>979</v>
      </c>
      <c r="T155" t="s">
        <v>1066</v>
      </c>
      <c r="U155" t="s">
        <v>1067</v>
      </c>
      <c r="V155" t="s">
        <v>982</v>
      </c>
      <c r="W155" t="s">
        <v>66</v>
      </c>
      <c r="X155" t="s">
        <v>78</v>
      </c>
      <c r="Y155" t="s">
        <v>1068</v>
      </c>
      <c r="Z155" t="s">
        <v>182</v>
      </c>
      <c r="AA155" t="s">
        <v>984</v>
      </c>
      <c r="AB155" t="s">
        <v>984</v>
      </c>
      <c r="AC155" t="s">
        <v>82</v>
      </c>
      <c r="AD155" t="s">
        <v>83</v>
      </c>
      <c r="AE155" t="s">
        <v>66</v>
      </c>
      <c r="AF155" t="s">
        <v>876</v>
      </c>
    </row>
    <row r="156" spans="1:32">
      <c r="A156" t="s">
        <v>1069</v>
      </c>
      <c r="B156" t="s">
        <v>162</v>
      </c>
      <c r="C156" t="s">
        <v>1070</v>
      </c>
      <c r="D156" t="s">
        <v>66</v>
      </c>
      <c r="E156" t="s">
        <v>67</v>
      </c>
      <c r="F156" t="s">
        <v>164</v>
      </c>
      <c r="G156" t="s">
        <v>165</v>
      </c>
      <c r="H156" t="s">
        <v>66</v>
      </c>
      <c r="I156" t="s">
        <v>66</v>
      </c>
      <c r="J156" t="s">
        <v>67</v>
      </c>
      <c r="K156" t="s">
        <v>71</v>
      </c>
      <c r="L156" t="s">
        <v>72</v>
      </c>
      <c r="M156" t="s">
        <v>73</v>
      </c>
      <c r="N156" t="s">
        <v>66</v>
      </c>
      <c r="O156" t="s">
        <v>73</v>
      </c>
      <c r="P156" t="s">
        <v>66</v>
      </c>
      <c r="Q156" t="s">
        <v>979</v>
      </c>
      <c r="R156" t="s">
        <v>73</v>
      </c>
      <c r="S156" t="s">
        <v>979</v>
      </c>
      <c r="T156" t="s">
        <v>1071</v>
      </c>
      <c r="U156" t="s">
        <v>1072</v>
      </c>
      <c r="V156" t="s">
        <v>982</v>
      </c>
      <c r="W156" t="s">
        <v>66</v>
      </c>
      <c r="X156" t="s">
        <v>78</v>
      </c>
      <c r="Y156" t="s">
        <v>1073</v>
      </c>
      <c r="Z156" t="s">
        <v>182</v>
      </c>
      <c r="AA156" t="s">
        <v>984</v>
      </c>
      <c r="AB156" t="s">
        <v>984</v>
      </c>
      <c r="AC156" t="s">
        <v>82</v>
      </c>
      <c r="AD156" t="s">
        <v>83</v>
      </c>
      <c r="AE156" t="s">
        <v>66</v>
      </c>
      <c r="AF156" t="s">
        <v>876</v>
      </c>
    </row>
    <row r="157" spans="1:32">
      <c r="A157" t="s">
        <v>1074</v>
      </c>
      <c r="B157" t="s">
        <v>841</v>
      </c>
      <c r="C157" t="s">
        <v>1075</v>
      </c>
      <c r="D157" t="s">
        <v>1075</v>
      </c>
      <c r="E157" t="s">
        <v>109</v>
      </c>
      <c r="F157" t="s">
        <v>110</v>
      </c>
      <c r="G157" t="s">
        <v>111</v>
      </c>
      <c r="H157" t="s">
        <v>66</v>
      </c>
      <c r="I157" t="s">
        <v>66</v>
      </c>
      <c r="J157" t="s">
        <v>67</v>
      </c>
      <c r="K157" t="s">
        <v>71</v>
      </c>
      <c r="L157" t="s">
        <v>72</v>
      </c>
      <c r="M157" t="s">
        <v>73</v>
      </c>
      <c r="N157" t="s">
        <v>66</v>
      </c>
      <c r="O157" t="s">
        <v>73</v>
      </c>
      <c r="P157" t="s">
        <v>66</v>
      </c>
      <c r="Q157" t="s">
        <v>979</v>
      </c>
      <c r="R157" t="s">
        <v>73</v>
      </c>
      <c r="S157" t="s">
        <v>979</v>
      </c>
      <c r="T157" t="s">
        <v>1076</v>
      </c>
      <c r="U157" t="s">
        <v>1077</v>
      </c>
      <c r="V157" t="s">
        <v>982</v>
      </c>
      <c r="W157" t="s">
        <v>66</v>
      </c>
      <c r="X157" t="s">
        <v>78</v>
      </c>
      <c r="Y157" t="s">
        <v>1078</v>
      </c>
      <c r="Z157" t="s">
        <v>182</v>
      </c>
      <c r="AA157" t="s">
        <v>984</v>
      </c>
      <c r="AB157" t="s">
        <v>984</v>
      </c>
      <c r="AC157" t="s">
        <v>82</v>
      </c>
      <c r="AD157" t="s">
        <v>83</v>
      </c>
      <c r="AE157" t="s">
        <v>66</v>
      </c>
      <c r="AF157" t="s">
        <v>876</v>
      </c>
    </row>
    <row r="158" spans="1:32">
      <c r="A158" t="s">
        <v>1079</v>
      </c>
      <c r="B158" t="s">
        <v>151</v>
      </c>
      <c r="C158" t="s">
        <v>1080</v>
      </c>
      <c r="D158" t="s">
        <v>66</v>
      </c>
      <c r="E158" t="s">
        <v>67</v>
      </c>
      <c r="F158" t="s">
        <v>68</v>
      </c>
      <c r="G158" t="s">
        <v>69</v>
      </c>
      <c r="H158" t="s">
        <v>66</v>
      </c>
      <c r="I158" t="s">
        <v>66</v>
      </c>
      <c r="J158" t="s">
        <v>67</v>
      </c>
      <c r="K158" t="s">
        <v>71</v>
      </c>
      <c r="L158" t="s">
        <v>72</v>
      </c>
      <c r="M158" t="s">
        <v>73</v>
      </c>
      <c r="N158" t="s">
        <v>66</v>
      </c>
      <c r="O158" t="s">
        <v>73</v>
      </c>
      <c r="P158" t="s">
        <v>66</v>
      </c>
      <c r="Q158" t="s">
        <v>979</v>
      </c>
      <c r="R158" t="s">
        <v>73</v>
      </c>
      <c r="S158" t="s">
        <v>979</v>
      </c>
      <c r="T158" t="s">
        <v>1081</v>
      </c>
      <c r="U158" t="s">
        <v>1082</v>
      </c>
      <c r="V158" t="s">
        <v>982</v>
      </c>
      <c r="W158" t="s">
        <v>66</v>
      </c>
      <c r="X158" t="s">
        <v>78</v>
      </c>
      <c r="Y158" t="s">
        <v>1083</v>
      </c>
      <c r="Z158" t="s">
        <v>182</v>
      </c>
      <c r="AA158" t="s">
        <v>984</v>
      </c>
      <c r="AB158" t="s">
        <v>984</v>
      </c>
      <c r="AC158" t="s">
        <v>82</v>
      </c>
      <c r="AD158" t="s">
        <v>83</v>
      </c>
      <c r="AE158" t="s">
        <v>66</v>
      </c>
      <c r="AF158" t="s">
        <v>876</v>
      </c>
    </row>
    <row r="159" spans="1:32">
      <c r="A159" t="s">
        <v>1084</v>
      </c>
      <c r="B159" t="s">
        <v>1085</v>
      </c>
      <c r="C159" t="s">
        <v>1086</v>
      </c>
      <c r="D159" t="s">
        <v>1086</v>
      </c>
      <c r="E159" t="s">
        <v>109</v>
      </c>
      <c r="F159" t="s">
        <v>68</v>
      </c>
      <c r="G159" t="s">
        <v>69</v>
      </c>
      <c r="H159" t="s">
        <v>66</v>
      </c>
      <c r="I159" t="s">
        <v>66</v>
      </c>
      <c r="J159" t="s">
        <v>67</v>
      </c>
      <c r="K159" t="s">
        <v>71</v>
      </c>
      <c r="L159" t="s">
        <v>72</v>
      </c>
      <c r="M159" t="s">
        <v>73</v>
      </c>
      <c r="N159" t="s">
        <v>66</v>
      </c>
      <c r="O159" t="s">
        <v>73</v>
      </c>
      <c r="P159" t="s">
        <v>66</v>
      </c>
      <c r="Q159" t="s">
        <v>979</v>
      </c>
      <c r="R159" t="s">
        <v>73</v>
      </c>
      <c r="S159" t="s">
        <v>979</v>
      </c>
      <c r="T159" t="s">
        <v>1087</v>
      </c>
      <c r="U159" t="s">
        <v>1088</v>
      </c>
      <c r="V159" t="s">
        <v>982</v>
      </c>
      <c r="W159" t="s">
        <v>66</v>
      </c>
      <c r="X159" t="s">
        <v>78</v>
      </c>
      <c r="Y159" t="s">
        <v>1089</v>
      </c>
      <c r="Z159" t="s">
        <v>182</v>
      </c>
      <c r="AA159" t="s">
        <v>984</v>
      </c>
      <c r="AB159" t="s">
        <v>984</v>
      </c>
      <c r="AC159" t="s">
        <v>82</v>
      </c>
      <c r="AD159" t="s">
        <v>83</v>
      </c>
      <c r="AE159" t="s">
        <v>66</v>
      </c>
      <c r="AF159" t="s">
        <v>876</v>
      </c>
    </row>
    <row r="160" spans="1:32">
      <c r="A160" t="s">
        <v>1090</v>
      </c>
      <c r="B160" t="s">
        <v>1004</v>
      </c>
      <c r="C160" t="s">
        <v>1091</v>
      </c>
      <c r="D160" t="s">
        <v>66</v>
      </c>
      <c r="E160" t="s">
        <v>67</v>
      </c>
      <c r="F160" t="s">
        <v>68</v>
      </c>
      <c r="G160" t="s">
        <v>69</v>
      </c>
      <c r="H160" t="s">
        <v>66</v>
      </c>
      <c r="I160" t="s">
        <v>66</v>
      </c>
      <c r="J160" t="s">
        <v>67</v>
      </c>
      <c r="K160" t="s">
        <v>71</v>
      </c>
      <c r="L160" t="s">
        <v>72</v>
      </c>
      <c r="M160" t="s">
        <v>73</v>
      </c>
      <c r="N160" t="s">
        <v>66</v>
      </c>
      <c r="O160" t="s">
        <v>73</v>
      </c>
      <c r="P160" t="s">
        <v>66</v>
      </c>
      <c r="Q160" t="s">
        <v>979</v>
      </c>
      <c r="R160" t="s">
        <v>73</v>
      </c>
      <c r="S160" t="s">
        <v>979</v>
      </c>
      <c r="T160" t="s">
        <v>1092</v>
      </c>
      <c r="U160" t="s">
        <v>1093</v>
      </c>
      <c r="V160" t="s">
        <v>982</v>
      </c>
      <c r="W160" t="s">
        <v>66</v>
      </c>
      <c r="X160" t="s">
        <v>78</v>
      </c>
      <c r="Y160" t="s">
        <v>1094</v>
      </c>
      <c r="Z160" t="s">
        <v>182</v>
      </c>
      <c r="AA160" t="s">
        <v>984</v>
      </c>
      <c r="AB160" t="s">
        <v>984</v>
      </c>
      <c r="AC160" t="s">
        <v>82</v>
      </c>
      <c r="AD160" t="s">
        <v>83</v>
      </c>
      <c r="AE160" t="s">
        <v>66</v>
      </c>
      <c r="AF160" t="s">
        <v>876</v>
      </c>
    </row>
    <row r="161" spans="1:32">
      <c r="A161" t="s">
        <v>1095</v>
      </c>
      <c r="B161" t="s">
        <v>1004</v>
      </c>
      <c r="C161" t="s">
        <v>1096</v>
      </c>
      <c r="D161" t="s">
        <v>66</v>
      </c>
      <c r="E161" t="s">
        <v>67</v>
      </c>
      <c r="F161" t="s">
        <v>68</v>
      </c>
      <c r="G161" t="s">
        <v>69</v>
      </c>
      <c r="H161" t="s">
        <v>66</v>
      </c>
      <c r="I161" t="s">
        <v>66</v>
      </c>
      <c r="J161" t="s">
        <v>67</v>
      </c>
      <c r="K161" t="s">
        <v>71</v>
      </c>
      <c r="L161" t="s">
        <v>72</v>
      </c>
      <c r="M161" t="s">
        <v>73</v>
      </c>
      <c r="N161" t="s">
        <v>66</v>
      </c>
      <c r="O161" t="s">
        <v>73</v>
      </c>
      <c r="P161" t="s">
        <v>66</v>
      </c>
      <c r="Q161" t="s">
        <v>979</v>
      </c>
      <c r="R161" t="s">
        <v>73</v>
      </c>
      <c r="S161" t="s">
        <v>979</v>
      </c>
      <c r="T161" t="s">
        <v>1097</v>
      </c>
      <c r="U161" t="s">
        <v>1098</v>
      </c>
      <c r="V161" t="s">
        <v>982</v>
      </c>
      <c r="W161" t="s">
        <v>66</v>
      </c>
      <c r="X161" t="s">
        <v>78</v>
      </c>
      <c r="Y161" t="s">
        <v>1099</v>
      </c>
      <c r="Z161" t="s">
        <v>182</v>
      </c>
      <c r="AA161" t="s">
        <v>984</v>
      </c>
      <c r="AB161" t="s">
        <v>984</v>
      </c>
      <c r="AC161" t="s">
        <v>82</v>
      </c>
      <c r="AD161" t="s">
        <v>83</v>
      </c>
      <c r="AE161" t="s">
        <v>66</v>
      </c>
      <c r="AF161" t="s">
        <v>876</v>
      </c>
    </row>
    <row r="162" spans="1:32">
      <c r="A162" t="s">
        <v>1100</v>
      </c>
      <c r="B162" t="s">
        <v>1101</v>
      </c>
      <c r="C162" t="s">
        <v>1102</v>
      </c>
      <c r="D162" t="s">
        <v>66</v>
      </c>
      <c r="E162" t="s">
        <v>67</v>
      </c>
      <c r="F162" t="s">
        <v>110</v>
      </c>
      <c r="G162" t="s">
        <v>111</v>
      </c>
      <c r="H162" t="s">
        <v>66</v>
      </c>
      <c r="I162" t="s">
        <v>66</v>
      </c>
      <c r="J162" t="s">
        <v>67</v>
      </c>
      <c r="K162" t="s">
        <v>71</v>
      </c>
      <c r="L162" t="s">
        <v>72</v>
      </c>
      <c r="M162" t="s">
        <v>73</v>
      </c>
      <c r="N162" t="s">
        <v>66</v>
      </c>
      <c r="O162" t="s">
        <v>73</v>
      </c>
      <c r="P162" t="s">
        <v>66</v>
      </c>
      <c r="Q162" t="s">
        <v>979</v>
      </c>
      <c r="R162" t="s">
        <v>73</v>
      </c>
      <c r="S162" t="s">
        <v>979</v>
      </c>
      <c r="T162" t="s">
        <v>1103</v>
      </c>
      <c r="U162" t="s">
        <v>1104</v>
      </c>
      <c r="V162" t="s">
        <v>982</v>
      </c>
      <c r="W162" t="s">
        <v>66</v>
      </c>
      <c r="X162" t="s">
        <v>78</v>
      </c>
      <c r="Y162" t="s">
        <v>1105</v>
      </c>
      <c r="Z162" t="s">
        <v>182</v>
      </c>
      <c r="AA162" t="s">
        <v>984</v>
      </c>
      <c r="AB162" t="s">
        <v>984</v>
      </c>
      <c r="AC162" t="s">
        <v>82</v>
      </c>
      <c r="AD162" t="s">
        <v>83</v>
      </c>
      <c r="AE162" t="s">
        <v>66</v>
      </c>
      <c r="AF162" t="s">
        <v>876</v>
      </c>
    </row>
    <row r="163" spans="1:32">
      <c r="A163" t="s">
        <v>1106</v>
      </c>
      <c r="B163" t="s">
        <v>1107</v>
      </c>
      <c r="C163" t="s">
        <v>1108</v>
      </c>
      <c r="D163" t="s">
        <v>66</v>
      </c>
      <c r="E163" t="s">
        <v>67</v>
      </c>
      <c r="F163" t="s">
        <v>68</v>
      </c>
      <c r="G163" t="s">
        <v>69</v>
      </c>
      <c r="H163" t="s">
        <v>66</v>
      </c>
      <c r="I163" t="s">
        <v>66</v>
      </c>
      <c r="J163" t="s">
        <v>67</v>
      </c>
      <c r="K163" t="s">
        <v>71</v>
      </c>
      <c r="L163" t="s">
        <v>72</v>
      </c>
      <c r="M163" t="s">
        <v>73</v>
      </c>
      <c r="N163" t="s">
        <v>66</v>
      </c>
      <c r="O163" t="s">
        <v>73</v>
      </c>
      <c r="P163" t="s">
        <v>66</v>
      </c>
      <c r="Q163" t="s">
        <v>979</v>
      </c>
      <c r="R163" t="s">
        <v>73</v>
      </c>
      <c r="S163" t="s">
        <v>979</v>
      </c>
      <c r="T163" t="s">
        <v>1109</v>
      </c>
      <c r="U163" t="s">
        <v>1110</v>
      </c>
      <c r="V163" t="s">
        <v>982</v>
      </c>
      <c r="W163" t="s">
        <v>66</v>
      </c>
      <c r="X163" t="s">
        <v>78</v>
      </c>
      <c r="Y163" t="s">
        <v>1111</v>
      </c>
      <c r="Z163" t="s">
        <v>182</v>
      </c>
      <c r="AA163" t="s">
        <v>984</v>
      </c>
      <c r="AB163" t="s">
        <v>984</v>
      </c>
      <c r="AC163" t="s">
        <v>82</v>
      </c>
      <c r="AD163" t="s">
        <v>83</v>
      </c>
      <c r="AE163" t="s">
        <v>66</v>
      </c>
      <c r="AF163" t="s">
        <v>876</v>
      </c>
    </row>
    <row r="164" spans="1:32">
      <c r="A164" t="s">
        <v>1112</v>
      </c>
      <c r="B164" t="s">
        <v>162</v>
      </c>
      <c r="C164" t="s">
        <v>1113</v>
      </c>
      <c r="D164" t="s">
        <v>66</v>
      </c>
      <c r="E164" t="s">
        <v>67</v>
      </c>
      <c r="F164" t="s">
        <v>164</v>
      </c>
      <c r="G164" t="s">
        <v>165</v>
      </c>
      <c r="H164" t="s">
        <v>66</v>
      </c>
      <c r="I164" t="s">
        <v>66</v>
      </c>
      <c r="J164" t="s">
        <v>67</v>
      </c>
      <c r="K164" t="s">
        <v>71</v>
      </c>
      <c r="L164" t="s">
        <v>72</v>
      </c>
      <c r="M164" t="s">
        <v>73</v>
      </c>
      <c r="N164" t="s">
        <v>66</v>
      </c>
      <c r="O164" t="s">
        <v>73</v>
      </c>
      <c r="P164" t="s">
        <v>66</v>
      </c>
      <c r="Q164" t="s">
        <v>979</v>
      </c>
      <c r="R164" t="s">
        <v>73</v>
      </c>
      <c r="S164" t="s">
        <v>979</v>
      </c>
      <c r="T164" t="s">
        <v>1114</v>
      </c>
      <c r="U164" t="s">
        <v>1115</v>
      </c>
      <c r="V164" t="s">
        <v>982</v>
      </c>
      <c r="W164" t="s">
        <v>66</v>
      </c>
      <c r="X164" t="s">
        <v>78</v>
      </c>
      <c r="Y164" t="s">
        <v>1116</v>
      </c>
      <c r="Z164" t="s">
        <v>182</v>
      </c>
      <c r="AA164" t="s">
        <v>984</v>
      </c>
      <c r="AB164" t="s">
        <v>984</v>
      </c>
      <c r="AC164" t="s">
        <v>82</v>
      </c>
      <c r="AD164" t="s">
        <v>83</v>
      </c>
      <c r="AE164" t="s">
        <v>66</v>
      </c>
      <c r="AF164" t="s">
        <v>876</v>
      </c>
    </row>
    <row r="165" spans="1:32">
      <c r="A165" t="s">
        <v>1117</v>
      </c>
      <c r="B165" t="s">
        <v>162</v>
      </c>
      <c r="C165" t="s">
        <v>1118</v>
      </c>
      <c r="D165" t="s">
        <v>66</v>
      </c>
      <c r="E165" t="s">
        <v>67</v>
      </c>
      <c r="F165" t="s">
        <v>164</v>
      </c>
      <c r="G165" t="s">
        <v>165</v>
      </c>
      <c r="H165" t="s">
        <v>66</v>
      </c>
      <c r="I165" t="s">
        <v>66</v>
      </c>
      <c r="J165" t="s">
        <v>67</v>
      </c>
      <c r="K165" t="s">
        <v>71</v>
      </c>
      <c r="L165" t="s">
        <v>72</v>
      </c>
      <c r="M165" t="s">
        <v>73</v>
      </c>
      <c r="N165" t="s">
        <v>66</v>
      </c>
      <c r="O165" t="s">
        <v>73</v>
      </c>
      <c r="P165" t="s">
        <v>66</v>
      </c>
      <c r="Q165" t="s">
        <v>979</v>
      </c>
      <c r="R165" t="s">
        <v>73</v>
      </c>
      <c r="S165" t="s">
        <v>979</v>
      </c>
      <c r="T165" t="s">
        <v>1119</v>
      </c>
      <c r="U165" t="s">
        <v>1120</v>
      </c>
      <c r="V165" t="s">
        <v>982</v>
      </c>
      <c r="W165" t="s">
        <v>66</v>
      </c>
      <c r="X165" t="s">
        <v>78</v>
      </c>
      <c r="Y165" t="s">
        <v>1121</v>
      </c>
      <c r="Z165" t="s">
        <v>182</v>
      </c>
      <c r="AA165" t="s">
        <v>984</v>
      </c>
      <c r="AB165" t="s">
        <v>984</v>
      </c>
      <c r="AC165" t="s">
        <v>82</v>
      </c>
      <c r="AD165" t="s">
        <v>83</v>
      </c>
      <c r="AE165" t="s">
        <v>66</v>
      </c>
      <c r="AF165" t="s">
        <v>876</v>
      </c>
    </row>
    <row r="166" spans="1:32">
      <c r="A166" t="s">
        <v>1122</v>
      </c>
      <c r="B166" t="s">
        <v>1123</v>
      </c>
      <c r="C166" t="s">
        <v>1124</v>
      </c>
      <c r="D166" t="s">
        <v>66</v>
      </c>
      <c r="E166" t="s">
        <v>67</v>
      </c>
      <c r="F166" t="s">
        <v>68</v>
      </c>
      <c r="G166" t="s">
        <v>69</v>
      </c>
      <c r="H166" t="s">
        <v>66</v>
      </c>
      <c r="I166" t="s">
        <v>66</v>
      </c>
      <c r="J166" t="s">
        <v>67</v>
      </c>
      <c r="K166" t="s">
        <v>71</v>
      </c>
      <c r="L166" t="s">
        <v>72</v>
      </c>
      <c r="M166" t="s">
        <v>73</v>
      </c>
      <c r="N166" t="s">
        <v>66</v>
      </c>
      <c r="O166" t="s">
        <v>73</v>
      </c>
      <c r="P166" t="s">
        <v>66</v>
      </c>
      <c r="Q166" t="s">
        <v>979</v>
      </c>
      <c r="R166" t="s">
        <v>73</v>
      </c>
      <c r="S166" t="s">
        <v>979</v>
      </c>
      <c r="T166" t="s">
        <v>1125</v>
      </c>
      <c r="U166" t="s">
        <v>1126</v>
      </c>
      <c r="V166" t="s">
        <v>982</v>
      </c>
      <c r="W166" t="s">
        <v>66</v>
      </c>
      <c r="X166" t="s">
        <v>78</v>
      </c>
      <c r="Y166" t="s">
        <v>1127</v>
      </c>
      <c r="Z166" t="s">
        <v>182</v>
      </c>
      <c r="AA166" t="s">
        <v>984</v>
      </c>
      <c r="AB166" t="s">
        <v>984</v>
      </c>
      <c r="AC166" t="s">
        <v>82</v>
      </c>
      <c r="AD166" t="s">
        <v>83</v>
      </c>
      <c r="AE166" t="s">
        <v>66</v>
      </c>
      <c r="AF166" t="s">
        <v>876</v>
      </c>
    </row>
    <row r="167" spans="1:32">
      <c r="A167" t="s">
        <v>1128</v>
      </c>
      <c r="B167" t="s">
        <v>1129</v>
      </c>
      <c r="C167" t="s">
        <v>1130</v>
      </c>
      <c r="D167" t="s">
        <v>66</v>
      </c>
      <c r="E167" t="s">
        <v>67</v>
      </c>
      <c r="F167" t="s">
        <v>947</v>
      </c>
      <c r="G167" t="s">
        <v>948</v>
      </c>
      <c r="H167" t="s">
        <v>66</v>
      </c>
      <c r="I167" t="s">
        <v>66</v>
      </c>
      <c r="J167" t="s">
        <v>67</v>
      </c>
      <c r="K167" t="s">
        <v>71</v>
      </c>
      <c r="L167" t="s">
        <v>72</v>
      </c>
      <c r="M167" t="s">
        <v>73</v>
      </c>
      <c r="N167" t="s">
        <v>66</v>
      </c>
      <c r="O167" t="s">
        <v>73</v>
      </c>
      <c r="P167" t="s">
        <v>66</v>
      </c>
      <c r="Q167" t="s">
        <v>979</v>
      </c>
      <c r="R167" t="s">
        <v>73</v>
      </c>
      <c r="S167" t="s">
        <v>979</v>
      </c>
      <c r="T167" t="s">
        <v>1131</v>
      </c>
      <c r="U167" t="s">
        <v>1132</v>
      </c>
      <c r="V167" t="s">
        <v>982</v>
      </c>
      <c r="W167" t="s">
        <v>66</v>
      </c>
      <c r="X167" t="s">
        <v>78</v>
      </c>
      <c r="Y167" t="s">
        <v>1133</v>
      </c>
      <c r="Z167" t="s">
        <v>182</v>
      </c>
      <c r="AA167" t="s">
        <v>984</v>
      </c>
      <c r="AB167" t="s">
        <v>984</v>
      </c>
      <c r="AC167" t="s">
        <v>82</v>
      </c>
      <c r="AD167" t="s">
        <v>83</v>
      </c>
      <c r="AE167" t="s">
        <v>66</v>
      </c>
      <c r="AF167" t="s">
        <v>876</v>
      </c>
    </row>
    <row r="168" spans="1:32">
      <c r="A168" t="s">
        <v>1134</v>
      </c>
      <c r="B168" t="s">
        <v>841</v>
      </c>
      <c r="C168" t="s">
        <v>1135</v>
      </c>
      <c r="D168" t="s">
        <v>1135</v>
      </c>
      <c r="E168" t="s">
        <v>109</v>
      </c>
      <c r="F168" t="s">
        <v>110</v>
      </c>
      <c r="G168" t="s">
        <v>111</v>
      </c>
      <c r="H168" t="s">
        <v>66</v>
      </c>
      <c r="I168" t="s">
        <v>66</v>
      </c>
      <c r="J168" t="s">
        <v>67</v>
      </c>
      <c r="K168" t="s">
        <v>71</v>
      </c>
      <c r="L168" t="s">
        <v>72</v>
      </c>
      <c r="M168" t="s">
        <v>73</v>
      </c>
      <c r="N168" t="s">
        <v>66</v>
      </c>
      <c r="O168" t="s">
        <v>73</v>
      </c>
      <c r="P168" t="s">
        <v>66</v>
      </c>
      <c r="Q168" t="s">
        <v>979</v>
      </c>
      <c r="R168" t="s">
        <v>73</v>
      </c>
      <c r="S168" t="s">
        <v>979</v>
      </c>
      <c r="T168" t="s">
        <v>1136</v>
      </c>
      <c r="U168" t="s">
        <v>1137</v>
      </c>
      <c r="V168" t="s">
        <v>982</v>
      </c>
      <c r="W168" t="s">
        <v>66</v>
      </c>
      <c r="X168" t="s">
        <v>78</v>
      </c>
      <c r="Y168" t="s">
        <v>1138</v>
      </c>
      <c r="Z168" t="s">
        <v>182</v>
      </c>
      <c r="AA168" t="s">
        <v>984</v>
      </c>
      <c r="AB168" t="s">
        <v>984</v>
      </c>
      <c r="AC168" t="s">
        <v>82</v>
      </c>
      <c r="AD168" t="s">
        <v>83</v>
      </c>
      <c r="AE168" t="s">
        <v>66</v>
      </c>
      <c r="AF168" t="s">
        <v>876</v>
      </c>
    </row>
    <row r="169" spans="1:32">
      <c r="A169" t="s">
        <v>1139</v>
      </c>
      <c r="B169" t="s">
        <v>359</v>
      </c>
      <c r="C169" t="s">
        <v>1140</v>
      </c>
      <c r="D169" t="s">
        <v>1140</v>
      </c>
      <c r="E169" t="s">
        <v>109</v>
      </c>
      <c r="F169" t="s">
        <v>110</v>
      </c>
      <c r="G169" t="s">
        <v>111</v>
      </c>
      <c r="H169" t="s">
        <v>66</v>
      </c>
      <c r="I169" t="s">
        <v>66</v>
      </c>
      <c r="J169" t="s">
        <v>67</v>
      </c>
      <c r="K169" t="s">
        <v>71</v>
      </c>
      <c r="L169" t="s">
        <v>72</v>
      </c>
      <c r="M169" t="s">
        <v>73</v>
      </c>
      <c r="N169" t="s">
        <v>66</v>
      </c>
      <c r="O169" t="s">
        <v>73</v>
      </c>
      <c r="P169" t="s">
        <v>66</v>
      </c>
      <c r="Q169" t="s">
        <v>979</v>
      </c>
      <c r="R169" t="s">
        <v>73</v>
      </c>
      <c r="S169" t="s">
        <v>979</v>
      </c>
      <c r="T169" t="s">
        <v>1141</v>
      </c>
      <c r="U169" t="s">
        <v>1142</v>
      </c>
      <c r="V169" t="s">
        <v>982</v>
      </c>
      <c r="W169" t="s">
        <v>66</v>
      </c>
      <c r="X169" t="s">
        <v>78</v>
      </c>
      <c r="Y169" t="s">
        <v>1143</v>
      </c>
      <c r="Z169" t="s">
        <v>182</v>
      </c>
      <c r="AA169" t="s">
        <v>984</v>
      </c>
      <c r="AB169" t="s">
        <v>984</v>
      </c>
      <c r="AC169" t="s">
        <v>82</v>
      </c>
      <c r="AD169" t="s">
        <v>83</v>
      </c>
      <c r="AE169" t="s">
        <v>66</v>
      </c>
      <c r="AF169" t="s">
        <v>876</v>
      </c>
    </row>
    <row r="170" spans="1:32">
      <c r="A170" t="s">
        <v>1144</v>
      </c>
      <c r="B170" t="s">
        <v>1004</v>
      </c>
      <c r="C170" t="s">
        <v>1145</v>
      </c>
      <c r="D170" t="s">
        <v>66</v>
      </c>
      <c r="E170" t="s">
        <v>67</v>
      </c>
      <c r="F170" t="s">
        <v>68</v>
      </c>
      <c r="G170" t="s">
        <v>69</v>
      </c>
      <c r="H170" t="s">
        <v>66</v>
      </c>
      <c r="I170" t="s">
        <v>66</v>
      </c>
      <c r="J170" t="s">
        <v>67</v>
      </c>
      <c r="K170" t="s">
        <v>71</v>
      </c>
      <c r="L170" t="s">
        <v>72</v>
      </c>
      <c r="M170" t="s">
        <v>73</v>
      </c>
      <c r="N170" t="s">
        <v>66</v>
      </c>
      <c r="O170" t="s">
        <v>73</v>
      </c>
      <c r="P170" t="s">
        <v>66</v>
      </c>
      <c r="Q170" t="s">
        <v>979</v>
      </c>
      <c r="R170" t="s">
        <v>73</v>
      </c>
      <c r="S170" t="s">
        <v>979</v>
      </c>
      <c r="T170" t="s">
        <v>1146</v>
      </c>
      <c r="U170" t="s">
        <v>1147</v>
      </c>
      <c r="V170" t="s">
        <v>982</v>
      </c>
      <c r="W170" t="s">
        <v>66</v>
      </c>
      <c r="X170" t="s">
        <v>78</v>
      </c>
      <c r="Y170" t="s">
        <v>1148</v>
      </c>
      <c r="Z170" t="s">
        <v>182</v>
      </c>
      <c r="AA170" t="s">
        <v>984</v>
      </c>
      <c r="AB170" t="s">
        <v>984</v>
      </c>
      <c r="AC170" t="s">
        <v>82</v>
      </c>
      <c r="AD170" t="s">
        <v>83</v>
      </c>
      <c r="AE170" t="s">
        <v>66</v>
      </c>
      <c r="AF170" t="s">
        <v>876</v>
      </c>
    </row>
    <row r="171" spans="1:32">
      <c r="A171" t="s">
        <v>1149</v>
      </c>
      <c r="B171" t="s">
        <v>308</v>
      </c>
      <c r="C171" t="s">
        <v>1150</v>
      </c>
      <c r="D171" t="s">
        <v>1150</v>
      </c>
      <c r="E171" t="s">
        <v>109</v>
      </c>
      <c r="F171" t="s">
        <v>110</v>
      </c>
      <c r="G171" t="s">
        <v>111</v>
      </c>
      <c r="H171" t="s">
        <v>66</v>
      </c>
      <c r="I171" t="s">
        <v>66</v>
      </c>
      <c r="J171" t="s">
        <v>67</v>
      </c>
      <c r="K171" t="s">
        <v>71</v>
      </c>
      <c r="L171" t="s">
        <v>72</v>
      </c>
      <c r="M171" t="s">
        <v>73</v>
      </c>
      <c r="N171" t="s">
        <v>66</v>
      </c>
      <c r="O171" t="s">
        <v>73</v>
      </c>
      <c r="P171" t="s">
        <v>66</v>
      </c>
      <c r="Q171" t="s">
        <v>979</v>
      </c>
      <c r="R171" t="s">
        <v>73</v>
      </c>
      <c r="S171" t="s">
        <v>979</v>
      </c>
      <c r="T171" t="s">
        <v>1151</v>
      </c>
      <c r="U171" t="s">
        <v>1152</v>
      </c>
      <c r="V171" t="s">
        <v>982</v>
      </c>
      <c r="W171" t="s">
        <v>66</v>
      </c>
      <c r="X171" t="s">
        <v>78</v>
      </c>
      <c r="Y171" t="s">
        <v>1153</v>
      </c>
      <c r="Z171" t="s">
        <v>182</v>
      </c>
      <c r="AA171" t="s">
        <v>984</v>
      </c>
      <c r="AB171" t="s">
        <v>984</v>
      </c>
      <c r="AC171" t="s">
        <v>82</v>
      </c>
      <c r="AD171" t="s">
        <v>83</v>
      </c>
      <c r="AE171" t="s">
        <v>66</v>
      </c>
      <c r="AF171" t="s">
        <v>876</v>
      </c>
    </row>
    <row r="172" spans="1:32">
      <c r="A172" t="s">
        <v>1154</v>
      </c>
      <c r="B172" t="s">
        <v>1004</v>
      </c>
      <c r="C172" t="s">
        <v>1155</v>
      </c>
      <c r="D172" t="s">
        <v>66</v>
      </c>
      <c r="E172" t="s">
        <v>67</v>
      </c>
      <c r="F172" t="s">
        <v>68</v>
      </c>
      <c r="G172" t="s">
        <v>69</v>
      </c>
      <c r="H172" t="s">
        <v>66</v>
      </c>
      <c r="I172" t="s">
        <v>66</v>
      </c>
      <c r="J172" t="s">
        <v>67</v>
      </c>
      <c r="K172" t="s">
        <v>71</v>
      </c>
      <c r="L172" t="s">
        <v>72</v>
      </c>
      <c r="M172" t="s">
        <v>73</v>
      </c>
      <c r="N172" t="s">
        <v>66</v>
      </c>
      <c r="O172" t="s">
        <v>73</v>
      </c>
      <c r="P172" t="s">
        <v>66</v>
      </c>
      <c r="Q172" t="s">
        <v>979</v>
      </c>
      <c r="R172" t="s">
        <v>73</v>
      </c>
      <c r="S172" t="s">
        <v>979</v>
      </c>
      <c r="T172" t="s">
        <v>1156</v>
      </c>
      <c r="U172" t="s">
        <v>1157</v>
      </c>
      <c r="V172" t="s">
        <v>982</v>
      </c>
      <c r="W172" t="s">
        <v>66</v>
      </c>
      <c r="X172" t="s">
        <v>78</v>
      </c>
      <c r="Y172" t="s">
        <v>1158</v>
      </c>
      <c r="Z172" t="s">
        <v>182</v>
      </c>
      <c r="AA172" t="s">
        <v>984</v>
      </c>
      <c r="AB172" t="s">
        <v>984</v>
      </c>
      <c r="AC172" t="s">
        <v>82</v>
      </c>
      <c r="AD172" t="s">
        <v>83</v>
      </c>
      <c r="AE172" t="s">
        <v>66</v>
      </c>
      <c r="AF172" t="s">
        <v>876</v>
      </c>
    </row>
    <row r="173" spans="1:32">
      <c r="A173" t="s">
        <v>1159</v>
      </c>
      <c r="B173" t="s">
        <v>151</v>
      </c>
      <c r="C173" t="s">
        <v>1160</v>
      </c>
      <c r="D173" t="s">
        <v>66</v>
      </c>
      <c r="E173" t="s">
        <v>67</v>
      </c>
      <c r="F173" t="s">
        <v>68</v>
      </c>
      <c r="G173" t="s">
        <v>69</v>
      </c>
      <c r="H173" t="s">
        <v>66</v>
      </c>
      <c r="I173" t="s">
        <v>66</v>
      </c>
      <c r="J173" t="s">
        <v>67</v>
      </c>
      <c r="K173" t="s">
        <v>71</v>
      </c>
      <c r="L173" t="s">
        <v>72</v>
      </c>
      <c r="M173" t="s">
        <v>73</v>
      </c>
      <c r="N173" t="s">
        <v>66</v>
      </c>
      <c r="O173" t="s">
        <v>73</v>
      </c>
      <c r="P173" t="s">
        <v>66</v>
      </c>
      <c r="Q173" t="s">
        <v>979</v>
      </c>
      <c r="R173" t="s">
        <v>73</v>
      </c>
      <c r="S173" t="s">
        <v>979</v>
      </c>
      <c r="T173" t="s">
        <v>1161</v>
      </c>
      <c r="U173" t="s">
        <v>1162</v>
      </c>
      <c r="V173" t="s">
        <v>982</v>
      </c>
      <c r="W173" t="s">
        <v>66</v>
      </c>
      <c r="X173" t="s">
        <v>78</v>
      </c>
      <c r="Y173" t="s">
        <v>1163</v>
      </c>
      <c r="Z173" t="s">
        <v>182</v>
      </c>
      <c r="AA173" t="s">
        <v>984</v>
      </c>
      <c r="AB173" t="s">
        <v>984</v>
      </c>
      <c r="AC173" t="s">
        <v>82</v>
      </c>
      <c r="AD173" t="s">
        <v>83</v>
      </c>
      <c r="AE173" t="s">
        <v>66</v>
      </c>
      <c r="AF173" t="s">
        <v>876</v>
      </c>
    </row>
    <row r="174" spans="1:32">
      <c r="A174" t="s">
        <v>1164</v>
      </c>
      <c r="B174" t="s">
        <v>1004</v>
      </c>
      <c r="C174" t="s">
        <v>1165</v>
      </c>
      <c r="D174" t="s">
        <v>66</v>
      </c>
      <c r="E174" t="s">
        <v>67</v>
      </c>
      <c r="F174" t="s">
        <v>68</v>
      </c>
      <c r="G174" t="s">
        <v>69</v>
      </c>
      <c r="H174" t="s">
        <v>66</v>
      </c>
      <c r="I174" t="s">
        <v>66</v>
      </c>
      <c r="J174" t="s">
        <v>67</v>
      </c>
      <c r="K174" t="s">
        <v>71</v>
      </c>
      <c r="L174" t="s">
        <v>72</v>
      </c>
      <c r="M174" t="s">
        <v>73</v>
      </c>
      <c r="N174" t="s">
        <v>66</v>
      </c>
      <c r="O174" t="s">
        <v>73</v>
      </c>
      <c r="P174" t="s">
        <v>66</v>
      </c>
      <c r="Q174" t="s">
        <v>979</v>
      </c>
      <c r="R174" t="s">
        <v>73</v>
      </c>
      <c r="S174" t="s">
        <v>979</v>
      </c>
      <c r="T174" t="s">
        <v>1166</v>
      </c>
      <c r="U174" t="s">
        <v>1167</v>
      </c>
      <c r="V174" t="s">
        <v>982</v>
      </c>
      <c r="W174" t="s">
        <v>66</v>
      </c>
      <c r="X174" t="s">
        <v>78</v>
      </c>
      <c r="Y174" t="s">
        <v>1168</v>
      </c>
      <c r="Z174" t="s">
        <v>182</v>
      </c>
      <c r="AA174" t="s">
        <v>984</v>
      </c>
      <c r="AB174" t="s">
        <v>984</v>
      </c>
      <c r="AC174" t="s">
        <v>82</v>
      </c>
      <c r="AD174" t="s">
        <v>83</v>
      </c>
      <c r="AE174" t="s">
        <v>66</v>
      </c>
      <c r="AF174" t="s">
        <v>876</v>
      </c>
    </row>
    <row r="175" spans="1:32">
      <c r="A175" t="s">
        <v>1169</v>
      </c>
      <c r="B175" t="s">
        <v>130</v>
      </c>
      <c r="C175" t="s">
        <v>1170</v>
      </c>
      <c r="D175" t="s">
        <v>1170</v>
      </c>
      <c r="E175" t="s">
        <v>109</v>
      </c>
      <c r="F175" t="s">
        <v>110</v>
      </c>
      <c r="G175" t="s">
        <v>111</v>
      </c>
      <c r="H175" t="s">
        <v>66</v>
      </c>
      <c r="I175" t="s">
        <v>66</v>
      </c>
      <c r="J175" t="s">
        <v>67</v>
      </c>
      <c r="K175" t="s">
        <v>71</v>
      </c>
      <c r="L175" t="s">
        <v>72</v>
      </c>
      <c r="M175" t="s">
        <v>73</v>
      </c>
      <c r="N175" t="s">
        <v>66</v>
      </c>
      <c r="O175" t="s">
        <v>73</v>
      </c>
      <c r="P175" t="s">
        <v>66</v>
      </c>
      <c r="Q175" t="s">
        <v>979</v>
      </c>
      <c r="R175" t="s">
        <v>73</v>
      </c>
      <c r="S175" t="s">
        <v>979</v>
      </c>
      <c r="T175" t="s">
        <v>1171</v>
      </c>
      <c r="U175" t="s">
        <v>1172</v>
      </c>
      <c r="V175" t="s">
        <v>982</v>
      </c>
      <c r="W175" t="s">
        <v>66</v>
      </c>
      <c r="X175" t="s">
        <v>78</v>
      </c>
      <c r="Y175" t="s">
        <v>1173</v>
      </c>
      <c r="Z175" t="s">
        <v>182</v>
      </c>
      <c r="AA175" t="s">
        <v>984</v>
      </c>
      <c r="AB175" t="s">
        <v>984</v>
      </c>
      <c r="AC175" t="s">
        <v>82</v>
      </c>
      <c r="AD175" t="s">
        <v>83</v>
      </c>
      <c r="AE175" t="s">
        <v>66</v>
      </c>
      <c r="AF175" t="s">
        <v>876</v>
      </c>
    </row>
    <row r="176" spans="1:32">
      <c r="A176" t="s">
        <v>1174</v>
      </c>
      <c r="B176" t="s">
        <v>841</v>
      </c>
      <c r="C176" t="s">
        <v>1175</v>
      </c>
      <c r="D176" t="s">
        <v>1175</v>
      </c>
      <c r="E176" t="s">
        <v>109</v>
      </c>
      <c r="F176" t="s">
        <v>110</v>
      </c>
      <c r="G176" t="s">
        <v>111</v>
      </c>
      <c r="H176" t="s">
        <v>66</v>
      </c>
      <c r="I176" t="s">
        <v>66</v>
      </c>
      <c r="J176" t="s">
        <v>67</v>
      </c>
      <c r="K176" t="s">
        <v>71</v>
      </c>
      <c r="L176" t="s">
        <v>72</v>
      </c>
      <c r="M176" t="s">
        <v>73</v>
      </c>
      <c r="N176" t="s">
        <v>66</v>
      </c>
      <c r="O176" t="s">
        <v>73</v>
      </c>
      <c r="P176" t="s">
        <v>66</v>
      </c>
      <c r="Q176" t="s">
        <v>979</v>
      </c>
      <c r="R176" t="s">
        <v>73</v>
      </c>
      <c r="S176" t="s">
        <v>979</v>
      </c>
      <c r="T176" t="s">
        <v>1176</v>
      </c>
      <c r="U176" t="s">
        <v>1177</v>
      </c>
      <c r="V176" t="s">
        <v>982</v>
      </c>
      <c r="W176" t="s">
        <v>66</v>
      </c>
      <c r="X176" t="s">
        <v>78</v>
      </c>
      <c r="Y176" t="s">
        <v>1178</v>
      </c>
      <c r="Z176" t="s">
        <v>182</v>
      </c>
      <c r="AA176" t="s">
        <v>984</v>
      </c>
      <c r="AB176" t="s">
        <v>984</v>
      </c>
      <c r="AC176" t="s">
        <v>82</v>
      </c>
      <c r="AD176" t="s">
        <v>83</v>
      </c>
      <c r="AE176" t="s">
        <v>66</v>
      </c>
      <c r="AF176" t="s">
        <v>876</v>
      </c>
    </row>
    <row r="177" spans="1:32">
      <c r="A177" t="s">
        <v>1179</v>
      </c>
      <c r="B177" t="s">
        <v>1180</v>
      </c>
      <c r="C177" t="s">
        <v>1181</v>
      </c>
      <c r="D177" t="s">
        <v>66</v>
      </c>
      <c r="E177" t="s">
        <v>67</v>
      </c>
      <c r="F177" t="s">
        <v>947</v>
      </c>
      <c r="G177" t="s">
        <v>948</v>
      </c>
      <c r="H177" t="s">
        <v>66</v>
      </c>
      <c r="I177" t="s">
        <v>66</v>
      </c>
      <c r="J177" t="s">
        <v>67</v>
      </c>
      <c r="K177" t="s">
        <v>71</v>
      </c>
      <c r="L177" t="s">
        <v>72</v>
      </c>
      <c r="M177" t="s">
        <v>73</v>
      </c>
      <c r="N177" t="s">
        <v>66</v>
      </c>
      <c r="O177" t="s">
        <v>73</v>
      </c>
      <c r="P177" t="s">
        <v>66</v>
      </c>
      <c r="Q177" t="s">
        <v>979</v>
      </c>
      <c r="R177" t="s">
        <v>73</v>
      </c>
      <c r="S177" t="s">
        <v>979</v>
      </c>
      <c r="T177" t="s">
        <v>1182</v>
      </c>
      <c r="U177" t="s">
        <v>1183</v>
      </c>
      <c r="V177" t="s">
        <v>982</v>
      </c>
      <c r="W177" t="s">
        <v>66</v>
      </c>
      <c r="X177" t="s">
        <v>78</v>
      </c>
      <c r="Y177" t="s">
        <v>1184</v>
      </c>
      <c r="Z177" t="s">
        <v>182</v>
      </c>
      <c r="AA177" t="s">
        <v>984</v>
      </c>
      <c r="AB177" t="s">
        <v>984</v>
      </c>
      <c r="AC177" t="s">
        <v>82</v>
      </c>
      <c r="AD177" t="s">
        <v>83</v>
      </c>
      <c r="AE177" t="s">
        <v>66</v>
      </c>
      <c r="AF177" t="s">
        <v>876</v>
      </c>
    </row>
    <row r="178" spans="1:32">
      <c r="A178" t="s">
        <v>1185</v>
      </c>
      <c r="B178" t="s">
        <v>1186</v>
      </c>
      <c r="C178" t="s">
        <v>1187</v>
      </c>
      <c r="D178" t="s">
        <v>66</v>
      </c>
      <c r="E178" t="s">
        <v>67</v>
      </c>
      <c r="F178" t="s">
        <v>68</v>
      </c>
      <c r="G178" t="s">
        <v>69</v>
      </c>
      <c r="H178" t="s">
        <v>66</v>
      </c>
      <c r="I178" t="s">
        <v>66</v>
      </c>
      <c r="J178" t="s">
        <v>67</v>
      </c>
      <c r="K178" t="s">
        <v>71</v>
      </c>
      <c r="L178" t="s">
        <v>72</v>
      </c>
      <c r="M178" t="s">
        <v>73</v>
      </c>
      <c r="N178" t="s">
        <v>66</v>
      </c>
      <c r="O178" t="s">
        <v>73</v>
      </c>
      <c r="P178" t="s">
        <v>66</v>
      </c>
      <c r="Q178" t="s">
        <v>979</v>
      </c>
      <c r="R178" t="s">
        <v>73</v>
      </c>
      <c r="S178" t="s">
        <v>979</v>
      </c>
      <c r="T178" t="s">
        <v>1188</v>
      </c>
      <c r="U178" t="s">
        <v>1189</v>
      </c>
      <c r="V178" t="s">
        <v>982</v>
      </c>
      <c r="W178" t="s">
        <v>66</v>
      </c>
      <c r="X178" t="s">
        <v>78</v>
      </c>
      <c r="Y178" t="s">
        <v>1190</v>
      </c>
      <c r="Z178" t="s">
        <v>182</v>
      </c>
      <c r="AA178" t="s">
        <v>984</v>
      </c>
      <c r="AB178" t="s">
        <v>984</v>
      </c>
      <c r="AC178" t="s">
        <v>82</v>
      </c>
      <c r="AD178" t="s">
        <v>83</v>
      </c>
      <c r="AE178" t="s">
        <v>66</v>
      </c>
      <c r="AF178" t="s">
        <v>876</v>
      </c>
    </row>
    <row r="179" spans="1:32">
      <c r="A179" t="s">
        <v>1191</v>
      </c>
      <c r="B179" t="s">
        <v>359</v>
      </c>
      <c r="C179" t="s">
        <v>1192</v>
      </c>
      <c r="D179" t="s">
        <v>1192</v>
      </c>
      <c r="E179" t="s">
        <v>109</v>
      </c>
      <c r="F179" t="s">
        <v>110</v>
      </c>
      <c r="G179" t="s">
        <v>111</v>
      </c>
      <c r="H179" t="s">
        <v>66</v>
      </c>
      <c r="I179" t="s">
        <v>66</v>
      </c>
      <c r="J179" t="s">
        <v>67</v>
      </c>
      <c r="K179" t="s">
        <v>71</v>
      </c>
      <c r="L179" t="s">
        <v>72</v>
      </c>
      <c r="M179" t="s">
        <v>73</v>
      </c>
      <c r="N179" t="s">
        <v>66</v>
      </c>
      <c r="O179" t="s">
        <v>73</v>
      </c>
      <c r="P179" t="s">
        <v>66</v>
      </c>
      <c r="Q179" t="s">
        <v>979</v>
      </c>
      <c r="R179" t="s">
        <v>73</v>
      </c>
      <c r="S179" t="s">
        <v>979</v>
      </c>
      <c r="T179" t="s">
        <v>1193</v>
      </c>
      <c r="U179" t="s">
        <v>1194</v>
      </c>
      <c r="V179" t="s">
        <v>982</v>
      </c>
      <c r="W179" t="s">
        <v>66</v>
      </c>
      <c r="X179" t="s">
        <v>78</v>
      </c>
      <c r="Y179" t="s">
        <v>1195</v>
      </c>
      <c r="Z179" t="s">
        <v>182</v>
      </c>
      <c r="AA179" t="s">
        <v>984</v>
      </c>
      <c r="AB179" t="s">
        <v>984</v>
      </c>
      <c r="AC179" t="s">
        <v>82</v>
      </c>
      <c r="AD179" t="s">
        <v>83</v>
      </c>
      <c r="AE179" t="s">
        <v>66</v>
      </c>
      <c r="AF179" t="s">
        <v>876</v>
      </c>
    </row>
    <row r="180" spans="1:32">
      <c r="A180" t="s">
        <v>1196</v>
      </c>
      <c r="B180" t="s">
        <v>1197</v>
      </c>
      <c r="C180" t="s">
        <v>1198</v>
      </c>
      <c r="D180" t="s">
        <v>1198</v>
      </c>
      <c r="E180" t="s">
        <v>109</v>
      </c>
      <c r="F180" t="s">
        <v>110</v>
      </c>
      <c r="G180" t="s">
        <v>111</v>
      </c>
      <c r="H180" t="s">
        <v>66</v>
      </c>
      <c r="I180" t="s">
        <v>66</v>
      </c>
      <c r="J180" t="s">
        <v>67</v>
      </c>
      <c r="K180" t="s">
        <v>71</v>
      </c>
      <c r="L180" t="s">
        <v>72</v>
      </c>
      <c r="M180" t="s">
        <v>73</v>
      </c>
      <c r="N180" t="s">
        <v>66</v>
      </c>
      <c r="O180" t="s">
        <v>73</v>
      </c>
      <c r="P180" t="s">
        <v>66</v>
      </c>
      <c r="Q180" t="s">
        <v>979</v>
      </c>
      <c r="R180" t="s">
        <v>73</v>
      </c>
      <c r="S180" t="s">
        <v>979</v>
      </c>
      <c r="T180" t="s">
        <v>1199</v>
      </c>
      <c r="U180" t="s">
        <v>1200</v>
      </c>
      <c r="V180" t="s">
        <v>982</v>
      </c>
      <c r="W180" t="s">
        <v>66</v>
      </c>
      <c r="X180" t="s">
        <v>78</v>
      </c>
      <c r="Y180" t="s">
        <v>1201</v>
      </c>
      <c r="Z180" t="s">
        <v>182</v>
      </c>
      <c r="AA180" t="s">
        <v>984</v>
      </c>
      <c r="AB180" t="s">
        <v>984</v>
      </c>
      <c r="AC180" t="s">
        <v>82</v>
      </c>
      <c r="AD180" t="s">
        <v>83</v>
      </c>
      <c r="AE180" t="s">
        <v>66</v>
      </c>
      <c r="AF180" t="s">
        <v>876</v>
      </c>
    </row>
    <row r="181" spans="1:32">
      <c r="A181" t="s">
        <v>1202</v>
      </c>
      <c r="B181" t="s">
        <v>308</v>
      </c>
      <c r="C181" t="s">
        <v>1203</v>
      </c>
      <c r="D181" t="s">
        <v>1203</v>
      </c>
      <c r="E181" t="s">
        <v>109</v>
      </c>
      <c r="F181" t="s">
        <v>110</v>
      </c>
      <c r="G181" t="s">
        <v>111</v>
      </c>
      <c r="H181" t="s">
        <v>66</v>
      </c>
      <c r="I181" t="s">
        <v>66</v>
      </c>
      <c r="J181" t="s">
        <v>67</v>
      </c>
      <c r="K181" t="s">
        <v>71</v>
      </c>
      <c r="L181" t="s">
        <v>72</v>
      </c>
      <c r="M181" t="s">
        <v>73</v>
      </c>
      <c r="N181" t="s">
        <v>66</v>
      </c>
      <c r="O181" t="s">
        <v>73</v>
      </c>
      <c r="P181" t="s">
        <v>66</v>
      </c>
      <c r="Q181" t="s">
        <v>979</v>
      </c>
      <c r="R181" t="s">
        <v>73</v>
      </c>
      <c r="S181" t="s">
        <v>979</v>
      </c>
      <c r="T181" t="s">
        <v>1204</v>
      </c>
      <c r="U181" t="s">
        <v>1205</v>
      </c>
      <c r="V181" t="s">
        <v>982</v>
      </c>
      <c r="W181" t="s">
        <v>66</v>
      </c>
      <c r="X181" t="s">
        <v>78</v>
      </c>
      <c r="Y181" t="s">
        <v>1206</v>
      </c>
      <c r="Z181" t="s">
        <v>182</v>
      </c>
      <c r="AA181" t="s">
        <v>984</v>
      </c>
      <c r="AB181" t="s">
        <v>984</v>
      </c>
      <c r="AC181" t="s">
        <v>82</v>
      </c>
      <c r="AD181" t="s">
        <v>83</v>
      </c>
      <c r="AE181" t="s">
        <v>66</v>
      </c>
      <c r="AF181" t="s">
        <v>876</v>
      </c>
    </row>
    <row r="182" spans="1:32">
      <c r="A182" t="s">
        <v>1207</v>
      </c>
      <c r="B182" t="s">
        <v>1004</v>
      </c>
      <c r="C182" t="s">
        <v>1208</v>
      </c>
      <c r="D182" t="s">
        <v>66</v>
      </c>
      <c r="E182" t="s">
        <v>67</v>
      </c>
      <c r="F182" t="s">
        <v>68</v>
      </c>
      <c r="G182" t="s">
        <v>69</v>
      </c>
      <c r="H182" t="s">
        <v>66</v>
      </c>
      <c r="I182" t="s">
        <v>66</v>
      </c>
      <c r="J182" t="s">
        <v>67</v>
      </c>
      <c r="K182" t="s">
        <v>71</v>
      </c>
      <c r="L182" t="s">
        <v>72</v>
      </c>
      <c r="M182" t="s">
        <v>73</v>
      </c>
      <c r="N182" t="s">
        <v>66</v>
      </c>
      <c r="O182" t="s">
        <v>73</v>
      </c>
      <c r="P182" t="s">
        <v>66</v>
      </c>
      <c r="Q182" t="s">
        <v>979</v>
      </c>
      <c r="R182" t="s">
        <v>73</v>
      </c>
      <c r="S182" t="s">
        <v>979</v>
      </c>
      <c r="T182" t="s">
        <v>1209</v>
      </c>
      <c r="U182" t="s">
        <v>1210</v>
      </c>
      <c r="V182" t="s">
        <v>982</v>
      </c>
      <c r="W182" t="s">
        <v>66</v>
      </c>
      <c r="X182" t="s">
        <v>78</v>
      </c>
      <c r="Y182" t="s">
        <v>1211</v>
      </c>
      <c r="Z182" t="s">
        <v>182</v>
      </c>
      <c r="AA182" t="s">
        <v>984</v>
      </c>
      <c r="AB182" t="s">
        <v>984</v>
      </c>
      <c r="AC182" t="s">
        <v>82</v>
      </c>
      <c r="AD182" t="s">
        <v>83</v>
      </c>
      <c r="AE182" t="s">
        <v>66</v>
      </c>
      <c r="AF182" t="s">
        <v>876</v>
      </c>
    </row>
    <row r="183" spans="1:32">
      <c r="A183" t="s">
        <v>1212</v>
      </c>
      <c r="B183" t="s">
        <v>162</v>
      </c>
      <c r="C183" t="s">
        <v>1213</v>
      </c>
      <c r="D183" t="s">
        <v>66</v>
      </c>
      <c r="E183" t="s">
        <v>67</v>
      </c>
      <c r="F183" t="s">
        <v>164</v>
      </c>
      <c r="G183" t="s">
        <v>165</v>
      </c>
      <c r="H183" t="s">
        <v>66</v>
      </c>
      <c r="I183" t="s">
        <v>66</v>
      </c>
      <c r="J183" t="s">
        <v>67</v>
      </c>
      <c r="K183" t="s">
        <v>71</v>
      </c>
      <c r="L183" t="s">
        <v>72</v>
      </c>
      <c r="M183" t="s">
        <v>73</v>
      </c>
      <c r="N183" t="s">
        <v>66</v>
      </c>
      <c r="O183" t="s">
        <v>73</v>
      </c>
      <c r="P183" t="s">
        <v>66</v>
      </c>
      <c r="Q183" t="s">
        <v>979</v>
      </c>
      <c r="R183" t="s">
        <v>73</v>
      </c>
      <c r="S183" t="s">
        <v>979</v>
      </c>
      <c r="T183" t="s">
        <v>1214</v>
      </c>
      <c r="U183" t="s">
        <v>1215</v>
      </c>
      <c r="V183" t="s">
        <v>982</v>
      </c>
      <c r="W183" t="s">
        <v>66</v>
      </c>
      <c r="X183" t="s">
        <v>78</v>
      </c>
      <c r="Y183" t="s">
        <v>1216</v>
      </c>
      <c r="Z183" t="s">
        <v>182</v>
      </c>
      <c r="AA183" t="s">
        <v>984</v>
      </c>
      <c r="AB183" t="s">
        <v>984</v>
      </c>
      <c r="AC183" t="s">
        <v>82</v>
      </c>
      <c r="AD183" t="s">
        <v>83</v>
      </c>
      <c r="AE183" t="s">
        <v>66</v>
      </c>
      <c r="AF183" t="s">
        <v>876</v>
      </c>
    </row>
    <row r="184" spans="1:32">
      <c r="A184" t="s">
        <v>1217</v>
      </c>
      <c r="B184" t="s">
        <v>986</v>
      </c>
      <c r="C184" t="s">
        <v>1218</v>
      </c>
      <c r="D184" t="s">
        <v>66</v>
      </c>
      <c r="E184" t="s">
        <v>67</v>
      </c>
      <c r="F184" t="s">
        <v>988</v>
      </c>
      <c r="G184" t="s">
        <v>989</v>
      </c>
      <c r="H184" t="s">
        <v>66</v>
      </c>
      <c r="I184" t="s">
        <v>66</v>
      </c>
      <c r="J184" t="s">
        <v>67</v>
      </c>
      <c r="K184" t="s">
        <v>71</v>
      </c>
      <c r="L184" t="s">
        <v>72</v>
      </c>
      <c r="M184" t="s">
        <v>73</v>
      </c>
      <c r="N184" t="s">
        <v>66</v>
      </c>
      <c r="O184" t="s">
        <v>73</v>
      </c>
      <c r="P184" t="s">
        <v>66</v>
      </c>
      <c r="Q184" t="s">
        <v>979</v>
      </c>
      <c r="R184" t="s">
        <v>73</v>
      </c>
      <c r="S184" t="s">
        <v>979</v>
      </c>
      <c r="T184" t="s">
        <v>1219</v>
      </c>
      <c r="U184" t="s">
        <v>1220</v>
      </c>
      <c r="V184" t="s">
        <v>982</v>
      </c>
      <c r="W184" t="s">
        <v>66</v>
      </c>
      <c r="X184" t="s">
        <v>78</v>
      </c>
      <c r="Y184" t="s">
        <v>1221</v>
      </c>
      <c r="Z184" t="s">
        <v>182</v>
      </c>
      <c r="AA184" t="s">
        <v>984</v>
      </c>
      <c r="AB184" t="s">
        <v>984</v>
      </c>
      <c r="AC184" t="s">
        <v>82</v>
      </c>
      <c r="AD184" t="s">
        <v>83</v>
      </c>
      <c r="AE184" t="s">
        <v>66</v>
      </c>
      <c r="AF184" t="s">
        <v>876</v>
      </c>
    </row>
    <row r="185" spans="1:32">
      <c r="A185" t="s">
        <v>1222</v>
      </c>
      <c r="B185" t="s">
        <v>1223</v>
      </c>
      <c r="C185" t="s">
        <v>1224</v>
      </c>
      <c r="D185" t="s">
        <v>66</v>
      </c>
      <c r="E185" t="s">
        <v>67</v>
      </c>
      <c r="F185" t="s">
        <v>988</v>
      </c>
      <c r="G185" t="s">
        <v>989</v>
      </c>
      <c r="H185" t="s">
        <v>66</v>
      </c>
      <c r="I185" t="s">
        <v>66</v>
      </c>
      <c r="J185" t="s">
        <v>67</v>
      </c>
      <c r="K185" t="s">
        <v>71</v>
      </c>
      <c r="L185" t="s">
        <v>72</v>
      </c>
      <c r="M185" t="s">
        <v>73</v>
      </c>
      <c r="N185" t="s">
        <v>66</v>
      </c>
      <c r="O185" t="s">
        <v>73</v>
      </c>
      <c r="P185" t="s">
        <v>66</v>
      </c>
      <c r="Q185" t="s">
        <v>979</v>
      </c>
      <c r="R185" t="s">
        <v>73</v>
      </c>
      <c r="S185" t="s">
        <v>979</v>
      </c>
      <c r="T185" t="s">
        <v>1225</v>
      </c>
      <c r="U185" t="s">
        <v>1226</v>
      </c>
      <c r="V185" t="s">
        <v>982</v>
      </c>
      <c r="W185" t="s">
        <v>66</v>
      </c>
      <c r="X185" t="s">
        <v>78</v>
      </c>
      <c r="Y185" t="s">
        <v>1227</v>
      </c>
      <c r="Z185" t="s">
        <v>182</v>
      </c>
      <c r="AA185" t="s">
        <v>984</v>
      </c>
      <c r="AB185" t="s">
        <v>984</v>
      </c>
      <c r="AC185" t="s">
        <v>82</v>
      </c>
      <c r="AD185" t="s">
        <v>83</v>
      </c>
      <c r="AE185" t="s">
        <v>66</v>
      </c>
      <c r="AF185" t="s">
        <v>876</v>
      </c>
    </row>
    <row r="186" spans="1:32">
      <c r="A186" t="s">
        <v>1228</v>
      </c>
      <c r="B186" t="s">
        <v>1229</v>
      </c>
      <c r="C186" t="s">
        <v>1230</v>
      </c>
      <c r="D186" t="s">
        <v>66</v>
      </c>
      <c r="E186" t="s">
        <v>67</v>
      </c>
      <c r="F186" t="s">
        <v>68</v>
      </c>
      <c r="G186" t="s">
        <v>69</v>
      </c>
      <c r="H186" t="s">
        <v>66</v>
      </c>
      <c r="I186" t="s">
        <v>66</v>
      </c>
      <c r="J186" t="s">
        <v>67</v>
      </c>
      <c r="K186" t="s">
        <v>71</v>
      </c>
      <c r="L186" t="s">
        <v>72</v>
      </c>
      <c r="M186" t="s">
        <v>73</v>
      </c>
      <c r="N186" t="s">
        <v>66</v>
      </c>
      <c r="O186" t="s">
        <v>73</v>
      </c>
      <c r="P186" t="s">
        <v>66</v>
      </c>
      <c r="Q186" t="s">
        <v>979</v>
      </c>
      <c r="R186" t="s">
        <v>73</v>
      </c>
      <c r="S186" t="s">
        <v>979</v>
      </c>
      <c r="T186" t="s">
        <v>1231</v>
      </c>
      <c r="U186" t="s">
        <v>1232</v>
      </c>
      <c r="V186" t="s">
        <v>982</v>
      </c>
      <c r="W186" t="s">
        <v>66</v>
      </c>
      <c r="X186" t="s">
        <v>78</v>
      </c>
      <c r="Y186" t="s">
        <v>1233</v>
      </c>
      <c r="Z186" t="s">
        <v>182</v>
      </c>
      <c r="AA186" t="s">
        <v>984</v>
      </c>
      <c r="AB186" t="s">
        <v>984</v>
      </c>
      <c r="AC186" t="s">
        <v>82</v>
      </c>
      <c r="AD186" t="s">
        <v>83</v>
      </c>
      <c r="AE186" t="s">
        <v>66</v>
      </c>
      <c r="AF186" t="s">
        <v>876</v>
      </c>
    </row>
    <row r="187" spans="1:32">
      <c r="A187" t="s">
        <v>1234</v>
      </c>
      <c r="B187" t="s">
        <v>162</v>
      </c>
      <c r="C187" t="s">
        <v>1235</v>
      </c>
      <c r="D187" t="s">
        <v>66</v>
      </c>
      <c r="E187" t="s">
        <v>67</v>
      </c>
      <c r="F187" t="s">
        <v>164</v>
      </c>
      <c r="G187" t="s">
        <v>165</v>
      </c>
      <c r="H187" t="s">
        <v>66</v>
      </c>
      <c r="I187" t="s">
        <v>66</v>
      </c>
      <c r="J187" t="s">
        <v>67</v>
      </c>
      <c r="K187" t="s">
        <v>71</v>
      </c>
      <c r="L187" t="s">
        <v>72</v>
      </c>
      <c r="M187" t="s">
        <v>73</v>
      </c>
      <c r="N187" t="s">
        <v>66</v>
      </c>
      <c r="O187" t="s">
        <v>73</v>
      </c>
      <c r="P187" t="s">
        <v>66</v>
      </c>
      <c r="Q187" t="s">
        <v>979</v>
      </c>
      <c r="R187" t="s">
        <v>73</v>
      </c>
      <c r="S187" t="s">
        <v>979</v>
      </c>
      <c r="T187" t="s">
        <v>1236</v>
      </c>
      <c r="U187" t="s">
        <v>1237</v>
      </c>
      <c r="V187" t="s">
        <v>982</v>
      </c>
      <c r="W187" t="s">
        <v>66</v>
      </c>
      <c r="X187" t="s">
        <v>78</v>
      </c>
      <c r="Y187" t="s">
        <v>1238</v>
      </c>
      <c r="Z187" t="s">
        <v>182</v>
      </c>
      <c r="AA187" t="s">
        <v>984</v>
      </c>
      <c r="AB187" t="s">
        <v>984</v>
      </c>
      <c r="AC187" t="s">
        <v>82</v>
      </c>
      <c r="AD187" t="s">
        <v>83</v>
      </c>
      <c r="AE187" t="s">
        <v>66</v>
      </c>
      <c r="AF187" t="s">
        <v>876</v>
      </c>
    </row>
    <row r="188" spans="1:32">
      <c r="A188" t="s">
        <v>1239</v>
      </c>
      <c r="B188" t="s">
        <v>1041</v>
      </c>
      <c r="C188" t="s">
        <v>1240</v>
      </c>
      <c r="D188" t="s">
        <v>1240</v>
      </c>
      <c r="E188" t="s">
        <v>109</v>
      </c>
      <c r="F188" t="s">
        <v>68</v>
      </c>
      <c r="G188" t="s">
        <v>69</v>
      </c>
      <c r="H188" t="s">
        <v>66</v>
      </c>
      <c r="I188" t="s">
        <v>66</v>
      </c>
      <c r="J188" t="s">
        <v>67</v>
      </c>
      <c r="K188" t="s">
        <v>71</v>
      </c>
      <c r="L188" t="s">
        <v>72</v>
      </c>
      <c r="M188" t="s">
        <v>73</v>
      </c>
      <c r="N188" t="s">
        <v>66</v>
      </c>
      <c r="O188" t="s">
        <v>73</v>
      </c>
      <c r="P188" t="s">
        <v>66</v>
      </c>
      <c r="Q188" t="s">
        <v>979</v>
      </c>
      <c r="R188" t="s">
        <v>73</v>
      </c>
      <c r="S188" t="s">
        <v>979</v>
      </c>
      <c r="T188" t="s">
        <v>1241</v>
      </c>
      <c r="U188" t="s">
        <v>1242</v>
      </c>
      <c r="V188" t="s">
        <v>982</v>
      </c>
      <c r="W188" t="s">
        <v>66</v>
      </c>
      <c r="X188" t="s">
        <v>78</v>
      </c>
      <c r="Y188" t="s">
        <v>1243</v>
      </c>
      <c r="Z188" t="s">
        <v>182</v>
      </c>
      <c r="AA188" t="s">
        <v>984</v>
      </c>
      <c r="AB188" t="s">
        <v>984</v>
      </c>
      <c r="AC188" t="s">
        <v>82</v>
      </c>
      <c r="AD188" t="s">
        <v>83</v>
      </c>
      <c r="AE188" t="s">
        <v>66</v>
      </c>
      <c r="AF188" t="s">
        <v>876</v>
      </c>
    </row>
    <row r="189" spans="1:32">
      <c r="A189" t="s">
        <v>1244</v>
      </c>
      <c r="B189" t="s">
        <v>173</v>
      </c>
      <c r="C189" t="s">
        <v>1245</v>
      </c>
      <c r="D189" t="s">
        <v>66</v>
      </c>
      <c r="E189" t="s">
        <v>67</v>
      </c>
      <c r="F189" t="s">
        <v>175</v>
      </c>
      <c r="G189" t="s">
        <v>176</v>
      </c>
      <c r="H189" t="s">
        <v>66</v>
      </c>
      <c r="I189" t="s">
        <v>66</v>
      </c>
      <c r="J189" t="s">
        <v>67</v>
      </c>
      <c r="K189" t="s">
        <v>71</v>
      </c>
      <c r="L189" t="s">
        <v>72</v>
      </c>
      <c r="M189" t="s">
        <v>73</v>
      </c>
      <c r="N189" t="s">
        <v>66</v>
      </c>
      <c r="O189" t="s">
        <v>73</v>
      </c>
      <c r="P189" t="s">
        <v>66</v>
      </c>
      <c r="Q189" t="s">
        <v>979</v>
      </c>
      <c r="R189" t="s">
        <v>73</v>
      </c>
      <c r="S189" t="s">
        <v>979</v>
      </c>
      <c r="T189" t="s">
        <v>1246</v>
      </c>
      <c r="U189" t="s">
        <v>1247</v>
      </c>
      <c r="V189" t="s">
        <v>982</v>
      </c>
      <c r="W189" t="s">
        <v>66</v>
      </c>
      <c r="X189" t="s">
        <v>78</v>
      </c>
      <c r="Y189" t="s">
        <v>1248</v>
      </c>
      <c r="Z189" t="s">
        <v>182</v>
      </c>
      <c r="AA189" t="s">
        <v>984</v>
      </c>
      <c r="AB189" t="s">
        <v>984</v>
      </c>
      <c r="AC189" t="s">
        <v>82</v>
      </c>
      <c r="AD189" t="s">
        <v>83</v>
      </c>
      <c r="AE189" t="s">
        <v>66</v>
      </c>
      <c r="AF189" t="s">
        <v>876</v>
      </c>
    </row>
    <row r="190" spans="1:32">
      <c r="A190" t="s">
        <v>1249</v>
      </c>
      <c r="B190" t="s">
        <v>1123</v>
      </c>
      <c r="C190" t="s">
        <v>1250</v>
      </c>
      <c r="D190" t="s">
        <v>66</v>
      </c>
      <c r="E190" t="s">
        <v>67</v>
      </c>
      <c r="F190" t="s">
        <v>68</v>
      </c>
      <c r="G190" t="s">
        <v>69</v>
      </c>
      <c r="H190" t="s">
        <v>66</v>
      </c>
      <c r="I190" t="s">
        <v>66</v>
      </c>
      <c r="J190" t="s">
        <v>67</v>
      </c>
      <c r="K190" t="s">
        <v>71</v>
      </c>
      <c r="L190" t="s">
        <v>72</v>
      </c>
      <c r="M190" t="s">
        <v>73</v>
      </c>
      <c r="N190" t="s">
        <v>66</v>
      </c>
      <c r="O190" t="s">
        <v>73</v>
      </c>
      <c r="P190" t="s">
        <v>66</v>
      </c>
      <c r="Q190" t="s">
        <v>979</v>
      </c>
      <c r="R190" t="s">
        <v>73</v>
      </c>
      <c r="S190" t="s">
        <v>979</v>
      </c>
      <c r="T190" t="s">
        <v>1251</v>
      </c>
      <c r="U190" t="s">
        <v>1252</v>
      </c>
      <c r="V190" t="s">
        <v>982</v>
      </c>
      <c r="W190" t="s">
        <v>66</v>
      </c>
      <c r="X190" t="s">
        <v>78</v>
      </c>
      <c r="Y190" t="s">
        <v>1253</v>
      </c>
      <c r="Z190" t="s">
        <v>182</v>
      </c>
      <c r="AA190" t="s">
        <v>984</v>
      </c>
      <c r="AB190" t="s">
        <v>984</v>
      </c>
      <c r="AC190" t="s">
        <v>82</v>
      </c>
      <c r="AD190" t="s">
        <v>83</v>
      </c>
      <c r="AE190" t="s">
        <v>66</v>
      </c>
      <c r="AF190" t="s">
        <v>876</v>
      </c>
    </row>
    <row r="191" spans="1:32">
      <c r="A191" t="s">
        <v>1254</v>
      </c>
      <c r="B191" t="s">
        <v>308</v>
      </c>
      <c r="C191" t="s">
        <v>1255</v>
      </c>
      <c r="D191" t="s">
        <v>1255</v>
      </c>
      <c r="E191" t="s">
        <v>109</v>
      </c>
      <c r="F191" t="s">
        <v>110</v>
      </c>
      <c r="G191" t="s">
        <v>111</v>
      </c>
      <c r="H191" t="s">
        <v>66</v>
      </c>
      <c r="I191" t="s">
        <v>66</v>
      </c>
      <c r="J191" t="s">
        <v>67</v>
      </c>
      <c r="K191" t="s">
        <v>71</v>
      </c>
      <c r="L191" t="s">
        <v>72</v>
      </c>
      <c r="M191" t="s">
        <v>73</v>
      </c>
      <c r="N191" t="s">
        <v>66</v>
      </c>
      <c r="O191" t="s">
        <v>73</v>
      </c>
      <c r="P191" t="s">
        <v>66</v>
      </c>
      <c r="Q191" t="s">
        <v>979</v>
      </c>
      <c r="R191" t="s">
        <v>73</v>
      </c>
      <c r="S191" t="s">
        <v>979</v>
      </c>
      <c r="T191" t="s">
        <v>1256</v>
      </c>
      <c r="U191" t="s">
        <v>1257</v>
      </c>
      <c r="V191" t="s">
        <v>982</v>
      </c>
      <c r="W191" t="s">
        <v>66</v>
      </c>
      <c r="X191" t="s">
        <v>78</v>
      </c>
      <c r="Y191" t="s">
        <v>1258</v>
      </c>
      <c r="Z191" t="s">
        <v>182</v>
      </c>
      <c r="AA191" t="s">
        <v>984</v>
      </c>
      <c r="AB191" t="s">
        <v>984</v>
      </c>
      <c r="AC191" t="s">
        <v>82</v>
      </c>
      <c r="AD191" t="s">
        <v>83</v>
      </c>
      <c r="AE191" t="s">
        <v>66</v>
      </c>
      <c r="AF191" t="s">
        <v>876</v>
      </c>
    </row>
    <row r="192" spans="1:32">
      <c r="A192" t="s">
        <v>1259</v>
      </c>
      <c r="B192" t="s">
        <v>1058</v>
      </c>
      <c r="C192" t="s">
        <v>1260</v>
      </c>
      <c r="D192" t="s">
        <v>1260</v>
      </c>
      <c r="E192" t="s">
        <v>109</v>
      </c>
      <c r="F192" t="s">
        <v>110</v>
      </c>
      <c r="G192" t="s">
        <v>111</v>
      </c>
      <c r="H192" t="s">
        <v>66</v>
      </c>
      <c r="I192" t="s">
        <v>66</v>
      </c>
      <c r="J192" t="s">
        <v>67</v>
      </c>
      <c r="K192" t="s">
        <v>71</v>
      </c>
      <c r="L192" t="s">
        <v>72</v>
      </c>
      <c r="M192" t="s">
        <v>73</v>
      </c>
      <c r="N192" t="s">
        <v>66</v>
      </c>
      <c r="O192" t="s">
        <v>73</v>
      </c>
      <c r="P192" t="s">
        <v>66</v>
      </c>
      <c r="Q192" t="s">
        <v>979</v>
      </c>
      <c r="R192" t="s">
        <v>73</v>
      </c>
      <c r="S192" t="s">
        <v>979</v>
      </c>
      <c r="T192" t="s">
        <v>1261</v>
      </c>
      <c r="U192" t="s">
        <v>1262</v>
      </c>
      <c r="V192" t="s">
        <v>982</v>
      </c>
      <c r="W192" t="s">
        <v>66</v>
      </c>
      <c r="X192" t="s">
        <v>78</v>
      </c>
      <c r="Y192" t="s">
        <v>1263</v>
      </c>
      <c r="Z192" t="s">
        <v>182</v>
      </c>
      <c r="AA192" t="s">
        <v>984</v>
      </c>
      <c r="AB192" t="s">
        <v>984</v>
      </c>
      <c r="AC192" t="s">
        <v>82</v>
      </c>
      <c r="AD192" t="s">
        <v>83</v>
      </c>
      <c r="AE192" t="s">
        <v>66</v>
      </c>
      <c r="AF192" t="s">
        <v>876</v>
      </c>
    </row>
    <row r="193" spans="1:32">
      <c r="A193" t="s">
        <v>1264</v>
      </c>
      <c r="B193" t="s">
        <v>841</v>
      </c>
      <c r="C193" t="s">
        <v>1265</v>
      </c>
      <c r="D193" t="s">
        <v>1265</v>
      </c>
      <c r="E193" t="s">
        <v>109</v>
      </c>
      <c r="F193" t="s">
        <v>110</v>
      </c>
      <c r="G193" t="s">
        <v>111</v>
      </c>
      <c r="H193" t="s">
        <v>66</v>
      </c>
      <c r="I193" t="s">
        <v>66</v>
      </c>
      <c r="J193" t="s">
        <v>67</v>
      </c>
      <c r="K193" t="s">
        <v>71</v>
      </c>
      <c r="L193" t="s">
        <v>72</v>
      </c>
      <c r="M193" t="s">
        <v>73</v>
      </c>
      <c r="N193" t="s">
        <v>66</v>
      </c>
      <c r="O193" t="s">
        <v>73</v>
      </c>
      <c r="P193" t="s">
        <v>66</v>
      </c>
      <c r="Q193" t="s">
        <v>979</v>
      </c>
      <c r="R193" t="s">
        <v>73</v>
      </c>
      <c r="S193" t="s">
        <v>979</v>
      </c>
      <c r="T193" t="s">
        <v>1266</v>
      </c>
      <c r="U193" t="s">
        <v>1267</v>
      </c>
      <c r="V193" t="s">
        <v>982</v>
      </c>
      <c r="W193" t="s">
        <v>66</v>
      </c>
      <c r="X193" t="s">
        <v>78</v>
      </c>
      <c r="Y193" t="s">
        <v>1268</v>
      </c>
      <c r="Z193" t="s">
        <v>182</v>
      </c>
      <c r="AA193" t="s">
        <v>984</v>
      </c>
      <c r="AB193" t="s">
        <v>984</v>
      </c>
      <c r="AC193" t="s">
        <v>82</v>
      </c>
      <c r="AD193" t="s">
        <v>83</v>
      </c>
      <c r="AE193" t="s">
        <v>66</v>
      </c>
      <c r="AF193" t="s">
        <v>876</v>
      </c>
    </row>
    <row r="194" spans="1:32">
      <c r="A194" t="s">
        <v>1269</v>
      </c>
      <c r="B194" t="s">
        <v>162</v>
      </c>
      <c r="C194" t="s">
        <v>1270</v>
      </c>
      <c r="D194" t="s">
        <v>66</v>
      </c>
      <c r="E194" t="s">
        <v>67</v>
      </c>
      <c r="F194" t="s">
        <v>164</v>
      </c>
      <c r="G194" t="s">
        <v>165</v>
      </c>
      <c r="H194" t="s">
        <v>66</v>
      </c>
      <c r="I194" t="s">
        <v>66</v>
      </c>
      <c r="J194" t="s">
        <v>67</v>
      </c>
      <c r="K194" t="s">
        <v>71</v>
      </c>
      <c r="L194" t="s">
        <v>72</v>
      </c>
      <c r="M194" t="s">
        <v>73</v>
      </c>
      <c r="N194" t="s">
        <v>66</v>
      </c>
      <c r="O194" t="s">
        <v>73</v>
      </c>
      <c r="P194" t="s">
        <v>66</v>
      </c>
      <c r="Q194" t="s">
        <v>979</v>
      </c>
      <c r="R194" t="s">
        <v>73</v>
      </c>
      <c r="S194" t="s">
        <v>979</v>
      </c>
      <c r="T194" t="s">
        <v>1271</v>
      </c>
      <c r="U194" t="s">
        <v>1272</v>
      </c>
      <c r="V194" t="s">
        <v>982</v>
      </c>
      <c r="W194" t="s">
        <v>66</v>
      </c>
      <c r="X194" t="s">
        <v>78</v>
      </c>
      <c r="Y194" t="s">
        <v>1273</v>
      </c>
      <c r="Z194" t="s">
        <v>182</v>
      </c>
      <c r="AA194" t="s">
        <v>984</v>
      </c>
      <c r="AB194" t="s">
        <v>984</v>
      </c>
      <c r="AC194" t="s">
        <v>82</v>
      </c>
      <c r="AD194" t="s">
        <v>83</v>
      </c>
      <c r="AE194" t="s">
        <v>66</v>
      </c>
      <c r="AF194" t="s">
        <v>876</v>
      </c>
    </row>
    <row r="195" spans="1:32">
      <c r="A195" t="s">
        <v>1274</v>
      </c>
      <c r="B195" t="s">
        <v>1275</v>
      </c>
      <c r="C195" t="s">
        <v>1276</v>
      </c>
      <c r="D195" t="s">
        <v>66</v>
      </c>
      <c r="E195" t="s">
        <v>67</v>
      </c>
      <c r="F195" t="s">
        <v>68</v>
      </c>
      <c r="G195" t="s">
        <v>69</v>
      </c>
      <c r="H195" t="s">
        <v>66</v>
      </c>
      <c r="I195" t="s">
        <v>66</v>
      </c>
      <c r="J195" t="s">
        <v>67</v>
      </c>
      <c r="K195" t="s">
        <v>71</v>
      </c>
      <c r="L195" t="s">
        <v>72</v>
      </c>
      <c r="M195" t="s">
        <v>73</v>
      </c>
      <c r="N195" t="s">
        <v>66</v>
      </c>
      <c r="O195" t="s">
        <v>73</v>
      </c>
      <c r="P195" t="s">
        <v>66</v>
      </c>
      <c r="Q195" t="s">
        <v>979</v>
      </c>
      <c r="R195" t="s">
        <v>73</v>
      </c>
      <c r="S195" t="s">
        <v>979</v>
      </c>
      <c r="T195" t="s">
        <v>1277</v>
      </c>
      <c r="U195" t="s">
        <v>1278</v>
      </c>
      <c r="V195" t="s">
        <v>982</v>
      </c>
      <c r="W195" t="s">
        <v>66</v>
      </c>
      <c r="X195" t="s">
        <v>78</v>
      </c>
      <c r="Y195" t="s">
        <v>1279</v>
      </c>
      <c r="Z195" t="s">
        <v>182</v>
      </c>
      <c r="AA195" t="s">
        <v>984</v>
      </c>
      <c r="AB195" t="s">
        <v>984</v>
      </c>
      <c r="AC195" t="s">
        <v>82</v>
      </c>
      <c r="AD195" t="s">
        <v>83</v>
      </c>
      <c r="AE195" t="s">
        <v>66</v>
      </c>
      <c r="AF195" t="s">
        <v>876</v>
      </c>
    </row>
    <row r="196" spans="1:32">
      <c r="A196" t="s">
        <v>1280</v>
      </c>
      <c r="B196" t="s">
        <v>841</v>
      </c>
      <c r="C196" t="s">
        <v>1281</v>
      </c>
      <c r="D196" t="s">
        <v>1281</v>
      </c>
      <c r="E196" t="s">
        <v>109</v>
      </c>
      <c r="F196" t="s">
        <v>110</v>
      </c>
      <c r="G196" t="s">
        <v>111</v>
      </c>
      <c r="H196" t="s">
        <v>66</v>
      </c>
      <c r="I196" t="s">
        <v>66</v>
      </c>
      <c r="J196" t="s">
        <v>67</v>
      </c>
      <c r="K196" t="s">
        <v>71</v>
      </c>
      <c r="L196" t="s">
        <v>72</v>
      </c>
      <c r="M196" t="s">
        <v>73</v>
      </c>
      <c r="N196" t="s">
        <v>66</v>
      </c>
      <c r="O196" t="s">
        <v>73</v>
      </c>
      <c r="P196" t="s">
        <v>66</v>
      </c>
      <c r="Q196" t="s">
        <v>979</v>
      </c>
      <c r="R196" t="s">
        <v>73</v>
      </c>
      <c r="S196" t="s">
        <v>979</v>
      </c>
      <c r="T196" t="s">
        <v>1282</v>
      </c>
      <c r="U196" t="s">
        <v>1283</v>
      </c>
      <c r="V196" t="s">
        <v>982</v>
      </c>
      <c r="W196" t="s">
        <v>66</v>
      </c>
      <c r="X196" t="s">
        <v>78</v>
      </c>
      <c r="Y196" t="s">
        <v>1284</v>
      </c>
      <c r="Z196" t="s">
        <v>182</v>
      </c>
      <c r="AA196" t="s">
        <v>984</v>
      </c>
      <c r="AB196" t="s">
        <v>984</v>
      </c>
      <c r="AC196" t="s">
        <v>82</v>
      </c>
      <c r="AD196" t="s">
        <v>83</v>
      </c>
      <c r="AE196" t="s">
        <v>66</v>
      </c>
      <c r="AF196" t="s">
        <v>876</v>
      </c>
    </row>
    <row r="197" spans="1:32">
      <c r="A197" t="s">
        <v>1285</v>
      </c>
      <c r="B197" t="s">
        <v>986</v>
      </c>
      <c r="C197" t="s">
        <v>1286</v>
      </c>
      <c r="D197" t="s">
        <v>66</v>
      </c>
      <c r="E197" t="s">
        <v>67</v>
      </c>
      <c r="F197" t="s">
        <v>988</v>
      </c>
      <c r="G197" t="s">
        <v>989</v>
      </c>
      <c r="H197" t="s">
        <v>66</v>
      </c>
      <c r="I197" t="s">
        <v>66</v>
      </c>
      <c r="J197" t="s">
        <v>67</v>
      </c>
      <c r="K197" t="s">
        <v>71</v>
      </c>
      <c r="L197" t="s">
        <v>72</v>
      </c>
      <c r="M197" t="s">
        <v>73</v>
      </c>
      <c r="N197" t="s">
        <v>66</v>
      </c>
      <c r="O197" t="s">
        <v>73</v>
      </c>
      <c r="P197" t="s">
        <v>66</v>
      </c>
      <c r="Q197" t="s">
        <v>979</v>
      </c>
      <c r="R197" t="s">
        <v>73</v>
      </c>
      <c r="S197" t="s">
        <v>979</v>
      </c>
      <c r="T197" t="s">
        <v>1287</v>
      </c>
      <c r="U197" t="s">
        <v>1288</v>
      </c>
      <c r="V197" t="s">
        <v>982</v>
      </c>
      <c r="W197" t="s">
        <v>66</v>
      </c>
      <c r="X197" t="s">
        <v>78</v>
      </c>
      <c r="Y197" t="s">
        <v>1289</v>
      </c>
      <c r="Z197" t="s">
        <v>182</v>
      </c>
      <c r="AA197" t="s">
        <v>984</v>
      </c>
      <c r="AB197" t="s">
        <v>984</v>
      </c>
      <c r="AC197" t="s">
        <v>82</v>
      </c>
      <c r="AD197" t="s">
        <v>83</v>
      </c>
      <c r="AE197" t="s">
        <v>66</v>
      </c>
      <c r="AF197" t="s">
        <v>876</v>
      </c>
    </row>
    <row r="198" spans="1:32">
      <c r="A198" t="s">
        <v>1290</v>
      </c>
      <c r="B198" t="s">
        <v>1291</v>
      </c>
      <c r="C198" t="s">
        <v>1292</v>
      </c>
      <c r="D198" t="s">
        <v>1292</v>
      </c>
      <c r="E198" t="s">
        <v>109</v>
      </c>
      <c r="F198" t="s">
        <v>110</v>
      </c>
      <c r="G198" t="s">
        <v>111</v>
      </c>
      <c r="H198" t="s">
        <v>66</v>
      </c>
      <c r="I198" t="s">
        <v>66</v>
      </c>
      <c r="J198" t="s">
        <v>67</v>
      </c>
      <c r="K198" t="s">
        <v>71</v>
      </c>
      <c r="L198" t="s">
        <v>72</v>
      </c>
      <c r="M198" t="s">
        <v>73</v>
      </c>
      <c r="N198" t="s">
        <v>66</v>
      </c>
      <c r="O198" t="s">
        <v>73</v>
      </c>
      <c r="P198" t="s">
        <v>66</v>
      </c>
      <c r="Q198" t="s">
        <v>979</v>
      </c>
      <c r="R198" t="s">
        <v>73</v>
      </c>
      <c r="S198" t="s">
        <v>979</v>
      </c>
      <c r="T198" t="s">
        <v>1293</v>
      </c>
      <c r="U198" t="s">
        <v>1294</v>
      </c>
      <c r="V198" t="s">
        <v>982</v>
      </c>
      <c r="W198" t="s">
        <v>66</v>
      </c>
      <c r="X198" t="s">
        <v>78</v>
      </c>
      <c r="Y198" t="s">
        <v>1295</v>
      </c>
      <c r="Z198" t="s">
        <v>182</v>
      </c>
      <c r="AA198" t="s">
        <v>984</v>
      </c>
      <c r="AB198" t="s">
        <v>984</v>
      </c>
      <c r="AC198" t="s">
        <v>82</v>
      </c>
      <c r="AD198" t="s">
        <v>83</v>
      </c>
      <c r="AE198" t="s">
        <v>66</v>
      </c>
      <c r="AF198" t="s">
        <v>876</v>
      </c>
    </row>
    <row r="199" spans="1:32">
      <c r="A199" t="s">
        <v>1296</v>
      </c>
      <c r="B199" t="s">
        <v>841</v>
      </c>
      <c r="C199" t="s">
        <v>1297</v>
      </c>
      <c r="D199" t="s">
        <v>1297</v>
      </c>
      <c r="E199" t="s">
        <v>109</v>
      </c>
      <c r="F199" t="s">
        <v>110</v>
      </c>
      <c r="G199" t="s">
        <v>111</v>
      </c>
      <c r="H199" t="s">
        <v>66</v>
      </c>
      <c r="I199" t="s">
        <v>66</v>
      </c>
      <c r="J199" t="s">
        <v>67</v>
      </c>
      <c r="K199" t="s">
        <v>71</v>
      </c>
      <c r="L199" t="s">
        <v>72</v>
      </c>
      <c r="M199" t="s">
        <v>73</v>
      </c>
      <c r="N199" t="s">
        <v>66</v>
      </c>
      <c r="O199" t="s">
        <v>73</v>
      </c>
      <c r="P199" t="s">
        <v>66</v>
      </c>
      <c r="Q199" t="s">
        <v>979</v>
      </c>
      <c r="R199" t="s">
        <v>73</v>
      </c>
      <c r="S199" t="s">
        <v>979</v>
      </c>
      <c r="T199" t="s">
        <v>1298</v>
      </c>
      <c r="U199" t="s">
        <v>1299</v>
      </c>
      <c r="V199" t="s">
        <v>982</v>
      </c>
      <c r="W199" t="s">
        <v>66</v>
      </c>
      <c r="X199" t="s">
        <v>78</v>
      </c>
      <c r="Y199" t="s">
        <v>1300</v>
      </c>
      <c r="Z199" t="s">
        <v>182</v>
      </c>
      <c r="AA199" t="s">
        <v>984</v>
      </c>
      <c r="AB199" t="s">
        <v>984</v>
      </c>
      <c r="AC199" t="s">
        <v>82</v>
      </c>
      <c r="AD199" t="s">
        <v>83</v>
      </c>
      <c r="AE199" t="s">
        <v>66</v>
      </c>
      <c r="AF199" t="s">
        <v>876</v>
      </c>
    </row>
    <row r="200" spans="1:32">
      <c r="A200" t="s">
        <v>1301</v>
      </c>
      <c r="B200" t="s">
        <v>841</v>
      </c>
      <c r="C200" t="s">
        <v>1302</v>
      </c>
      <c r="D200" t="s">
        <v>1302</v>
      </c>
      <c r="E200" t="s">
        <v>109</v>
      </c>
      <c r="F200" t="s">
        <v>110</v>
      </c>
      <c r="G200" t="s">
        <v>111</v>
      </c>
      <c r="H200" t="s">
        <v>66</v>
      </c>
      <c r="I200" t="s">
        <v>66</v>
      </c>
      <c r="J200" t="s">
        <v>67</v>
      </c>
      <c r="K200" t="s">
        <v>71</v>
      </c>
      <c r="L200" t="s">
        <v>72</v>
      </c>
      <c r="M200" t="s">
        <v>73</v>
      </c>
      <c r="N200" t="s">
        <v>66</v>
      </c>
      <c r="O200" t="s">
        <v>73</v>
      </c>
      <c r="P200" t="s">
        <v>66</v>
      </c>
      <c r="Q200" t="s">
        <v>979</v>
      </c>
      <c r="R200" t="s">
        <v>73</v>
      </c>
      <c r="S200" t="s">
        <v>979</v>
      </c>
      <c r="T200" t="s">
        <v>1303</v>
      </c>
      <c r="U200" t="s">
        <v>1304</v>
      </c>
      <c r="V200" t="s">
        <v>982</v>
      </c>
      <c r="W200" t="s">
        <v>66</v>
      </c>
      <c r="X200" t="s">
        <v>78</v>
      </c>
      <c r="Y200" t="s">
        <v>1305</v>
      </c>
      <c r="Z200" t="s">
        <v>182</v>
      </c>
      <c r="AA200" t="s">
        <v>984</v>
      </c>
      <c r="AB200" t="s">
        <v>984</v>
      </c>
      <c r="AC200" t="s">
        <v>82</v>
      </c>
      <c r="AD200" t="s">
        <v>83</v>
      </c>
      <c r="AE200" t="s">
        <v>66</v>
      </c>
      <c r="AF200" t="s">
        <v>876</v>
      </c>
    </row>
    <row r="201" spans="1:32">
      <c r="A201" t="s">
        <v>1306</v>
      </c>
      <c r="B201" t="s">
        <v>1307</v>
      </c>
      <c r="C201" t="s">
        <v>1308</v>
      </c>
      <c r="D201" t="s">
        <v>66</v>
      </c>
      <c r="E201" t="s">
        <v>67</v>
      </c>
      <c r="F201" t="s">
        <v>68</v>
      </c>
      <c r="G201" t="s">
        <v>69</v>
      </c>
      <c r="H201" t="s">
        <v>66</v>
      </c>
      <c r="I201" t="s">
        <v>66</v>
      </c>
      <c r="J201" t="s">
        <v>67</v>
      </c>
      <c r="K201" t="s">
        <v>71</v>
      </c>
      <c r="L201" t="s">
        <v>72</v>
      </c>
      <c r="M201" t="s">
        <v>73</v>
      </c>
      <c r="N201" t="s">
        <v>66</v>
      </c>
      <c r="O201" t="s">
        <v>73</v>
      </c>
      <c r="P201" t="s">
        <v>66</v>
      </c>
      <c r="Q201" t="s">
        <v>979</v>
      </c>
      <c r="R201" t="s">
        <v>73</v>
      </c>
      <c r="S201" t="s">
        <v>979</v>
      </c>
      <c r="T201" t="s">
        <v>1309</v>
      </c>
      <c r="U201" t="s">
        <v>1310</v>
      </c>
      <c r="V201" t="s">
        <v>982</v>
      </c>
      <c r="W201" t="s">
        <v>66</v>
      </c>
      <c r="X201" t="s">
        <v>78</v>
      </c>
      <c r="Y201" t="s">
        <v>1311</v>
      </c>
      <c r="Z201" t="s">
        <v>182</v>
      </c>
      <c r="AA201" t="s">
        <v>984</v>
      </c>
      <c r="AB201" t="s">
        <v>984</v>
      </c>
      <c r="AC201" t="s">
        <v>82</v>
      </c>
      <c r="AD201" t="s">
        <v>83</v>
      </c>
      <c r="AE201" t="s">
        <v>66</v>
      </c>
      <c r="AF201" t="s">
        <v>876</v>
      </c>
    </row>
    <row r="202" spans="1:32">
      <c r="A202" t="s">
        <v>1312</v>
      </c>
      <c r="B202" t="s">
        <v>1313</v>
      </c>
      <c r="C202" t="s">
        <v>1314</v>
      </c>
      <c r="D202" t="s">
        <v>66</v>
      </c>
      <c r="E202" t="s">
        <v>67</v>
      </c>
      <c r="F202" t="s">
        <v>68</v>
      </c>
      <c r="G202" t="s">
        <v>69</v>
      </c>
      <c r="H202" t="s">
        <v>66</v>
      </c>
      <c r="I202" t="s">
        <v>66</v>
      </c>
      <c r="J202" t="s">
        <v>67</v>
      </c>
      <c r="K202" t="s">
        <v>71</v>
      </c>
      <c r="L202" t="s">
        <v>72</v>
      </c>
      <c r="M202" t="s">
        <v>73</v>
      </c>
      <c r="N202" t="s">
        <v>66</v>
      </c>
      <c r="O202" t="s">
        <v>73</v>
      </c>
      <c r="P202" t="s">
        <v>66</v>
      </c>
      <c r="Q202" t="s">
        <v>979</v>
      </c>
      <c r="R202" t="s">
        <v>73</v>
      </c>
      <c r="S202" t="s">
        <v>979</v>
      </c>
      <c r="T202" t="s">
        <v>1315</v>
      </c>
      <c r="U202" t="s">
        <v>1316</v>
      </c>
      <c r="V202" t="s">
        <v>982</v>
      </c>
      <c r="W202" t="s">
        <v>66</v>
      </c>
      <c r="X202" t="s">
        <v>78</v>
      </c>
      <c r="Y202" t="s">
        <v>1317</v>
      </c>
      <c r="Z202" t="s">
        <v>182</v>
      </c>
      <c r="AA202" t="s">
        <v>984</v>
      </c>
      <c r="AB202" t="s">
        <v>984</v>
      </c>
      <c r="AC202" t="s">
        <v>82</v>
      </c>
      <c r="AD202" t="s">
        <v>83</v>
      </c>
      <c r="AE202" t="s">
        <v>66</v>
      </c>
      <c r="AF202" t="s">
        <v>876</v>
      </c>
    </row>
    <row r="203" spans="1:32">
      <c r="A203" t="s">
        <v>1318</v>
      </c>
      <c r="B203" t="s">
        <v>1319</v>
      </c>
      <c r="C203" t="s">
        <v>1320</v>
      </c>
      <c r="D203" t="s">
        <v>66</v>
      </c>
      <c r="E203" t="s">
        <v>67</v>
      </c>
      <c r="F203" t="s">
        <v>1321</v>
      </c>
      <c r="G203" t="s">
        <v>1322</v>
      </c>
      <c r="H203" t="s">
        <v>66</v>
      </c>
      <c r="I203" t="s">
        <v>66</v>
      </c>
      <c r="J203" t="s">
        <v>67</v>
      </c>
      <c r="K203" t="s">
        <v>71</v>
      </c>
      <c r="L203" t="s">
        <v>72</v>
      </c>
      <c r="M203" t="s">
        <v>73</v>
      </c>
      <c r="N203" t="s">
        <v>66</v>
      </c>
      <c r="O203" t="s">
        <v>73</v>
      </c>
      <c r="P203" t="s">
        <v>66</v>
      </c>
      <c r="Q203" t="s">
        <v>979</v>
      </c>
      <c r="R203" t="s">
        <v>73</v>
      </c>
      <c r="S203" t="s">
        <v>979</v>
      </c>
      <c r="T203" t="s">
        <v>1323</v>
      </c>
      <c r="U203" t="s">
        <v>1324</v>
      </c>
      <c r="V203" t="s">
        <v>982</v>
      </c>
      <c r="W203" t="s">
        <v>66</v>
      </c>
      <c r="X203" t="s">
        <v>78</v>
      </c>
      <c r="Y203" t="s">
        <v>1325</v>
      </c>
      <c r="Z203" t="s">
        <v>182</v>
      </c>
      <c r="AA203" t="s">
        <v>984</v>
      </c>
      <c r="AB203" t="s">
        <v>984</v>
      </c>
      <c r="AC203" t="s">
        <v>82</v>
      </c>
      <c r="AD203" t="s">
        <v>83</v>
      </c>
      <c r="AE203" t="s">
        <v>66</v>
      </c>
      <c r="AF203" t="s">
        <v>876</v>
      </c>
    </row>
    <row r="204" spans="1:32">
      <c r="A204" t="s">
        <v>1326</v>
      </c>
      <c r="B204" t="s">
        <v>107</v>
      </c>
      <c r="C204" t="s">
        <v>1327</v>
      </c>
      <c r="D204" t="s">
        <v>1327</v>
      </c>
      <c r="E204" t="s">
        <v>109</v>
      </c>
      <c r="F204" t="s">
        <v>110</v>
      </c>
      <c r="G204" t="s">
        <v>111</v>
      </c>
      <c r="H204" t="s">
        <v>66</v>
      </c>
      <c r="I204" t="s">
        <v>66</v>
      </c>
      <c r="J204" t="s">
        <v>67</v>
      </c>
      <c r="K204" t="s">
        <v>71</v>
      </c>
      <c r="L204" t="s">
        <v>72</v>
      </c>
      <c r="M204" t="s">
        <v>73</v>
      </c>
      <c r="N204" t="s">
        <v>66</v>
      </c>
      <c r="O204" t="s">
        <v>73</v>
      </c>
      <c r="P204" t="s">
        <v>66</v>
      </c>
      <c r="Q204" t="s">
        <v>979</v>
      </c>
      <c r="R204" t="s">
        <v>73</v>
      </c>
      <c r="S204" t="s">
        <v>979</v>
      </c>
      <c r="T204" t="s">
        <v>1328</v>
      </c>
      <c r="U204" t="s">
        <v>1329</v>
      </c>
      <c r="V204" t="s">
        <v>982</v>
      </c>
      <c r="W204" t="s">
        <v>66</v>
      </c>
      <c r="X204" t="s">
        <v>78</v>
      </c>
      <c r="Y204" t="s">
        <v>1330</v>
      </c>
      <c r="Z204" t="s">
        <v>182</v>
      </c>
      <c r="AA204" t="s">
        <v>984</v>
      </c>
      <c r="AB204" t="s">
        <v>984</v>
      </c>
      <c r="AC204" t="s">
        <v>82</v>
      </c>
      <c r="AD204" t="s">
        <v>83</v>
      </c>
      <c r="AE204" t="s">
        <v>66</v>
      </c>
      <c r="AF204" t="s">
        <v>876</v>
      </c>
    </row>
    <row r="205" spans="1:32">
      <c r="A205" t="s">
        <v>1331</v>
      </c>
      <c r="B205" t="s">
        <v>1332</v>
      </c>
      <c r="C205" t="s">
        <v>1333</v>
      </c>
      <c r="D205" t="s">
        <v>1333</v>
      </c>
      <c r="E205" t="s">
        <v>109</v>
      </c>
      <c r="F205" t="s">
        <v>68</v>
      </c>
      <c r="G205" t="s">
        <v>69</v>
      </c>
      <c r="H205" t="s">
        <v>66</v>
      </c>
      <c r="I205" t="s">
        <v>66</v>
      </c>
      <c r="J205" t="s">
        <v>67</v>
      </c>
      <c r="K205" t="s">
        <v>71</v>
      </c>
      <c r="L205" t="s">
        <v>72</v>
      </c>
      <c r="M205" t="s">
        <v>73</v>
      </c>
      <c r="N205" t="s">
        <v>66</v>
      </c>
      <c r="O205" t="s">
        <v>73</v>
      </c>
      <c r="P205" t="s">
        <v>66</v>
      </c>
      <c r="Q205" t="s">
        <v>979</v>
      </c>
      <c r="R205" t="s">
        <v>73</v>
      </c>
      <c r="S205" t="s">
        <v>979</v>
      </c>
      <c r="T205" t="s">
        <v>1334</v>
      </c>
      <c r="U205" t="s">
        <v>1335</v>
      </c>
      <c r="V205" t="s">
        <v>982</v>
      </c>
      <c r="W205" t="s">
        <v>66</v>
      </c>
      <c r="X205" t="s">
        <v>78</v>
      </c>
      <c r="Y205" t="s">
        <v>1336</v>
      </c>
      <c r="Z205" t="s">
        <v>182</v>
      </c>
      <c r="AA205" t="s">
        <v>984</v>
      </c>
      <c r="AB205" t="s">
        <v>984</v>
      </c>
      <c r="AC205" t="s">
        <v>82</v>
      </c>
      <c r="AD205" t="s">
        <v>83</v>
      </c>
      <c r="AE205" t="s">
        <v>66</v>
      </c>
      <c r="AF205" t="s">
        <v>876</v>
      </c>
    </row>
    <row r="206" spans="1:32">
      <c r="A206" t="s">
        <v>1337</v>
      </c>
      <c r="B206" t="s">
        <v>1004</v>
      </c>
      <c r="C206" t="s">
        <v>1338</v>
      </c>
      <c r="D206" t="s">
        <v>66</v>
      </c>
      <c r="E206" t="s">
        <v>67</v>
      </c>
      <c r="F206" t="s">
        <v>68</v>
      </c>
      <c r="G206" t="s">
        <v>69</v>
      </c>
      <c r="H206" t="s">
        <v>66</v>
      </c>
      <c r="I206" t="s">
        <v>66</v>
      </c>
      <c r="J206" t="s">
        <v>67</v>
      </c>
      <c r="K206" t="s">
        <v>71</v>
      </c>
      <c r="L206" t="s">
        <v>72</v>
      </c>
      <c r="M206" t="s">
        <v>73</v>
      </c>
      <c r="N206" t="s">
        <v>66</v>
      </c>
      <c r="O206" t="s">
        <v>73</v>
      </c>
      <c r="P206" t="s">
        <v>66</v>
      </c>
      <c r="Q206" t="s">
        <v>979</v>
      </c>
      <c r="R206" t="s">
        <v>73</v>
      </c>
      <c r="S206" t="s">
        <v>979</v>
      </c>
      <c r="T206" t="s">
        <v>1339</v>
      </c>
      <c r="U206" t="s">
        <v>1340</v>
      </c>
      <c r="V206" t="s">
        <v>982</v>
      </c>
      <c r="W206" t="s">
        <v>66</v>
      </c>
      <c r="X206" t="s">
        <v>78</v>
      </c>
      <c r="Y206" t="s">
        <v>1341</v>
      </c>
      <c r="Z206" t="s">
        <v>182</v>
      </c>
      <c r="AA206" t="s">
        <v>984</v>
      </c>
      <c r="AB206" t="s">
        <v>984</v>
      </c>
      <c r="AC206" t="s">
        <v>82</v>
      </c>
      <c r="AD206" t="s">
        <v>83</v>
      </c>
      <c r="AE206" t="s">
        <v>66</v>
      </c>
      <c r="AF206" t="s">
        <v>876</v>
      </c>
    </row>
    <row r="207" spans="1:32">
      <c r="A207" t="s">
        <v>1342</v>
      </c>
      <c r="B207" t="s">
        <v>1197</v>
      </c>
      <c r="C207" t="s">
        <v>1343</v>
      </c>
      <c r="D207" t="s">
        <v>1343</v>
      </c>
      <c r="E207" t="s">
        <v>109</v>
      </c>
      <c r="F207" t="s">
        <v>110</v>
      </c>
      <c r="G207" t="s">
        <v>111</v>
      </c>
      <c r="H207" t="s">
        <v>66</v>
      </c>
      <c r="I207" t="s">
        <v>66</v>
      </c>
      <c r="J207" t="s">
        <v>67</v>
      </c>
      <c r="K207" t="s">
        <v>71</v>
      </c>
      <c r="L207" t="s">
        <v>72</v>
      </c>
      <c r="M207" t="s">
        <v>73</v>
      </c>
      <c r="N207" t="s">
        <v>66</v>
      </c>
      <c r="O207" t="s">
        <v>73</v>
      </c>
      <c r="P207" t="s">
        <v>66</v>
      </c>
      <c r="Q207" t="s">
        <v>979</v>
      </c>
      <c r="R207" t="s">
        <v>73</v>
      </c>
      <c r="S207" t="s">
        <v>979</v>
      </c>
      <c r="T207" t="s">
        <v>1344</v>
      </c>
      <c r="U207" t="s">
        <v>1345</v>
      </c>
      <c r="V207" t="s">
        <v>982</v>
      </c>
      <c r="W207" t="s">
        <v>66</v>
      </c>
      <c r="X207" t="s">
        <v>78</v>
      </c>
      <c r="Y207" t="s">
        <v>1346</v>
      </c>
      <c r="Z207" t="s">
        <v>182</v>
      </c>
      <c r="AA207" t="s">
        <v>984</v>
      </c>
      <c r="AB207" t="s">
        <v>984</v>
      </c>
      <c r="AC207" t="s">
        <v>82</v>
      </c>
      <c r="AD207" t="s">
        <v>83</v>
      </c>
      <c r="AE207" t="s">
        <v>66</v>
      </c>
      <c r="AF207" t="s">
        <v>876</v>
      </c>
    </row>
    <row r="208" spans="1:32">
      <c r="A208" t="s">
        <v>1347</v>
      </c>
      <c r="B208" t="s">
        <v>162</v>
      </c>
      <c r="C208" t="s">
        <v>1348</v>
      </c>
      <c r="D208" t="s">
        <v>66</v>
      </c>
      <c r="E208" t="s">
        <v>67</v>
      </c>
      <c r="F208" t="s">
        <v>164</v>
      </c>
      <c r="G208" t="s">
        <v>165</v>
      </c>
      <c r="H208" t="s">
        <v>66</v>
      </c>
      <c r="I208" t="s">
        <v>66</v>
      </c>
      <c r="J208" t="s">
        <v>67</v>
      </c>
      <c r="K208" t="s">
        <v>71</v>
      </c>
      <c r="L208" t="s">
        <v>72</v>
      </c>
      <c r="M208" t="s">
        <v>73</v>
      </c>
      <c r="N208" t="s">
        <v>66</v>
      </c>
      <c r="O208" t="s">
        <v>73</v>
      </c>
      <c r="P208" t="s">
        <v>66</v>
      </c>
      <c r="Q208" t="s">
        <v>979</v>
      </c>
      <c r="R208" t="s">
        <v>73</v>
      </c>
      <c r="S208" t="s">
        <v>979</v>
      </c>
      <c r="T208" t="s">
        <v>1349</v>
      </c>
      <c r="U208" t="s">
        <v>1350</v>
      </c>
      <c r="V208" t="s">
        <v>982</v>
      </c>
      <c r="W208" t="s">
        <v>66</v>
      </c>
      <c r="X208" t="s">
        <v>78</v>
      </c>
      <c r="Y208" t="s">
        <v>1351</v>
      </c>
      <c r="Z208" t="s">
        <v>182</v>
      </c>
      <c r="AA208" t="s">
        <v>984</v>
      </c>
      <c r="AB208" t="s">
        <v>984</v>
      </c>
      <c r="AC208" t="s">
        <v>82</v>
      </c>
      <c r="AD208" t="s">
        <v>83</v>
      </c>
      <c r="AE208" t="s">
        <v>66</v>
      </c>
      <c r="AF208" t="s">
        <v>876</v>
      </c>
    </row>
    <row r="209" spans="1:32">
      <c r="A209" t="s">
        <v>1352</v>
      </c>
      <c r="B209" t="s">
        <v>308</v>
      </c>
      <c r="C209" t="s">
        <v>1353</v>
      </c>
      <c r="D209" t="s">
        <v>1353</v>
      </c>
      <c r="E209" t="s">
        <v>109</v>
      </c>
      <c r="F209" t="s">
        <v>110</v>
      </c>
      <c r="G209" t="s">
        <v>111</v>
      </c>
      <c r="H209" t="s">
        <v>66</v>
      </c>
      <c r="I209" t="s">
        <v>66</v>
      </c>
      <c r="J209" t="s">
        <v>67</v>
      </c>
      <c r="K209" t="s">
        <v>71</v>
      </c>
      <c r="L209" t="s">
        <v>72</v>
      </c>
      <c r="M209" t="s">
        <v>73</v>
      </c>
      <c r="N209" t="s">
        <v>66</v>
      </c>
      <c r="O209" t="s">
        <v>73</v>
      </c>
      <c r="P209" t="s">
        <v>66</v>
      </c>
      <c r="Q209" t="s">
        <v>979</v>
      </c>
      <c r="R209" t="s">
        <v>73</v>
      </c>
      <c r="S209" t="s">
        <v>979</v>
      </c>
      <c r="T209" t="s">
        <v>1354</v>
      </c>
      <c r="U209" t="s">
        <v>1355</v>
      </c>
      <c r="V209" t="s">
        <v>982</v>
      </c>
      <c r="W209" t="s">
        <v>66</v>
      </c>
      <c r="X209" t="s">
        <v>78</v>
      </c>
      <c r="Y209" t="s">
        <v>1356</v>
      </c>
      <c r="Z209" t="s">
        <v>182</v>
      </c>
      <c r="AA209" t="s">
        <v>984</v>
      </c>
      <c r="AB209" t="s">
        <v>984</v>
      </c>
      <c r="AC209" t="s">
        <v>82</v>
      </c>
      <c r="AD209" t="s">
        <v>83</v>
      </c>
      <c r="AE209" t="s">
        <v>66</v>
      </c>
      <c r="AF209" t="s">
        <v>876</v>
      </c>
    </row>
    <row r="210" spans="1:32">
      <c r="A210" t="s">
        <v>1357</v>
      </c>
      <c r="B210" t="s">
        <v>841</v>
      </c>
      <c r="C210" t="s">
        <v>1358</v>
      </c>
      <c r="D210" t="s">
        <v>1358</v>
      </c>
      <c r="E210" t="s">
        <v>109</v>
      </c>
      <c r="F210" t="s">
        <v>110</v>
      </c>
      <c r="G210" t="s">
        <v>111</v>
      </c>
      <c r="H210" t="s">
        <v>66</v>
      </c>
      <c r="I210" t="s">
        <v>66</v>
      </c>
      <c r="J210" t="s">
        <v>67</v>
      </c>
      <c r="K210" t="s">
        <v>71</v>
      </c>
      <c r="L210" t="s">
        <v>72</v>
      </c>
      <c r="M210" t="s">
        <v>73</v>
      </c>
      <c r="N210" t="s">
        <v>66</v>
      </c>
      <c r="O210" t="s">
        <v>73</v>
      </c>
      <c r="P210" t="s">
        <v>66</v>
      </c>
      <c r="Q210" t="s">
        <v>979</v>
      </c>
      <c r="R210" t="s">
        <v>73</v>
      </c>
      <c r="S210" t="s">
        <v>979</v>
      </c>
      <c r="T210" t="s">
        <v>1359</v>
      </c>
      <c r="U210" t="s">
        <v>1360</v>
      </c>
      <c r="V210" t="s">
        <v>982</v>
      </c>
      <c r="W210" t="s">
        <v>66</v>
      </c>
      <c r="X210" t="s">
        <v>78</v>
      </c>
      <c r="Y210" t="s">
        <v>1361</v>
      </c>
      <c r="Z210" t="s">
        <v>182</v>
      </c>
      <c r="AA210" t="s">
        <v>984</v>
      </c>
      <c r="AB210" t="s">
        <v>984</v>
      </c>
      <c r="AC210" t="s">
        <v>82</v>
      </c>
      <c r="AD210" t="s">
        <v>83</v>
      </c>
      <c r="AE210" t="s">
        <v>66</v>
      </c>
      <c r="AF210" t="s">
        <v>876</v>
      </c>
    </row>
    <row r="211" spans="1:32">
      <c r="A211" t="s">
        <v>1362</v>
      </c>
      <c r="B211" t="s">
        <v>1004</v>
      </c>
      <c r="C211" t="s">
        <v>1363</v>
      </c>
      <c r="D211" t="s">
        <v>66</v>
      </c>
      <c r="E211" t="s">
        <v>67</v>
      </c>
      <c r="F211" t="s">
        <v>68</v>
      </c>
      <c r="G211" t="s">
        <v>69</v>
      </c>
      <c r="H211" t="s">
        <v>66</v>
      </c>
      <c r="I211" t="s">
        <v>66</v>
      </c>
      <c r="J211" t="s">
        <v>67</v>
      </c>
      <c r="K211" t="s">
        <v>71</v>
      </c>
      <c r="L211" t="s">
        <v>72</v>
      </c>
      <c r="M211" t="s">
        <v>73</v>
      </c>
      <c r="N211" t="s">
        <v>66</v>
      </c>
      <c r="O211" t="s">
        <v>73</v>
      </c>
      <c r="P211" t="s">
        <v>66</v>
      </c>
      <c r="Q211" t="s">
        <v>979</v>
      </c>
      <c r="R211" t="s">
        <v>73</v>
      </c>
      <c r="S211" t="s">
        <v>979</v>
      </c>
      <c r="T211" t="s">
        <v>1364</v>
      </c>
      <c r="U211" t="s">
        <v>1365</v>
      </c>
      <c r="V211" t="s">
        <v>982</v>
      </c>
      <c r="W211" t="s">
        <v>66</v>
      </c>
      <c r="X211" t="s">
        <v>78</v>
      </c>
      <c r="Y211" t="s">
        <v>1366</v>
      </c>
      <c r="Z211" t="s">
        <v>182</v>
      </c>
      <c r="AA211" t="s">
        <v>984</v>
      </c>
      <c r="AB211" t="s">
        <v>984</v>
      </c>
      <c r="AC211" t="s">
        <v>82</v>
      </c>
      <c r="AD211" t="s">
        <v>83</v>
      </c>
      <c r="AE211" t="s">
        <v>66</v>
      </c>
      <c r="AF211" t="s">
        <v>876</v>
      </c>
    </row>
    <row r="212" spans="1:32">
      <c r="A212" t="s">
        <v>1367</v>
      </c>
      <c r="B212" t="s">
        <v>308</v>
      </c>
      <c r="C212" t="s">
        <v>1368</v>
      </c>
      <c r="D212" t="s">
        <v>1368</v>
      </c>
      <c r="E212" t="s">
        <v>109</v>
      </c>
      <c r="F212" t="s">
        <v>110</v>
      </c>
      <c r="G212" t="s">
        <v>111</v>
      </c>
      <c r="H212" t="s">
        <v>66</v>
      </c>
      <c r="I212" t="s">
        <v>66</v>
      </c>
      <c r="J212" t="s">
        <v>67</v>
      </c>
      <c r="K212" t="s">
        <v>71</v>
      </c>
      <c r="L212" t="s">
        <v>72</v>
      </c>
      <c r="M212" t="s">
        <v>73</v>
      </c>
      <c r="N212" t="s">
        <v>66</v>
      </c>
      <c r="O212" t="s">
        <v>73</v>
      </c>
      <c r="P212" t="s">
        <v>66</v>
      </c>
      <c r="Q212" t="s">
        <v>979</v>
      </c>
      <c r="R212" t="s">
        <v>73</v>
      </c>
      <c r="S212" t="s">
        <v>979</v>
      </c>
      <c r="T212" t="s">
        <v>1369</v>
      </c>
      <c r="U212" t="s">
        <v>1370</v>
      </c>
      <c r="V212" t="s">
        <v>982</v>
      </c>
      <c r="W212" t="s">
        <v>66</v>
      </c>
      <c r="X212" t="s">
        <v>78</v>
      </c>
      <c r="Y212" t="s">
        <v>1371</v>
      </c>
      <c r="Z212" t="s">
        <v>182</v>
      </c>
      <c r="AA212" t="s">
        <v>984</v>
      </c>
      <c r="AB212" t="s">
        <v>984</v>
      </c>
      <c r="AC212" t="s">
        <v>82</v>
      </c>
      <c r="AD212" t="s">
        <v>83</v>
      </c>
      <c r="AE212" t="s">
        <v>66</v>
      </c>
      <c r="AF212" t="s">
        <v>876</v>
      </c>
    </row>
    <row r="213" spans="1:32">
      <c r="A213" t="s">
        <v>1372</v>
      </c>
      <c r="B213" t="s">
        <v>1373</v>
      </c>
      <c r="C213" t="s">
        <v>1374</v>
      </c>
      <c r="D213" t="s">
        <v>66</v>
      </c>
      <c r="E213" t="s">
        <v>67</v>
      </c>
      <c r="F213" t="s">
        <v>68</v>
      </c>
      <c r="G213" t="s">
        <v>69</v>
      </c>
      <c r="H213" t="s">
        <v>66</v>
      </c>
      <c r="I213" t="s">
        <v>66</v>
      </c>
      <c r="J213" t="s">
        <v>67</v>
      </c>
      <c r="K213" t="s">
        <v>71</v>
      </c>
      <c r="L213" t="s">
        <v>72</v>
      </c>
      <c r="M213" t="s">
        <v>73</v>
      </c>
      <c r="N213" t="s">
        <v>66</v>
      </c>
      <c r="O213" t="s">
        <v>73</v>
      </c>
      <c r="P213" t="s">
        <v>66</v>
      </c>
      <c r="Q213" t="s">
        <v>979</v>
      </c>
      <c r="R213" t="s">
        <v>73</v>
      </c>
      <c r="S213" t="s">
        <v>979</v>
      </c>
      <c r="T213" t="s">
        <v>1375</v>
      </c>
      <c r="U213" t="s">
        <v>1376</v>
      </c>
      <c r="V213" t="s">
        <v>982</v>
      </c>
      <c r="W213" t="s">
        <v>66</v>
      </c>
      <c r="X213" t="s">
        <v>78</v>
      </c>
      <c r="Y213" t="s">
        <v>1377</v>
      </c>
      <c r="Z213" t="s">
        <v>182</v>
      </c>
      <c r="AA213" t="s">
        <v>984</v>
      </c>
      <c r="AB213" t="s">
        <v>984</v>
      </c>
      <c r="AC213" t="s">
        <v>82</v>
      </c>
      <c r="AD213" t="s">
        <v>83</v>
      </c>
      <c r="AE213" t="s">
        <v>66</v>
      </c>
      <c r="AF213" t="s">
        <v>876</v>
      </c>
    </row>
    <row r="214" spans="1:32">
      <c r="A214" t="s">
        <v>1378</v>
      </c>
      <c r="B214" t="s">
        <v>841</v>
      </c>
      <c r="C214" t="s">
        <v>1379</v>
      </c>
      <c r="D214" t="s">
        <v>1379</v>
      </c>
      <c r="E214" t="s">
        <v>109</v>
      </c>
      <c r="F214" t="s">
        <v>110</v>
      </c>
      <c r="G214" t="s">
        <v>111</v>
      </c>
      <c r="H214" t="s">
        <v>66</v>
      </c>
      <c r="I214" t="s">
        <v>66</v>
      </c>
      <c r="J214" t="s">
        <v>67</v>
      </c>
      <c r="K214" t="s">
        <v>71</v>
      </c>
      <c r="L214" t="s">
        <v>72</v>
      </c>
      <c r="M214" t="s">
        <v>73</v>
      </c>
      <c r="N214" t="s">
        <v>66</v>
      </c>
      <c r="O214" t="s">
        <v>73</v>
      </c>
      <c r="P214" t="s">
        <v>66</v>
      </c>
      <c r="Q214" t="s">
        <v>979</v>
      </c>
      <c r="R214" t="s">
        <v>73</v>
      </c>
      <c r="S214" t="s">
        <v>979</v>
      </c>
      <c r="T214" t="s">
        <v>1380</v>
      </c>
      <c r="U214" t="s">
        <v>1381</v>
      </c>
      <c r="V214" t="s">
        <v>982</v>
      </c>
      <c r="W214" t="s">
        <v>66</v>
      </c>
      <c r="X214" t="s">
        <v>78</v>
      </c>
      <c r="Y214" t="s">
        <v>1382</v>
      </c>
      <c r="Z214" t="s">
        <v>182</v>
      </c>
      <c r="AA214" t="s">
        <v>984</v>
      </c>
      <c r="AB214" t="s">
        <v>984</v>
      </c>
      <c r="AC214" t="s">
        <v>82</v>
      </c>
      <c r="AD214" t="s">
        <v>83</v>
      </c>
      <c r="AE214" t="s">
        <v>66</v>
      </c>
      <c r="AF214" t="s">
        <v>876</v>
      </c>
    </row>
    <row r="215" spans="1:32">
      <c r="A215" t="s">
        <v>1383</v>
      </c>
      <c r="B215" t="s">
        <v>1384</v>
      </c>
      <c r="C215" t="s">
        <v>1385</v>
      </c>
      <c r="D215" t="s">
        <v>66</v>
      </c>
      <c r="E215" t="s">
        <v>67</v>
      </c>
      <c r="F215" t="s">
        <v>68</v>
      </c>
      <c r="G215" t="s">
        <v>69</v>
      </c>
      <c r="H215" t="s">
        <v>66</v>
      </c>
      <c r="I215" t="s">
        <v>66</v>
      </c>
      <c r="J215" t="s">
        <v>67</v>
      </c>
      <c r="K215" t="s">
        <v>71</v>
      </c>
      <c r="L215" t="s">
        <v>72</v>
      </c>
      <c r="M215" t="s">
        <v>73</v>
      </c>
      <c r="N215" t="s">
        <v>66</v>
      </c>
      <c r="O215" t="s">
        <v>73</v>
      </c>
      <c r="P215" t="s">
        <v>66</v>
      </c>
      <c r="Q215" t="s">
        <v>979</v>
      </c>
      <c r="R215" t="s">
        <v>73</v>
      </c>
      <c r="S215" t="s">
        <v>979</v>
      </c>
      <c r="T215" t="s">
        <v>1386</v>
      </c>
      <c r="U215" t="s">
        <v>1387</v>
      </c>
      <c r="V215" t="s">
        <v>982</v>
      </c>
      <c r="W215" t="s">
        <v>66</v>
      </c>
      <c r="X215" t="s">
        <v>78</v>
      </c>
      <c r="Y215" t="s">
        <v>1388</v>
      </c>
      <c r="Z215" t="s">
        <v>182</v>
      </c>
      <c r="AA215" t="s">
        <v>984</v>
      </c>
      <c r="AB215" t="s">
        <v>984</v>
      </c>
      <c r="AC215" t="s">
        <v>82</v>
      </c>
      <c r="AD215" t="s">
        <v>83</v>
      </c>
      <c r="AE215" t="s">
        <v>66</v>
      </c>
      <c r="AF215" t="s">
        <v>876</v>
      </c>
    </row>
    <row r="216" spans="1:32">
      <c r="A216" t="s">
        <v>1389</v>
      </c>
      <c r="B216" t="s">
        <v>986</v>
      </c>
      <c r="C216" t="s">
        <v>1390</v>
      </c>
      <c r="D216" t="s">
        <v>66</v>
      </c>
      <c r="E216" t="s">
        <v>67</v>
      </c>
      <c r="F216" t="s">
        <v>988</v>
      </c>
      <c r="G216" t="s">
        <v>989</v>
      </c>
      <c r="H216" t="s">
        <v>66</v>
      </c>
      <c r="I216" t="s">
        <v>66</v>
      </c>
      <c r="J216" t="s">
        <v>67</v>
      </c>
      <c r="K216" t="s">
        <v>71</v>
      </c>
      <c r="L216" t="s">
        <v>72</v>
      </c>
      <c r="M216" t="s">
        <v>73</v>
      </c>
      <c r="N216" t="s">
        <v>66</v>
      </c>
      <c r="O216" t="s">
        <v>73</v>
      </c>
      <c r="P216" t="s">
        <v>66</v>
      </c>
      <c r="Q216" t="s">
        <v>979</v>
      </c>
      <c r="R216" t="s">
        <v>73</v>
      </c>
      <c r="S216" t="s">
        <v>979</v>
      </c>
      <c r="T216" t="s">
        <v>1391</v>
      </c>
      <c r="U216" t="s">
        <v>1392</v>
      </c>
      <c r="V216" t="s">
        <v>982</v>
      </c>
      <c r="W216" t="s">
        <v>66</v>
      </c>
      <c r="X216" t="s">
        <v>78</v>
      </c>
      <c r="Y216" t="s">
        <v>1393</v>
      </c>
      <c r="Z216" t="s">
        <v>182</v>
      </c>
      <c r="AA216" t="s">
        <v>984</v>
      </c>
      <c r="AB216" t="s">
        <v>984</v>
      </c>
      <c r="AC216" t="s">
        <v>82</v>
      </c>
      <c r="AD216" t="s">
        <v>83</v>
      </c>
      <c r="AE216" t="s">
        <v>66</v>
      </c>
      <c r="AF216" t="s">
        <v>876</v>
      </c>
    </row>
    <row r="217" spans="1:32">
      <c r="A217" t="s">
        <v>1394</v>
      </c>
      <c r="B217" t="s">
        <v>1004</v>
      </c>
      <c r="C217" t="s">
        <v>1395</v>
      </c>
      <c r="D217" t="s">
        <v>66</v>
      </c>
      <c r="E217" t="s">
        <v>67</v>
      </c>
      <c r="F217" t="s">
        <v>68</v>
      </c>
      <c r="G217" t="s">
        <v>69</v>
      </c>
      <c r="H217" t="s">
        <v>66</v>
      </c>
      <c r="I217" t="s">
        <v>66</v>
      </c>
      <c r="J217" t="s">
        <v>67</v>
      </c>
      <c r="K217" t="s">
        <v>71</v>
      </c>
      <c r="L217" t="s">
        <v>72</v>
      </c>
      <c r="M217" t="s">
        <v>73</v>
      </c>
      <c r="N217" t="s">
        <v>66</v>
      </c>
      <c r="O217" t="s">
        <v>73</v>
      </c>
      <c r="P217" t="s">
        <v>66</v>
      </c>
      <c r="Q217" t="s">
        <v>979</v>
      </c>
      <c r="R217" t="s">
        <v>73</v>
      </c>
      <c r="S217" t="s">
        <v>979</v>
      </c>
      <c r="T217" t="s">
        <v>1396</v>
      </c>
      <c r="U217" t="s">
        <v>1397</v>
      </c>
      <c r="V217" t="s">
        <v>982</v>
      </c>
      <c r="W217" t="s">
        <v>66</v>
      </c>
      <c r="X217" t="s">
        <v>78</v>
      </c>
      <c r="Y217" t="s">
        <v>1398</v>
      </c>
      <c r="Z217" t="s">
        <v>182</v>
      </c>
      <c r="AA217" t="s">
        <v>984</v>
      </c>
      <c r="AB217" t="s">
        <v>984</v>
      </c>
      <c r="AC217" t="s">
        <v>82</v>
      </c>
      <c r="AD217" t="s">
        <v>83</v>
      </c>
      <c r="AE217" t="s">
        <v>66</v>
      </c>
      <c r="AF217" t="s">
        <v>876</v>
      </c>
    </row>
    <row r="218" spans="1:32">
      <c r="A218" t="s">
        <v>1399</v>
      </c>
      <c r="B218" t="s">
        <v>162</v>
      </c>
      <c r="C218" t="s">
        <v>1400</v>
      </c>
      <c r="D218" t="s">
        <v>66</v>
      </c>
      <c r="E218" t="s">
        <v>67</v>
      </c>
      <c r="F218" t="s">
        <v>164</v>
      </c>
      <c r="G218" t="s">
        <v>165</v>
      </c>
      <c r="H218" t="s">
        <v>66</v>
      </c>
      <c r="I218" t="s">
        <v>66</v>
      </c>
      <c r="J218" t="s">
        <v>67</v>
      </c>
      <c r="K218" t="s">
        <v>71</v>
      </c>
      <c r="L218" t="s">
        <v>72</v>
      </c>
      <c r="M218" t="s">
        <v>73</v>
      </c>
      <c r="N218" t="s">
        <v>66</v>
      </c>
      <c r="O218" t="s">
        <v>73</v>
      </c>
      <c r="P218" t="s">
        <v>66</v>
      </c>
      <c r="Q218" t="s">
        <v>979</v>
      </c>
      <c r="R218" t="s">
        <v>73</v>
      </c>
      <c r="S218" t="s">
        <v>979</v>
      </c>
      <c r="T218" t="s">
        <v>1401</v>
      </c>
      <c r="U218" t="s">
        <v>1402</v>
      </c>
      <c r="V218" t="s">
        <v>982</v>
      </c>
      <c r="W218" t="s">
        <v>66</v>
      </c>
      <c r="X218" t="s">
        <v>78</v>
      </c>
      <c r="Y218" t="s">
        <v>1403</v>
      </c>
      <c r="Z218" t="s">
        <v>182</v>
      </c>
      <c r="AA218" t="s">
        <v>984</v>
      </c>
      <c r="AB218" t="s">
        <v>984</v>
      </c>
      <c r="AC218" t="s">
        <v>82</v>
      </c>
      <c r="AD218" t="s">
        <v>83</v>
      </c>
      <c r="AE218" t="s">
        <v>66</v>
      </c>
      <c r="AF218" t="s">
        <v>876</v>
      </c>
    </row>
    <row r="219" spans="1:32">
      <c r="A219" t="s">
        <v>1404</v>
      </c>
      <c r="B219" t="s">
        <v>162</v>
      </c>
      <c r="C219" t="s">
        <v>1405</v>
      </c>
      <c r="D219" t="s">
        <v>1405</v>
      </c>
      <c r="E219" t="s">
        <v>67</v>
      </c>
      <c r="F219" t="s">
        <v>164</v>
      </c>
      <c r="G219" t="s">
        <v>165</v>
      </c>
      <c r="H219" t="s">
        <v>66</v>
      </c>
      <c r="I219" t="s">
        <v>66</v>
      </c>
      <c r="J219" t="s">
        <v>67</v>
      </c>
      <c r="K219" t="s">
        <v>71</v>
      </c>
      <c r="L219" t="s">
        <v>72</v>
      </c>
      <c r="M219" t="s">
        <v>73</v>
      </c>
      <c r="N219" t="s">
        <v>66</v>
      </c>
      <c r="O219" t="s">
        <v>73</v>
      </c>
      <c r="P219" t="s">
        <v>66</v>
      </c>
      <c r="Q219" t="s">
        <v>979</v>
      </c>
      <c r="R219" t="s">
        <v>73</v>
      </c>
      <c r="S219" t="s">
        <v>979</v>
      </c>
      <c r="T219" t="s">
        <v>1406</v>
      </c>
      <c r="U219" t="s">
        <v>1407</v>
      </c>
      <c r="V219" t="s">
        <v>982</v>
      </c>
      <c r="W219" t="s">
        <v>66</v>
      </c>
      <c r="X219" t="s">
        <v>78</v>
      </c>
      <c r="Y219" t="s">
        <v>1408</v>
      </c>
      <c r="Z219" t="s">
        <v>182</v>
      </c>
      <c r="AA219" t="s">
        <v>984</v>
      </c>
      <c r="AB219" t="s">
        <v>984</v>
      </c>
      <c r="AC219" t="s">
        <v>82</v>
      </c>
      <c r="AD219" t="s">
        <v>83</v>
      </c>
      <c r="AE219" t="s">
        <v>66</v>
      </c>
      <c r="AF219" t="s">
        <v>876</v>
      </c>
    </row>
    <row r="220" spans="1:32">
      <c r="A220" t="s">
        <v>1409</v>
      </c>
      <c r="B220" t="s">
        <v>173</v>
      </c>
      <c r="C220" t="s">
        <v>1410</v>
      </c>
      <c r="D220" t="s">
        <v>66</v>
      </c>
      <c r="E220" t="s">
        <v>67</v>
      </c>
      <c r="F220" t="s">
        <v>175</v>
      </c>
      <c r="G220" t="s">
        <v>176</v>
      </c>
      <c r="H220" t="s">
        <v>66</v>
      </c>
      <c r="I220" t="s">
        <v>66</v>
      </c>
      <c r="J220" t="s">
        <v>67</v>
      </c>
      <c r="K220" t="s">
        <v>71</v>
      </c>
      <c r="L220" t="s">
        <v>72</v>
      </c>
      <c r="M220" t="s">
        <v>73</v>
      </c>
      <c r="N220" t="s">
        <v>66</v>
      </c>
      <c r="O220" t="s">
        <v>73</v>
      </c>
      <c r="P220" t="s">
        <v>66</v>
      </c>
      <c r="Q220" t="s">
        <v>979</v>
      </c>
      <c r="R220" t="s">
        <v>73</v>
      </c>
      <c r="S220" t="s">
        <v>979</v>
      </c>
      <c r="T220" t="s">
        <v>1411</v>
      </c>
      <c r="U220" t="s">
        <v>1412</v>
      </c>
      <c r="V220" t="s">
        <v>982</v>
      </c>
      <c r="W220" t="s">
        <v>66</v>
      </c>
      <c r="X220" t="s">
        <v>78</v>
      </c>
      <c r="Y220" t="s">
        <v>1413</v>
      </c>
      <c r="Z220" t="s">
        <v>182</v>
      </c>
      <c r="AA220" t="s">
        <v>984</v>
      </c>
      <c r="AB220" t="s">
        <v>984</v>
      </c>
      <c r="AC220" t="s">
        <v>82</v>
      </c>
      <c r="AD220" t="s">
        <v>83</v>
      </c>
      <c r="AE220" t="s">
        <v>66</v>
      </c>
      <c r="AF220" t="s">
        <v>876</v>
      </c>
    </row>
    <row r="221" spans="1:32">
      <c r="A221" t="s">
        <v>1414</v>
      </c>
      <c r="B221" t="s">
        <v>1415</v>
      </c>
      <c r="C221" t="s">
        <v>1416</v>
      </c>
      <c r="D221" t="s">
        <v>1416</v>
      </c>
      <c r="E221" t="s">
        <v>109</v>
      </c>
      <c r="F221" t="s">
        <v>68</v>
      </c>
      <c r="G221" t="s">
        <v>69</v>
      </c>
      <c r="H221" t="s">
        <v>66</v>
      </c>
      <c r="I221" t="s">
        <v>66</v>
      </c>
      <c r="J221" t="s">
        <v>67</v>
      </c>
      <c r="K221" t="s">
        <v>71</v>
      </c>
      <c r="L221" t="s">
        <v>72</v>
      </c>
      <c r="M221" t="s">
        <v>73</v>
      </c>
      <c r="N221" t="s">
        <v>66</v>
      </c>
      <c r="O221" t="s">
        <v>73</v>
      </c>
      <c r="P221" t="s">
        <v>66</v>
      </c>
      <c r="Q221" t="s">
        <v>979</v>
      </c>
      <c r="R221" t="s">
        <v>73</v>
      </c>
      <c r="S221" t="s">
        <v>979</v>
      </c>
      <c r="T221" t="s">
        <v>1417</v>
      </c>
      <c r="U221" t="s">
        <v>1418</v>
      </c>
      <c r="V221" t="s">
        <v>982</v>
      </c>
      <c r="W221" t="s">
        <v>66</v>
      </c>
      <c r="X221" t="s">
        <v>78</v>
      </c>
      <c r="Y221" t="s">
        <v>1419</v>
      </c>
      <c r="Z221" t="s">
        <v>182</v>
      </c>
      <c r="AA221" t="s">
        <v>984</v>
      </c>
      <c r="AB221" t="s">
        <v>984</v>
      </c>
      <c r="AC221" t="s">
        <v>82</v>
      </c>
      <c r="AD221" t="s">
        <v>83</v>
      </c>
      <c r="AE221" t="s">
        <v>66</v>
      </c>
      <c r="AF221" t="s">
        <v>876</v>
      </c>
    </row>
    <row r="222" spans="1:32">
      <c r="A222" t="s">
        <v>1420</v>
      </c>
      <c r="B222" t="s">
        <v>86</v>
      </c>
      <c r="C222" t="s">
        <v>1421</v>
      </c>
      <c r="D222" t="s">
        <v>66</v>
      </c>
      <c r="E222" t="s">
        <v>67</v>
      </c>
      <c r="F222" t="s">
        <v>68</v>
      </c>
      <c r="G222" t="s">
        <v>69</v>
      </c>
      <c r="H222" t="s">
        <v>66</v>
      </c>
      <c r="I222" t="s">
        <v>66</v>
      </c>
      <c r="J222" t="s">
        <v>67</v>
      </c>
      <c r="K222" t="s">
        <v>71</v>
      </c>
      <c r="L222" t="s">
        <v>72</v>
      </c>
      <c r="M222" t="s">
        <v>73</v>
      </c>
      <c r="N222" t="s">
        <v>66</v>
      </c>
      <c r="O222" t="s">
        <v>73</v>
      </c>
      <c r="P222" t="s">
        <v>66</v>
      </c>
      <c r="Q222" t="s">
        <v>979</v>
      </c>
      <c r="R222" t="s">
        <v>73</v>
      </c>
      <c r="S222" t="s">
        <v>979</v>
      </c>
      <c r="T222" t="s">
        <v>1422</v>
      </c>
      <c r="U222" t="s">
        <v>1423</v>
      </c>
      <c r="V222" t="s">
        <v>982</v>
      </c>
      <c r="W222" t="s">
        <v>66</v>
      </c>
      <c r="X222" t="s">
        <v>78</v>
      </c>
      <c r="Y222" t="s">
        <v>1424</v>
      </c>
      <c r="Z222" t="s">
        <v>182</v>
      </c>
      <c r="AA222" t="s">
        <v>984</v>
      </c>
      <c r="AB222" t="s">
        <v>984</v>
      </c>
      <c r="AC222" t="s">
        <v>82</v>
      </c>
      <c r="AD222" t="s">
        <v>83</v>
      </c>
      <c r="AE222" t="s">
        <v>66</v>
      </c>
      <c r="AF222" t="s">
        <v>876</v>
      </c>
    </row>
    <row r="223" spans="1:32">
      <c r="A223" t="s">
        <v>1425</v>
      </c>
      <c r="B223" t="s">
        <v>151</v>
      </c>
      <c r="C223" t="s">
        <v>1426</v>
      </c>
      <c r="D223" t="s">
        <v>66</v>
      </c>
      <c r="E223" t="s">
        <v>67</v>
      </c>
      <c r="F223" t="s">
        <v>68</v>
      </c>
      <c r="G223" t="s">
        <v>69</v>
      </c>
      <c r="H223" t="s">
        <v>66</v>
      </c>
      <c r="I223" t="s">
        <v>66</v>
      </c>
      <c r="J223" t="s">
        <v>67</v>
      </c>
      <c r="K223" t="s">
        <v>71</v>
      </c>
      <c r="L223" t="s">
        <v>72</v>
      </c>
      <c r="M223" t="s">
        <v>73</v>
      </c>
      <c r="N223" t="s">
        <v>66</v>
      </c>
      <c r="O223" t="s">
        <v>73</v>
      </c>
      <c r="P223" t="s">
        <v>66</v>
      </c>
      <c r="Q223" t="s">
        <v>979</v>
      </c>
      <c r="R223" t="s">
        <v>73</v>
      </c>
      <c r="S223" t="s">
        <v>979</v>
      </c>
      <c r="T223" t="s">
        <v>1427</v>
      </c>
      <c r="U223" t="s">
        <v>1428</v>
      </c>
      <c r="V223" t="s">
        <v>982</v>
      </c>
      <c r="W223" t="s">
        <v>66</v>
      </c>
      <c r="X223" t="s">
        <v>78</v>
      </c>
      <c r="Y223" t="s">
        <v>1429</v>
      </c>
      <c r="Z223" t="s">
        <v>182</v>
      </c>
      <c r="AA223" t="s">
        <v>984</v>
      </c>
      <c r="AB223" t="s">
        <v>984</v>
      </c>
      <c r="AC223" t="s">
        <v>82</v>
      </c>
      <c r="AD223" t="s">
        <v>83</v>
      </c>
      <c r="AE223" t="s">
        <v>66</v>
      </c>
      <c r="AF223" t="s">
        <v>876</v>
      </c>
    </row>
    <row r="224" spans="1:32">
      <c r="A224" t="s">
        <v>1430</v>
      </c>
      <c r="B224" t="s">
        <v>162</v>
      </c>
      <c r="C224" t="s">
        <v>1431</v>
      </c>
      <c r="D224" t="s">
        <v>66</v>
      </c>
      <c r="E224" t="s">
        <v>67</v>
      </c>
      <c r="F224" t="s">
        <v>164</v>
      </c>
      <c r="G224" t="s">
        <v>165</v>
      </c>
      <c r="H224" t="s">
        <v>66</v>
      </c>
      <c r="I224" t="s">
        <v>66</v>
      </c>
      <c r="J224" t="s">
        <v>67</v>
      </c>
      <c r="K224" t="s">
        <v>71</v>
      </c>
      <c r="L224" t="s">
        <v>72</v>
      </c>
      <c r="M224" t="s">
        <v>73</v>
      </c>
      <c r="N224" t="s">
        <v>66</v>
      </c>
      <c r="O224" t="s">
        <v>73</v>
      </c>
      <c r="P224" t="s">
        <v>66</v>
      </c>
      <c r="Q224" t="s">
        <v>979</v>
      </c>
      <c r="R224" t="s">
        <v>73</v>
      </c>
      <c r="S224" t="s">
        <v>979</v>
      </c>
      <c r="T224" t="s">
        <v>1432</v>
      </c>
      <c r="U224" t="s">
        <v>1433</v>
      </c>
      <c r="V224" t="s">
        <v>982</v>
      </c>
      <c r="W224" t="s">
        <v>66</v>
      </c>
      <c r="X224" t="s">
        <v>78</v>
      </c>
      <c r="Y224" t="s">
        <v>1434</v>
      </c>
      <c r="Z224" t="s">
        <v>182</v>
      </c>
      <c r="AA224" t="s">
        <v>984</v>
      </c>
      <c r="AB224" t="s">
        <v>984</v>
      </c>
      <c r="AC224" t="s">
        <v>82</v>
      </c>
      <c r="AD224" t="s">
        <v>83</v>
      </c>
      <c r="AE224" t="s">
        <v>66</v>
      </c>
      <c r="AF224" t="s">
        <v>876</v>
      </c>
    </row>
    <row r="225" spans="1:32">
      <c r="A225" t="s">
        <v>1435</v>
      </c>
      <c r="B225" t="s">
        <v>1436</v>
      </c>
      <c r="C225" t="s">
        <v>1437</v>
      </c>
      <c r="D225" t="s">
        <v>66</v>
      </c>
      <c r="E225" t="s">
        <v>67</v>
      </c>
      <c r="F225" t="s">
        <v>947</v>
      </c>
      <c r="G225" t="s">
        <v>948</v>
      </c>
      <c r="H225" t="s">
        <v>66</v>
      </c>
      <c r="I225" t="s">
        <v>66</v>
      </c>
      <c r="J225" t="s">
        <v>67</v>
      </c>
      <c r="K225" t="s">
        <v>71</v>
      </c>
      <c r="L225" t="s">
        <v>72</v>
      </c>
      <c r="M225" t="s">
        <v>73</v>
      </c>
      <c r="N225" t="s">
        <v>66</v>
      </c>
      <c r="O225" t="s">
        <v>73</v>
      </c>
      <c r="P225" t="s">
        <v>66</v>
      </c>
      <c r="Q225" t="s">
        <v>979</v>
      </c>
      <c r="R225" t="s">
        <v>73</v>
      </c>
      <c r="S225" t="s">
        <v>979</v>
      </c>
      <c r="T225" t="s">
        <v>1438</v>
      </c>
      <c r="U225" t="s">
        <v>1439</v>
      </c>
      <c r="V225" t="s">
        <v>982</v>
      </c>
      <c r="W225" t="s">
        <v>66</v>
      </c>
      <c r="X225" t="s">
        <v>78</v>
      </c>
      <c r="Y225" t="s">
        <v>1440</v>
      </c>
      <c r="Z225" t="s">
        <v>182</v>
      </c>
      <c r="AA225" t="s">
        <v>984</v>
      </c>
      <c r="AB225" t="s">
        <v>984</v>
      </c>
      <c r="AC225" t="s">
        <v>82</v>
      </c>
      <c r="AD225" t="s">
        <v>83</v>
      </c>
      <c r="AE225" t="s">
        <v>66</v>
      </c>
      <c r="AF225" t="s">
        <v>876</v>
      </c>
    </row>
    <row r="226" spans="1:32">
      <c r="A226" t="s">
        <v>1441</v>
      </c>
      <c r="B226" t="s">
        <v>162</v>
      </c>
      <c r="C226" t="s">
        <v>1442</v>
      </c>
      <c r="D226" t="s">
        <v>66</v>
      </c>
      <c r="E226" t="s">
        <v>67</v>
      </c>
      <c r="F226" t="s">
        <v>164</v>
      </c>
      <c r="G226" t="s">
        <v>165</v>
      </c>
      <c r="H226" t="s">
        <v>66</v>
      </c>
      <c r="I226" t="s">
        <v>66</v>
      </c>
      <c r="J226" t="s">
        <v>67</v>
      </c>
      <c r="K226" t="s">
        <v>71</v>
      </c>
      <c r="L226" t="s">
        <v>72</v>
      </c>
      <c r="M226" t="s">
        <v>73</v>
      </c>
      <c r="N226" t="s">
        <v>66</v>
      </c>
      <c r="O226" t="s">
        <v>73</v>
      </c>
      <c r="P226" t="s">
        <v>66</v>
      </c>
      <c r="Q226" t="s">
        <v>979</v>
      </c>
      <c r="R226" t="s">
        <v>73</v>
      </c>
      <c r="S226" t="s">
        <v>979</v>
      </c>
      <c r="T226" t="s">
        <v>1443</v>
      </c>
      <c r="U226" t="s">
        <v>1444</v>
      </c>
      <c r="V226" t="s">
        <v>982</v>
      </c>
      <c r="W226" t="s">
        <v>66</v>
      </c>
      <c r="X226" t="s">
        <v>78</v>
      </c>
      <c r="Y226" t="s">
        <v>1445</v>
      </c>
      <c r="Z226" t="s">
        <v>182</v>
      </c>
      <c r="AA226" t="s">
        <v>984</v>
      </c>
      <c r="AB226" t="s">
        <v>984</v>
      </c>
      <c r="AC226" t="s">
        <v>82</v>
      </c>
      <c r="AD226" t="s">
        <v>83</v>
      </c>
      <c r="AE226" t="s">
        <v>66</v>
      </c>
      <c r="AF226" t="s">
        <v>876</v>
      </c>
    </row>
    <row r="227" spans="1:32">
      <c r="A227" t="s">
        <v>1446</v>
      </c>
      <c r="B227" t="s">
        <v>86</v>
      </c>
      <c r="C227" t="s">
        <v>1447</v>
      </c>
      <c r="D227" t="s">
        <v>66</v>
      </c>
      <c r="E227" t="s">
        <v>67</v>
      </c>
      <c r="F227" t="s">
        <v>68</v>
      </c>
      <c r="G227" t="s">
        <v>69</v>
      </c>
      <c r="H227" t="s">
        <v>66</v>
      </c>
      <c r="I227" t="s">
        <v>66</v>
      </c>
      <c r="J227" t="s">
        <v>67</v>
      </c>
      <c r="K227" t="s">
        <v>71</v>
      </c>
      <c r="L227" t="s">
        <v>72</v>
      </c>
      <c r="M227" t="s">
        <v>73</v>
      </c>
      <c r="N227" t="s">
        <v>66</v>
      </c>
      <c r="O227" t="s">
        <v>73</v>
      </c>
      <c r="P227" t="s">
        <v>66</v>
      </c>
      <c r="Q227" t="s">
        <v>979</v>
      </c>
      <c r="R227" t="s">
        <v>73</v>
      </c>
      <c r="S227" t="s">
        <v>979</v>
      </c>
      <c r="T227" t="s">
        <v>1448</v>
      </c>
      <c r="U227" t="s">
        <v>1449</v>
      </c>
      <c r="V227" t="s">
        <v>982</v>
      </c>
      <c r="W227" t="s">
        <v>66</v>
      </c>
      <c r="X227" t="s">
        <v>78</v>
      </c>
      <c r="Y227" t="s">
        <v>1450</v>
      </c>
      <c r="Z227" t="s">
        <v>182</v>
      </c>
      <c r="AA227" t="s">
        <v>984</v>
      </c>
      <c r="AB227" t="s">
        <v>984</v>
      </c>
      <c r="AC227" t="s">
        <v>82</v>
      </c>
      <c r="AD227" t="s">
        <v>83</v>
      </c>
      <c r="AE227" t="s">
        <v>66</v>
      </c>
      <c r="AF227" t="s">
        <v>876</v>
      </c>
    </row>
    <row r="228" spans="1:32">
      <c r="A228" t="s">
        <v>1451</v>
      </c>
      <c r="B228" t="s">
        <v>308</v>
      </c>
      <c r="C228" t="s">
        <v>1452</v>
      </c>
      <c r="D228" t="s">
        <v>1452</v>
      </c>
      <c r="E228" t="s">
        <v>109</v>
      </c>
      <c r="F228" t="s">
        <v>68</v>
      </c>
      <c r="G228" t="s">
        <v>69</v>
      </c>
      <c r="H228" t="s">
        <v>66</v>
      </c>
      <c r="I228" t="s">
        <v>66</v>
      </c>
      <c r="J228" t="s">
        <v>67</v>
      </c>
      <c r="K228" t="s">
        <v>71</v>
      </c>
      <c r="L228" t="s">
        <v>72</v>
      </c>
      <c r="M228" t="s">
        <v>73</v>
      </c>
      <c r="N228" t="s">
        <v>66</v>
      </c>
      <c r="O228" t="s">
        <v>73</v>
      </c>
      <c r="P228" t="s">
        <v>66</v>
      </c>
      <c r="Q228" t="s">
        <v>979</v>
      </c>
      <c r="R228" t="s">
        <v>73</v>
      </c>
      <c r="S228" t="s">
        <v>979</v>
      </c>
      <c r="T228" t="s">
        <v>1453</v>
      </c>
      <c r="U228" t="s">
        <v>1454</v>
      </c>
      <c r="V228" t="s">
        <v>982</v>
      </c>
      <c r="W228" t="s">
        <v>66</v>
      </c>
      <c r="X228" t="s">
        <v>78</v>
      </c>
      <c r="Y228" t="s">
        <v>1455</v>
      </c>
      <c r="Z228" t="s">
        <v>182</v>
      </c>
      <c r="AA228" t="s">
        <v>984</v>
      </c>
      <c r="AB228" t="s">
        <v>984</v>
      </c>
      <c r="AC228" t="s">
        <v>82</v>
      </c>
      <c r="AD228" t="s">
        <v>83</v>
      </c>
      <c r="AE228" t="s">
        <v>66</v>
      </c>
      <c r="AF228" t="s">
        <v>876</v>
      </c>
    </row>
    <row r="229" spans="1:32">
      <c r="A229" t="s">
        <v>1456</v>
      </c>
      <c r="B229" t="s">
        <v>1457</v>
      </c>
      <c r="C229" t="s">
        <v>1458</v>
      </c>
      <c r="D229" t="s">
        <v>66</v>
      </c>
      <c r="E229" t="s">
        <v>67</v>
      </c>
      <c r="F229" t="s">
        <v>68</v>
      </c>
      <c r="G229" t="s">
        <v>69</v>
      </c>
      <c r="H229" t="s">
        <v>66</v>
      </c>
      <c r="I229" t="s">
        <v>66</v>
      </c>
      <c r="J229" t="s">
        <v>67</v>
      </c>
      <c r="K229" t="s">
        <v>71</v>
      </c>
      <c r="L229" t="s">
        <v>72</v>
      </c>
      <c r="M229" t="s">
        <v>73</v>
      </c>
      <c r="N229" t="s">
        <v>66</v>
      </c>
      <c r="O229" t="s">
        <v>73</v>
      </c>
      <c r="P229" t="s">
        <v>66</v>
      </c>
      <c r="Q229" t="s">
        <v>979</v>
      </c>
      <c r="R229" t="s">
        <v>73</v>
      </c>
      <c r="S229" t="s">
        <v>979</v>
      </c>
      <c r="T229" t="s">
        <v>1459</v>
      </c>
      <c r="U229" t="s">
        <v>1460</v>
      </c>
      <c r="V229" t="s">
        <v>982</v>
      </c>
      <c r="W229" t="s">
        <v>66</v>
      </c>
      <c r="X229" t="s">
        <v>78</v>
      </c>
      <c r="Y229" t="s">
        <v>1461</v>
      </c>
      <c r="Z229" t="s">
        <v>182</v>
      </c>
      <c r="AA229" t="s">
        <v>984</v>
      </c>
      <c r="AB229" t="s">
        <v>984</v>
      </c>
      <c r="AC229" t="s">
        <v>82</v>
      </c>
      <c r="AD229" t="s">
        <v>83</v>
      </c>
      <c r="AE229" t="s">
        <v>66</v>
      </c>
      <c r="AF229" t="s">
        <v>876</v>
      </c>
    </row>
    <row r="230" spans="1:32">
      <c r="A230" t="s">
        <v>1462</v>
      </c>
      <c r="B230" t="s">
        <v>1463</v>
      </c>
      <c r="C230" t="s">
        <v>1464</v>
      </c>
      <c r="D230" t="s">
        <v>66</v>
      </c>
      <c r="E230" t="s">
        <v>67</v>
      </c>
      <c r="F230" t="s">
        <v>110</v>
      </c>
      <c r="G230" t="s">
        <v>111</v>
      </c>
      <c r="H230" t="s">
        <v>66</v>
      </c>
      <c r="I230" t="s">
        <v>66</v>
      </c>
      <c r="J230" t="s">
        <v>67</v>
      </c>
      <c r="K230" t="s">
        <v>71</v>
      </c>
      <c r="L230" t="s">
        <v>72</v>
      </c>
      <c r="M230" t="s">
        <v>73</v>
      </c>
      <c r="N230" t="s">
        <v>66</v>
      </c>
      <c r="O230" t="s">
        <v>73</v>
      </c>
      <c r="P230" t="s">
        <v>66</v>
      </c>
      <c r="Q230" t="s">
        <v>979</v>
      </c>
      <c r="R230" t="s">
        <v>73</v>
      </c>
      <c r="S230" t="s">
        <v>979</v>
      </c>
      <c r="T230" t="s">
        <v>1465</v>
      </c>
      <c r="U230" t="s">
        <v>1466</v>
      </c>
      <c r="V230" t="s">
        <v>982</v>
      </c>
      <c r="W230" t="s">
        <v>66</v>
      </c>
      <c r="X230" t="s">
        <v>78</v>
      </c>
      <c r="Y230" t="s">
        <v>1467</v>
      </c>
      <c r="Z230" t="s">
        <v>182</v>
      </c>
      <c r="AA230" t="s">
        <v>984</v>
      </c>
      <c r="AB230" t="s">
        <v>984</v>
      </c>
      <c r="AC230" t="s">
        <v>82</v>
      </c>
      <c r="AD230" t="s">
        <v>83</v>
      </c>
      <c r="AE230" t="s">
        <v>66</v>
      </c>
      <c r="AF230" t="s">
        <v>876</v>
      </c>
    </row>
    <row r="231" spans="1:32">
      <c r="A231" t="s">
        <v>1468</v>
      </c>
      <c r="B231" t="s">
        <v>841</v>
      </c>
      <c r="C231" t="s">
        <v>1469</v>
      </c>
      <c r="D231" t="s">
        <v>1469</v>
      </c>
      <c r="E231" t="s">
        <v>109</v>
      </c>
      <c r="F231" t="s">
        <v>110</v>
      </c>
      <c r="G231" t="s">
        <v>111</v>
      </c>
      <c r="H231" t="s">
        <v>66</v>
      </c>
      <c r="I231" t="s">
        <v>66</v>
      </c>
      <c r="J231" t="s">
        <v>67</v>
      </c>
      <c r="K231" t="s">
        <v>71</v>
      </c>
      <c r="L231" t="s">
        <v>72</v>
      </c>
      <c r="M231" t="s">
        <v>73</v>
      </c>
      <c r="N231" t="s">
        <v>66</v>
      </c>
      <c r="O231" t="s">
        <v>73</v>
      </c>
      <c r="P231" t="s">
        <v>66</v>
      </c>
      <c r="Q231" t="s">
        <v>979</v>
      </c>
      <c r="R231" t="s">
        <v>73</v>
      </c>
      <c r="S231" t="s">
        <v>979</v>
      </c>
      <c r="T231" t="s">
        <v>1470</v>
      </c>
      <c r="U231" t="s">
        <v>1471</v>
      </c>
      <c r="V231" t="s">
        <v>982</v>
      </c>
      <c r="W231" t="s">
        <v>66</v>
      </c>
      <c r="X231" t="s">
        <v>78</v>
      </c>
      <c r="Y231" t="s">
        <v>1472</v>
      </c>
      <c r="Z231" t="s">
        <v>182</v>
      </c>
      <c r="AA231" t="s">
        <v>984</v>
      </c>
      <c r="AB231" t="s">
        <v>984</v>
      </c>
      <c r="AC231" t="s">
        <v>82</v>
      </c>
      <c r="AD231" t="s">
        <v>83</v>
      </c>
      <c r="AE231" t="s">
        <v>66</v>
      </c>
      <c r="AF231" t="s">
        <v>876</v>
      </c>
    </row>
    <row r="232" spans="1:32">
      <c r="A232" t="s">
        <v>1473</v>
      </c>
      <c r="B232" t="s">
        <v>86</v>
      </c>
      <c r="C232" t="s">
        <v>1474</v>
      </c>
      <c r="D232" t="s">
        <v>66</v>
      </c>
      <c r="E232" t="s">
        <v>67</v>
      </c>
      <c r="F232" t="s">
        <v>68</v>
      </c>
      <c r="G232" t="s">
        <v>69</v>
      </c>
      <c r="H232" t="s">
        <v>66</v>
      </c>
      <c r="I232" t="s">
        <v>66</v>
      </c>
      <c r="J232" t="s">
        <v>67</v>
      </c>
      <c r="K232" t="s">
        <v>71</v>
      </c>
      <c r="L232" t="s">
        <v>72</v>
      </c>
      <c r="M232" t="s">
        <v>73</v>
      </c>
      <c r="N232" t="s">
        <v>66</v>
      </c>
      <c r="O232" t="s">
        <v>73</v>
      </c>
      <c r="P232" t="s">
        <v>66</v>
      </c>
      <c r="Q232" t="s">
        <v>979</v>
      </c>
      <c r="R232" t="s">
        <v>73</v>
      </c>
      <c r="S232" t="s">
        <v>979</v>
      </c>
      <c r="T232" t="s">
        <v>1475</v>
      </c>
      <c r="U232" t="s">
        <v>1476</v>
      </c>
      <c r="V232" t="s">
        <v>982</v>
      </c>
      <c r="W232" t="s">
        <v>66</v>
      </c>
      <c r="X232" t="s">
        <v>78</v>
      </c>
      <c r="Y232" t="s">
        <v>1477</v>
      </c>
      <c r="Z232" t="s">
        <v>182</v>
      </c>
      <c r="AA232" t="s">
        <v>984</v>
      </c>
      <c r="AB232" t="s">
        <v>984</v>
      </c>
      <c r="AC232" t="s">
        <v>82</v>
      </c>
      <c r="AD232" t="s">
        <v>83</v>
      </c>
      <c r="AE232" t="s">
        <v>66</v>
      </c>
      <c r="AF232" t="s">
        <v>876</v>
      </c>
    </row>
    <row r="233" spans="1:32">
      <c r="A233" t="s">
        <v>1478</v>
      </c>
      <c r="B233" t="s">
        <v>1064</v>
      </c>
      <c r="C233" t="s">
        <v>1479</v>
      </c>
      <c r="D233" t="s">
        <v>66</v>
      </c>
      <c r="E233" t="s">
        <v>67</v>
      </c>
      <c r="F233" t="s">
        <v>110</v>
      </c>
      <c r="G233" t="s">
        <v>111</v>
      </c>
      <c r="H233" t="s">
        <v>66</v>
      </c>
      <c r="I233" t="s">
        <v>66</v>
      </c>
      <c r="J233" t="s">
        <v>67</v>
      </c>
      <c r="K233" t="s">
        <v>71</v>
      </c>
      <c r="L233" t="s">
        <v>72</v>
      </c>
      <c r="M233" t="s">
        <v>73</v>
      </c>
      <c r="N233" t="s">
        <v>66</v>
      </c>
      <c r="O233" t="s">
        <v>73</v>
      </c>
      <c r="P233" t="s">
        <v>66</v>
      </c>
      <c r="Q233" t="s">
        <v>979</v>
      </c>
      <c r="R233" t="s">
        <v>73</v>
      </c>
      <c r="S233" t="s">
        <v>979</v>
      </c>
      <c r="T233" t="s">
        <v>1480</v>
      </c>
      <c r="U233" t="s">
        <v>1481</v>
      </c>
      <c r="V233" t="s">
        <v>982</v>
      </c>
      <c r="W233" t="s">
        <v>66</v>
      </c>
      <c r="X233" t="s">
        <v>78</v>
      </c>
      <c r="Y233" t="s">
        <v>1482</v>
      </c>
      <c r="Z233" t="s">
        <v>182</v>
      </c>
      <c r="AA233" t="s">
        <v>984</v>
      </c>
      <c r="AB233" t="s">
        <v>984</v>
      </c>
      <c r="AC233" t="s">
        <v>82</v>
      </c>
      <c r="AD233" t="s">
        <v>83</v>
      </c>
      <c r="AE233" t="s">
        <v>66</v>
      </c>
      <c r="AF233" t="s">
        <v>876</v>
      </c>
    </row>
    <row r="234" spans="1:32">
      <c r="A234" t="s">
        <v>1483</v>
      </c>
      <c r="B234" t="s">
        <v>986</v>
      </c>
      <c r="C234" t="s">
        <v>1484</v>
      </c>
      <c r="D234" t="s">
        <v>66</v>
      </c>
      <c r="E234" t="s">
        <v>67</v>
      </c>
      <c r="F234" t="s">
        <v>988</v>
      </c>
      <c r="G234" t="s">
        <v>989</v>
      </c>
      <c r="H234" t="s">
        <v>66</v>
      </c>
      <c r="I234" t="s">
        <v>66</v>
      </c>
      <c r="J234" t="s">
        <v>67</v>
      </c>
      <c r="K234" t="s">
        <v>71</v>
      </c>
      <c r="L234" t="s">
        <v>72</v>
      </c>
      <c r="M234" t="s">
        <v>73</v>
      </c>
      <c r="N234" t="s">
        <v>66</v>
      </c>
      <c r="O234" t="s">
        <v>73</v>
      </c>
      <c r="P234" t="s">
        <v>66</v>
      </c>
      <c r="Q234" t="s">
        <v>979</v>
      </c>
      <c r="R234" t="s">
        <v>73</v>
      </c>
      <c r="S234" t="s">
        <v>979</v>
      </c>
      <c r="T234" t="s">
        <v>1485</v>
      </c>
      <c r="U234" t="s">
        <v>1486</v>
      </c>
      <c r="V234" t="s">
        <v>982</v>
      </c>
      <c r="W234" t="s">
        <v>66</v>
      </c>
      <c r="X234" t="s">
        <v>78</v>
      </c>
      <c r="Y234" t="s">
        <v>1487</v>
      </c>
      <c r="Z234" t="s">
        <v>182</v>
      </c>
      <c r="AA234" t="s">
        <v>984</v>
      </c>
      <c r="AB234" t="s">
        <v>984</v>
      </c>
      <c r="AC234" t="s">
        <v>82</v>
      </c>
      <c r="AD234" t="s">
        <v>83</v>
      </c>
      <c r="AE234" t="s">
        <v>66</v>
      </c>
      <c r="AF234" t="s">
        <v>876</v>
      </c>
    </row>
    <row r="235" spans="1:32">
      <c r="A235" t="s">
        <v>1488</v>
      </c>
      <c r="B235" t="s">
        <v>162</v>
      </c>
      <c r="C235" t="s">
        <v>1489</v>
      </c>
      <c r="D235" t="s">
        <v>66</v>
      </c>
      <c r="E235" t="s">
        <v>67</v>
      </c>
      <c r="F235" t="s">
        <v>164</v>
      </c>
      <c r="G235" t="s">
        <v>165</v>
      </c>
      <c r="H235" t="s">
        <v>66</v>
      </c>
      <c r="I235" t="s">
        <v>66</v>
      </c>
      <c r="J235" t="s">
        <v>67</v>
      </c>
      <c r="K235" t="s">
        <v>71</v>
      </c>
      <c r="L235" t="s">
        <v>72</v>
      </c>
      <c r="M235" t="s">
        <v>73</v>
      </c>
      <c r="N235" t="s">
        <v>66</v>
      </c>
      <c r="O235" t="s">
        <v>73</v>
      </c>
      <c r="P235" t="s">
        <v>66</v>
      </c>
      <c r="Q235" t="s">
        <v>979</v>
      </c>
      <c r="R235" t="s">
        <v>73</v>
      </c>
      <c r="S235" t="s">
        <v>979</v>
      </c>
      <c r="T235" t="s">
        <v>1490</v>
      </c>
      <c r="U235" t="s">
        <v>1491</v>
      </c>
      <c r="V235" t="s">
        <v>982</v>
      </c>
      <c r="W235" t="s">
        <v>66</v>
      </c>
      <c r="X235" t="s">
        <v>78</v>
      </c>
      <c r="Y235" t="s">
        <v>1492</v>
      </c>
      <c r="Z235" t="s">
        <v>182</v>
      </c>
      <c r="AA235" t="s">
        <v>984</v>
      </c>
      <c r="AB235" t="s">
        <v>984</v>
      </c>
      <c r="AC235" t="s">
        <v>82</v>
      </c>
      <c r="AD235" t="s">
        <v>83</v>
      </c>
      <c r="AE235" t="s">
        <v>66</v>
      </c>
      <c r="AF235" t="s">
        <v>876</v>
      </c>
    </row>
    <row r="236" spans="1:32">
      <c r="A236" t="s">
        <v>1493</v>
      </c>
      <c r="B236" t="s">
        <v>121</v>
      </c>
      <c r="C236" t="s">
        <v>1494</v>
      </c>
      <c r="D236" t="s">
        <v>1494</v>
      </c>
      <c r="E236" t="s">
        <v>109</v>
      </c>
      <c r="F236" t="s">
        <v>110</v>
      </c>
      <c r="G236" t="s">
        <v>111</v>
      </c>
      <c r="H236" t="s">
        <v>66</v>
      </c>
      <c r="I236" t="s">
        <v>66</v>
      </c>
      <c r="J236" t="s">
        <v>67</v>
      </c>
      <c r="K236" t="s">
        <v>71</v>
      </c>
      <c r="L236" t="s">
        <v>72</v>
      </c>
      <c r="M236" t="s">
        <v>73</v>
      </c>
      <c r="N236" t="s">
        <v>66</v>
      </c>
      <c r="O236" t="s">
        <v>73</v>
      </c>
      <c r="P236" t="s">
        <v>66</v>
      </c>
      <c r="Q236" t="s">
        <v>979</v>
      </c>
      <c r="R236" t="s">
        <v>73</v>
      </c>
      <c r="S236" t="s">
        <v>979</v>
      </c>
      <c r="T236" t="s">
        <v>1495</v>
      </c>
      <c r="U236" t="s">
        <v>1496</v>
      </c>
      <c r="V236" t="s">
        <v>982</v>
      </c>
      <c r="W236" t="s">
        <v>66</v>
      </c>
      <c r="X236" t="s">
        <v>78</v>
      </c>
      <c r="Y236" t="s">
        <v>1497</v>
      </c>
      <c r="Z236" t="s">
        <v>182</v>
      </c>
      <c r="AA236" t="s">
        <v>984</v>
      </c>
      <c r="AB236" t="s">
        <v>984</v>
      </c>
      <c r="AC236" t="s">
        <v>82</v>
      </c>
      <c r="AD236" t="s">
        <v>83</v>
      </c>
      <c r="AE236" t="s">
        <v>66</v>
      </c>
      <c r="AF236" t="s">
        <v>876</v>
      </c>
    </row>
    <row r="237" spans="1:32">
      <c r="A237" t="s">
        <v>1498</v>
      </c>
      <c r="B237" t="s">
        <v>308</v>
      </c>
      <c r="C237" t="s">
        <v>1499</v>
      </c>
      <c r="D237" t="s">
        <v>1499</v>
      </c>
      <c r="E237" t="s">
        <v>109</v>
      </c>
      <c r="F237" t="s">
        <v>110</v>
      </c>
      <c r="G237" t="s">
        <v>111</v>
      </c>
      <c r="H237" t="s">
        <v>66</v>
      </c>
      <c r="I237" t="s">
        <v>66</v>
      </c>
      <c r="J237" t="s">
        <v>67</v>
      </c>
      <c r="K237" t="s">
        <v>71</v>
      </c>
      <c r="L237" t="s">
        <v>72</v>
      </c>
      <c r="M237" t="s">
        <v>73</v>
      </c>
      <c r="N237" t="s">
        <v>66</v>
      </c>
      <c r="O237" t="s">
        <v>73</v>
      </c>
      <c r="P237" t="s">
        <v>66</v>
      </c>
      <c r="Q237" t="s">
        <v>979</v>
      </c>
      <c r="R237" t="s">
        <v>73</v>
      </c>
      <c r="S237" t="s">
        <v>979</v>
      </c>
      <c r="T237" t="s">
        <v>1500</v>
      </c>
      <c r="U237" t="s">
        <v>1501</v>
      </c>
      <c r="V237" t="s">
        <v>982</v>
      </c>
      <c r="W237" t="s">
        <v>66</v>
      </c>
      <c r="X237" t="s">
        <v>78</v>
      </c>
      <c r="Y237" t="s">
        <v>1502</v>
      </c>
      <c r="Z237" t="s">
        <v>182</v>
      </c>
      <c r="AA237" t="s">
        <v>984</v>
      </c>
      <c r="AB237" t="s">
        <v>984</v>
      </c>
      <c r="AC237" t="s">
        <v>82</v>
      </c>
      <c r="AD237" t="s">
        <v>83</v>
      </c>
      <c r="AE237" t="s">
        <v>66</v>
      </c>
      <c r="AF237" t="s">
        <v>876</v>
      </c>
    </row>
    <row r="238" spans="1:32">
      <c r="A238" t="s">
        <v>1503</v>
      </c>
      <c r="B238" t="s">
        <v>1307</v>
      </c>
      <c r="C238" t="s">
        <v>1504</v>
      </c>
      <c r="D238" t="s">
        <v>66</v>
      </c>
      <c r="E238" t="s">
        <v>67</v>
      </c>
      <c r="F238" t="s">
        <v>68</v>
      </c>
      <c r="G238" t="s">
        <v>69</v>
      </c>
      <c r="H238" t="s">
        <v>66</v>
      </c>
      <c r="I238" t="s">
        <v>66</v>
      </c>
      <c r="J238" t="s">
        <v>67</v>
      </c>
      <c r="K238" t="s">
        <v>71</v>
      </c>
      <c r="L238" t="s">
        <v>72</v>
      </c>
      <c r="M238" t="s">
        <v>73</v>
      </c>
      <c r="N238" t="s">
        <v>66</v>
      </c>
      <c r="O238" t="s">
        <v>73</v>
      </c>
      <c r="P238" t="s">
        <v>66</v>
      </c>
      <c r="Q238" t="s">
        <v>979</v>
      </c>
      <c r="R238" t="s">
        <v>73</v>
      </c>
      <c r="S238" t="s">
        <v>979</v>
      </c>
      <c r="T238" t="s">
        <v>1505</v>
      </c>
      <c r="U238" t="s">
        <v>1506</v>
      </c>
      <c r="V238" t="s">
        <v>982</v>
      </c>
      <c r="W238" t="s">
        <v>66</v>
      </c>
      <c r="X238" t="s">
        <v>78</v>
      </c>
      <c r="Y238" t="s">
        <v>1507</v>
      </c>
      <c r="Z238" t="s">
        <v>182</v>
      </c>
      <c r="AA238" t="s">
        <v>984</v>
      </c>
      <c r="AB238" t="s">
        <v>984</v>
      </c>
      <c r="AC238" t="s">
        <v>82</v>
      </c>
      <c r="AD238" t="s">
        <v>83</v>
      </c>
      <c r="AE238" t="s">
        <v>66</v>
      </c>
      <c r="AF238" t="s">
        <v>876</v>
      </c>
    </row>
    <row r="239" spans="1:32">
      <c r="A239" t="s">
        <v>1508</v>
      </c>
      <c r="B239" t="s">
        <v>1509</v>
      </c>
      <c r="C239" t="s">
        <v>1510</v>
      </c>
      <c r="D239" t="s">
        <v>1511</v>
      </c>
      <c r="E239" t="s">
        <v>67</v>
      </c>
      <c r="F239" t="s">
        <v>175</v>
      </c>
      <c r="G239" t="s">
        <v>176</v>
      </c>
      <c r="H239" t="s">
        <v>66</v>
      </c>
      <c r="I239" t="s">
        <v>66</v>
      </c>
      <c r="J239" t="s">
        <v>67</v>
      </c>
      <c r="K239" t="s">
        <v>71</v>
      </c>
      <c r="L239" t="s">
        <v>72</v>
      </c>
      <c r="M239" t="s">
        <v>73</v>
      </c>
      <c r="N239" t="s">
        <v>66</v>
      </c>
      <c r="O239" t="s">
        <v>73</v>
      </c>
      <c r="P239" t="s">
        <v>66</v>
      </c>
      <c r="Q239" t="s">
        <v>979</v>
      </c>
      <c r="R239" t="s">
        <v>73</v>
      </c>
      <c r="S239" t="s">
        <v>979</v>
      </c>
      <c r="T239" t="s">
        <v>1512</v>
      </c>
      <c r="U239" t="s">
        <v>1513</v>
      </c>
      <c r="V239" t="s">
        <v>982</v>
      </c>
      <c r="W239" t="s">
        <v>66</v>
      </c>
      <c r="X239" t="s">
        <v>78</v>
      </c>
      <c r="Y239" t="s">
        <v>1514</v>
      </c>
      <c r="Z239" t="s">
        <v>182</v>
      </c>
      <c r="AA239" t="s">
        <v>984</v>
      </c>
      <c r="AB239" t="s">
        <v>984</v>
      </c>
      <c r="AC239" t="s">
        <v>82</v>
      </c>
      <c r="AD239" t="s">
        <v>83</v>
      </c>
      <c r="AE239" t="s">
        <v>66</v>
      </c>
      <c r="AF239" t="s">
        <v>876</v>
      </c>
    </row>
    <row r="240" spans="1:32">
      <c r="A240" t="s">
        <v>1515</v>
      </c>
      <c r="B240" t="s">
        <v>1064</v>
      </c>
      <c r="C240" t="s">
        <v>1516</v>
      </c>
      <c r="D240" t="s">
        <v>66</v>
      </c>
      <c r="E240" t="s">
        <v>67</v>
      </c>
      <c r="F240" t="s">
        <v>110</v>
      </c>
      <c r="G240" t="s">
        <v>111</v>
      </c>
      <c r="H240" t="s">
        <v>66</v>
      </c>
      <c r="I240" t="s">
        <v>66</v>
      </c>
      <c r="J240" t="s">
        <v>67</v>
      </c>
      <c r="K240" t="s">
        <v>71</v>
      </c>
      <c r="L240" t="s">
        <v>72</v>
      </c>
      <c r="M240" t="s">
        <v>73</v>
      </c>
      <c r="N240" t="s">
        <v>66</v>
      </c>
      <c r="O240" t="s">
        <v>73</v>
      </c>
      <c r="P240" t="s">
        <v>66</v>
      </c>
      <c r="Q240" t="s">
        <v>979</v>
      </c>
      <c r="R240" t="s">
        <v>73</v>
      </c>
      <c r="S240" t="s">
        <v>979</v>
      </c>
      <c r="T240" t="s">
        <v>1517</v>
      </c>
      <c r="U240" t="s">
        <v>1518</v>
      </c>
      <c r="V240" t="s">
        <v>982</v>
      </c>
      <c r="W240" t="s">
        <v>66</v>
      </c>
      <c r="X240" t="s">
        <v>78</v>
      </c>
      <c r="Y240" t="s">
        <v>1519</v>
      </c>
      <c r="Z240" t="s">
        <v>182</v>
      </c>
      <c r="AA240" t="s">
        <v>984</v>
      </c>
      <c r="AB240" t="s">
        <v>984</v>
      </c>
      <c r="AC240" t="s">
        <v>82</v>
      </c>
      <c r="AD240" t="s">
        <v>83</v>
      </c>
      <c r="AE240" t="s">
        <v>66</v>
      </c>
      <c r="AF240" t="s">
        <v>876</v>
      </c>
    </row>
    <row r="241" spans="1:32">
      <c r="A241" t="s">
        <v>1520</v>
      </c>
      <c r="B241" t="s">
        <v>308</v>
      </c>
      <c r="C241" t="s">
        <v>1521</v>
      </c>
      <c r="D241" t="s">
        <v>1521</v>
      </c>
      <c r="E241" t="s">
        <v>109</v>
      </c>
      <c r="F241" t="s">
        <v>110</v>
      </c>
      <c r="G241" t="s">
        <v>111</v>
      </c>
      <c r="H241" t="s">
        <v>66</v>
      </c>
      <c r="I241" t="s">
        <v>66</v>
      </c>
      <c r="J241" t="s">
        <v>67</v>
      </c>
      <c r="K241" t="s">
        <v>71</v>
      </c>
      <c r="L241" t="s">
        <v>72</v>
      </c>
      <c r="M241" t="s">
        <v>73</v>
      </c>
      <c r="N241" t="s">
        <v>66</v>
      </c>
      <c r="O241" t="s">
        <v>73</v>
      </c>
      <c r="P241" t="s">
        <v>66</v>
      </c>
      <c r="Q241" t="s">
        <v>979</v>
      </c>
      <c r="R241" t="s">
        <v>73</v>
      </c>
      <c r="S241" t="s">
        <v>979</v>
      </c>
      <c r="T241" t="s">
        <v>1522</v>
      </c>
      <c r="U241" t="s">
        <v>1523</v>
      </c>
      <c r="V241" t="s">
        <v>982</v>
      </c>
      <c r="W241" t="s">
        <v>66</v>
      </c>
      <c r="X241" t="s">
        <v>78</v>
      </c>
      <c r="Y241" t="s">
        <v>1524</v>
      </c>
      <c r="Z241" t="s">
        <v>182</v>
      </c>
      <c r="AA241" t="s">
        <v>984</v>
      </c>
      <c r="AB241" t="s">
        <v>984</v>
      </c>
      <c r="AC241" t="s">
        <v>82</v>
      </c>
      <c r="AD241" t="s">
        <v>83</v>
      </c>
      <c r="AE241" t="s">
        <v>66</v>
      </c>
      <c r="AF241" t="s">
        <v>876</v>
      </c>
    </row>
    <row r="242" spans="1:32">
      <c r="A242" t="s">
        <v>1525</v>
      </c>
      <c r="B242" t="s">
        <v>308</v>
      </c>
      <c r="C242" t="s">
        <v>1526</v>
      </c>
      <c r="D242" t="s">
        <v>1526</v>
      </c>
      <c r="E242" t="s">
        <v>109</v>
      </c>
      <c r="F242" t="s">
        <v>110</v>
      </c>
      <c r="G242" t="s">
        <v>111</v>
      </c>
      <c r="H242" t="s">
        <v>66</v>
      </c>
      <c r="I242" t="s">
        <v>66</v>
      </c>
      <c r="J242" t="s">
        <v>67</v>
      </c>
      <c r="K242" t="s">
        <v>71</v>
      </c>
      <c r="L242" t="s">
        <v>72</v>
      </c>
      <c r="M242" t="s">
        <v>73</v>
      </c>
      <c r="N242" t="s">
        <v>66</v>
      </c>
      <c r="O242" t="s">
        <v>73</v>
      </c>
      <c r="P242" t="s">
        <v>66</v>
      </c>
      <c r="Q242" t="s">
        <v>979</v>
      </c>
      <c r="R242" t="s">
        <v>73</v>
      </c>
      <c r="S242" t="s">
        <v>979</v>
      </c>
      <c r="T242" t="s">
        <v>1527</v>
      </c>
      <c r="U242" t="s">
        <v>1528</v>
      </c>
      <c r="V242" t="s">
        <v>982</v>
      </c>
      <c r="W242" t="s">
        <v>66</v>
      </c>
      <c r="X242" t="s">
        <v>78</v>
      </c>
      <c r="Y242" t="s">
        <v>1529</v>
      </c>
      <c r="Z242" t="s">
        <v>182</v>
      </c>
      <c r="AA242" t="s">
        <v>984</v>
      </c>
      <c r="AB242" t="s">
        <v>984</v>
      </c>
      <c r="AC242" t="s">
        <v>82</v>
      </c>
      <c r="AD242" t="s">
        <v>83</v>
      </c>
      <c r="AE242" t="s">
        <v>66</v>
      </c>
      <c r="AF242" t="s">
        <v>876</v>
      </c>
    </row>
    <row r="243" spans="1:32">
      <c r="A243" t="s">
        <v>1530</v>
      </c>
      <c r="B243" t="s">
        <v>308</v>
      </c>
      <c r="C243" t="s">
        <v>1531</v>
      </c>
      <c r="D243" t="s">
        <v>1531</v>
      </c>
      <c r="E243" t="s">
        <v>109</v>
      </c>
      <c r="F243" t="s">
        <v>110</v>
      </c>
      <c r="G243" t="s">
        <v>111</v>
      </c>
      <c r="H243" t="s">
        <v>66</v>
      </c>
      <c r="I243" t="s">
        <v>66</v>
      </c>
      <c r="J243" t="s">
        <v>67</v>
      </c>
      <c r="K243" t="s">
        <v>71</v>
      </c>
      <c r="L243" t="s">
        <v>72</v>
      </c>
      <c r="M243" t="s">
        <v>73</v>
      </c>
      <c r="N243" t="s">
        <v>66</v>
      </c>
      <c r="O243" t="s">
        <v>73</v>
      </c>
      <c r="P243" t="s">
        <v>66</v>
      </c>
      <c r="Q243" t="s">
        <v>979</v>
      </c>
      <c r="R243" t="s">
        <v>73</v>
      </c>
      <c r="S243" t="s">
        <v>979</v>
      </c>
      <c r="T243" t="s">
        <v>1532</v>
      </c>
      <c r="U243" t="s">
        <v>1533</v>
      </c>
      <c r="V243" t="s">
        <v>982</v>
      </c>
      <c r="W243" t="s">
        <v>66</v>
      </c>
      <c r="X243" t="s">
        <v>78</v>
      </c>
      <c r="Y243" t="s">
        <v>1534</v>
      </c>
      <c r="Z243" t="s">
        <v>182</v>
      </c>
      <c r="AA243" t="s">
        <v>984</v>
      </c>
      <c r="AB243" t="s">
        <v>984</v>
      </c>
      <c r="AC243" t="s">
        <v>82</v>
      </c>
      <c r="AD243" t="s">
        <v>83</v>
      </c>
      <c r="AE243" t="s">
        <v>66</v>
      </c>
      <c r="AF243" t="s">
        <v>876</v>
      </c>
    </row>
    <row r="244" spans="1:32">
      <c r="A244" t="s">
        <v>1535</v>
      </c>
      <c r="B244" t="s">
        <v>1064</v>
      </c>
      <c r="C244" t="s">
        <v>1536</v>
      </c>
      <c r="D244" t="s">
        <v>66</v>
      </c>
      <c r="E244" t="s">
        <v>67</v>
      </c>
      <c r="F244" t="s">
        <v>110</v>
      </c>
      <c r="G244" t="s">
        <v>111</v>
      </c>
      <c r="H244" t="s">
        <v>66</v>
      </c>
      <c r="I244" t="s">
        <v>66</v>
      </c>
      <c r="J244" t="s">
        <v>67</v>
      </c>
      <c r="K244" t="s">
        <v>71</v>
      </c>
      <c r="L244" t="s">
        <v>72</v>
      </c>
      <c r="M244" t="s">
        <v>73</v>
      </c>
      <c r="N244" t="s">
        <v>66</v>
      </c>
      <c r="O244" t="s">
        <v>73</v>
      </c>
      <c r="P244" t="s">
        <v>66</v>
      </c>
      <c r="Q244" t="s">
        <v>979</v>
      </c>
      <c r="R244" t="s">
        <v>73</v>
      </c>
      <c r="S244" t="s">
        <v>979</v>
      </c>
      <c r="T244" t="s">
        <v>1537</v>
      </c>
      <c r="U244" t="s">
        <v>1538</v>
      </c>
      <c r="V244" t="s">
        <v>982</v>
      </c>
      <c r="W244" t="s">
        <v>66</v>
      </c>
      <c r="X244" t="s">
        <v>78</v>
      </c>
      <c r="Y244" t="s">
        <v>1539</v>
      </c>
      <c r="Z244" t="s">
        <v>182</v>
      </c>
      <c r="AA244" t="s">
        <v>984</v>
      </c>
      <c r="AB244" t="s">
        <v>984</v>
      </c>
      <c r="AC244" t="s">
        <v>82</v>
      </c>
      <c r="AD244" t="s">
        <v>83</v>
      </c>
      <c r="AE244" t="s">
        <v>66</v>
      </c>
      <c r="AF244" t="s">
        <v>876</v>
      </c>
    </row>
    <row r="245" spans="1:32">
      <c r="A245" t="s">
        <v>1540</v>
      </c>
      <c r="B245" t="s">
        <v>1197</v>
      </c>
      <c r="C245" t="s">
        <v>1541</v>
      </c>
      <c r="D245" t="s">
        <v>1541</v>
      </c>
      <c r="E245" t="s">
        <v>109</v>
      </c>
      <c r="F245" t="s">
        <v>110</v>
      </c>
      <c r="G245" t="s">
        <v>111</v>
      </c>
      <c r="H245" t="s">
        <v>66</v>
      </c>
      <c r="I245" t="s">
        <v>66</v>
      </c>
      <c r="J245" t="s">
        <v>67</v>
      </c>
      <c r="K245" t="s">
        <v>71</v>
      </c>
      <c r="L245" t="s">
        <v>72</v>
      </c>
      <c r="M245" t="s">
        <v>73</v>
      </c>
      <c r="N245" t="s">
        <v>66</v>
      </c>
      <c r="O245" t="s">
        <v>73</v>
      </c>
      <c r="P245" t="s">
        <v>66</v>
      </c>
      <c r="Q245" t="s">
        <v>979</v>
      </c>
      <c r="R245" t="s">
        <v>73</v>
      </c>
      <c r="S245" t="s">
        <v>979</v>
      </c>
      <c r="T245" t="s">
        <v>1542</v>
      </c>
      <c r="U245" t="s">
        <v>1543</v>
      </c>
      <c r="V245" t="s">
        <v>982</v>
      </c>
      <c r="W245" t="s">
        <v>66</v>
      </c>
      <c r="X245" t="s">
        <v>78</v>
      </c>
      <c r="Y245" t="s">
        <v>1544</v>
      </c>
      <c r="Z245" t="s">
        <v>182</v>
      </c>
      <c r="AA245" t="s">
        <v>984</v>
      </c>
      <c r="AB245" t="s">
        <v>984</v>
      </c>
      <c r="AC245" t="s">
        <v>82</v>
      </c>
      <c r="AD245" t="s">
        <v>83</v>
      </c>
      <c r="AE245" t="s">
        <v>66</v>
      </c>
      <c r="AF245" t="s">
        <v>876</v>
      </c>
    </row>
    <row r="246" spans="1:32">
      <c r="A246" t="s">
        <v>1545</v>
      </c>
      <c r="B246" t="s">
        <v>1546</v>
      </c>
      <c r="C246" t="s">
        <v>1547</v>
      </c>
      <c r="D246" t="s">
        <v>1547</v>
      </c>
      <c r="E246" t="s">
        <v>109</v>
      </c>
      <c r="F246" t="s">
        <v>110</v>
      </c>
      <c r="G246" t="s">
        <v>111</v>
      </c>
      <c r="H246" t="s">
        <v>66</v>
      </c>
      <c r="I246" t="s">
        <v>66</v>
      </c>
      <c r="J246" t="s">
        <v>67</v>
      </c>
      <c r="K246" t="s">
        <v>71</v>
      </c>
      <c r="L246" t="s">
        <v>72</v>
      </c>
      <c r="M246" t="s">
        <v>73</v>
      </c>
      <c r="N246" t="s">
        <v>66</v>
      </c>
      <c r="O246" t="s">
        <v>73</v>
      </c>
      <c r="P246" t="s">
        <v>66</v>
      </c>
      <c r="Q246" t="s">
        <v>979</v>
      </c>
      <c r="R246" t="s">
        <v>73</v>
      </c>
      <c r="S246" t="s">
        <v>979</v>
      </c>
      <c r="T246" t="s">
        <v>1548</v>
      </c>
      <c r="U246" t="s">
        <v>1549</v>
      </c>
      <c r="V246" t="s">
        <v>982</v>
      </c>
      <c r="W246" t="s">
        <v>66</v>
      </c>
      <c r="X246" t="s">
        <v>78</v>
      </c>
      <c r="Y246" t="s">
        <v>1550</v>
      </c>
      <c r="Z246" t="s">
        <v>182</v>
      </c>
      <c r="AA246" t="s">
        <v>984</v>
      </c>
      <c r="AB246" t="s">
        <v>984</v>
      </c>
      <c r="AC246" t="s">
        <v>82</v>
      </c>
      <c r="AD246" t="s">
        <v>83</v>
      </c>
      <c r="AE246" t="s">
        <v>66</v>
      </c>
      <c r="AF246" t="s">
        <v>876</v>
      </c>
    </row>
    <row r="247" spans="1:32">
      <c r="A247" t="s">
        <v>1551</v>
      </c>
      <c r="B247" t="s">
        <v>1004</v>
      </c>
      <c r="C247" t="s">
        <v>1552</v>
      </c>
      <c r="D247" t="s">
        <v>66</v>
      </c>
      <c r="E247" t="s">
        <v>67</v>
      </c>
      <c r="F247" t="s">
        <v>68</v>
      </c>
      <c r="G247" t="s">
        <v>69</v>
      </c>
      <c r="H247" t="s">
        <v>66</v>
      </c>
      <c r="I247" t="s">
        <v>66</v>
      </c>
      <c r="J247" t="s">
        <v>67</v>
      </c>
      <c r="K247" t="s">
        <v>71</v>
      </c>
      <c r="L247" t="s">
        <v>72</v>
      </c>
      <c r="M247" t="s">
        <v>73</v>
      </c>
      <c r="N247" t="s">
        <v>66</v>
      </c>
      <c r="O247" t="s">
        <v>73</v>
      </c>
      <c r="P247" t="s">
        <v>66</v>
      </c>
      <c r="Q247" t="s">
        <v>979</v>
      </c>
      <c r="R247" t="s">
        <v>73</v>
      </c>
      <c r="S247" t="s">
        <v>979</v>
      </c>
      <c r="T247" t="s">
        <v>1553</v>
      </c>
      <c r="U247" t="s">
        <v>1554</v>
      </c>
      <c r="V247" t="s">
        <v>982</v>
      </c>
      <c r="W247" t="s">
        <v>66</v>
      </c>
      <c r="X247" t="s">
        <v>78</v>
      </c>
      <c r="Y247" t="s">
        <v>1555</v>
      </c>
      <c r="Z247" t="s">
        <v>182</v>
      </c>
      <c r="AA247" t="s">
        <v>984</v>
      </c>
      <c r="AB247" t="s">
        <v>984</v>
      </c>
      <c r="AC247" t="s">
        <v>82</v>
      </c>
      <c r="AD247" t="s">
        <v>83</v>
      </c>
      <c r="AE247" t="s">
        <v>66</v>
      </c>
      <c r="AF247" t="s">
        <v>876</v>
      </c>
    </row>
    <row r="248" spans="1:32">
      <c r="A248" t="s">
        <v>1556</v>
      </c>
      <c r="B248" t="s">
        <v>162</v>
      </c>
      <c r="C248" t="s">
        <v>1557</v>
      </c>
      <c r="D248" t="s">
        <v>66</v>
      </c>
      <c r="E248" t="s">
        <v>67</v>
      </c>
      <c r="F248" t="s">
        <v>164</v>
      </c>
      <c r="G248" t="s">
        <v>165</v>
      </c>
      <c r="H248" t="s">
        <v>66</v>
      </c>
      <c r="I248" t="s">
        <v>66</v>
      </c>
      <c r="J248" t="s">
        <v>67</v>
      </c>
      <c r="K248" t="s">
        <v>71</v>
      </c>
      <c r="L248" t="s">
        <v>72</v>
      </c>
      <c r="M248" t="s">
        <v>73</v>
      </c>
      <c r="N248" t="s">
        <v>66</v>
      </c>
      <c r="O248" t="s">
        <v>73</v>
      </c>
      <c r="P248" t="s">
        <v>66</v>
      </c>
      <c r="Q248" t="s">
        <v>979</v>
      </c>
      <c r="R248" t="s">
        <v>73</v>
      </c>
      <c r="S248" t="s">
        <v>979</v>
      </c>
      <c r="T248" t="s">
        <v>1558</v>
      </c>
      <c r="U248" t="s">
        <v>1559</v>
      </c>
      <c r="V248" t="s">
        <v>982</v>
      </c>
      <c r="W248" t="s">
        <v>66</v>
      </c>
      <c r="X248" t="s">
        <v>78</v>
      </c>
      <c r="Y248" t="s">
        <v>1560</v>
      </c>
      <c r="Z248" t="s">
        <v>182</v>
      </c>
      <c r="AA248" t="s">
        <v>984</v>
      </c>
      <c r="AB248" t="s">
        <v>984</v>
      </c>
      <c r="AC248" t="s">
        <v>82</v>
      </c>
      <c r="AD248" t="s">
        <v>83</v>
      </c>
      <c r="AE248" t="s">
        <v>66</v>
      </c>
      <c r="AF248" t="s">
        <v>876</v>
      </c>
    </row>
    <row r="249" spans="1:32">
      <c r="A249" t="s">
        <v>1561</v>
      </c>
      <c r="B249" t="s">
        <v>1004</v>
      </c>
      <c r="C249" t="s">
        <v>1562</v>
      </c>
      <c r="D249" t="s">
        <v>66</v>
      </c>
      <c r="E249" t="s">
        <v>67</v>
      </c>
      <c r="F249" t="s">
        <v>68</v>
      </c>
      <c r="G249" t="s">
        <v>69</v>
      </c>
      <c r="H249" t="s">
        <v>66</v>
      </c>
      <c r="I249" t="s">
        <v>66</v>
      </c>
      <c r="J249" t="s">
        <v>67</v>
      </c>
      <c r="K249" t="s">
        <v>71</v>
      </c>
      <c r="L249" t="s">
        <v>72</v>
      </c>
      <c r="M249" t="s">
        <v>73</v>
      </c>
      <c r="N249" t="s">
        <v>66</v>
      </c>
      <c r="O249" t="s">
        <v>73</v>
      </c>
      <c r="P249" t="s">
        <v>66</v>
      </c>
      <c r="Q249" t="s">
        <v>979</v>
      </c>
      <c r="R249" t="s">
        <v>73</v>
      </c>
      <c r="S249" t="s">
        <v>979</v>
      </c>
      <c r="T249" t="s">
        <v>1563</v>
      </c>
      <c r="U249" t="s">
        <v>1564</v>
      </c>
      <c r="V249" t="s">
        <v>982</v>
      </c>
      <c r="W249" t="s">
        <v>66</v>
      </c>
      <c r="X249" t="s">
        <v>78</v>
      </c>
      <c r="Y249" t="s">
        <v>1565</v>
      </c>
      <c r="Z249" t="s">
        <v>182</v>
      </c>
      <c r="AA249" t="s">
        <v>984</v>
      </c>
      <c r="AB249" t="s">
        <v>984</v>
      </c>
      <c r="AC249" t="s">
        <v>82</v>
      </c>
      <c r="AD249" t="s">
        <v>83</v>
      </c>
      <c r="AE249" t="s">
        <v>66</v>
      </c>
      <c r="AF249" t="s">
        <v>876</v>
      </c>
    </row>
    <row r="250" spans="1:32">
      <c r="A250" t="s">
        <v>1566</v>
      </c>
      <c r="B250" t="s">
        <v>841</v>
      </c>
      <c r="C250" t="s">
        <v>1567</v>
      </c>
      <c r="D250" t="s">
        <v>1567</v>
      </c>
      <c r="E250" t="s">
        <v>109</v>
      </c>
      <c r="F250" t="s">
        <v>110</v>
      </c>
      <c r="G250" t="s">
        <v>111</v>
      </c>
      <c r="H250" t="s">
        <v>66</v>
      </c>
      <c r="I250" t="s">
        <v>66</v>
      </c>
      <c r="J250" t="s">
        <v>67</v>
      </c>
      <c r="K250" t="s">
        <v>71</v>
      </c>
      <c r="L250" t="s">
        <v>72</v>
      </c>
      <c r="M250" t="s">
        <v>73</v>
      </c>
      <c r="N250" t="s">
        <v>66</v>
      </c>
      <c r="O250" t="s">
        <v>73</v>
      </c>
      <c r="P250" t="s">
        <v>66</v>
      </c>
      <c r="Q250" t="s">
        <v>979</v>
      </c>
      <c r="R250" t="s">
        <v>73</v>
      </c>
      <c r="S250" t="s">
        <v>979</v>
      </c>
      <c r="T250" t="s">
        <v>1568</v>
      </c>
      <c r="U250" t="s">
        <v>1569</v>
      </c>
      <c r="V250" t="s">
        <v>982</v>
      </c>
      <c r="W250" t="s">
        <v>66</v>
      </c>
      <c r="X250" t="s">
        <v>78</v>
      </c>
      <c r="Y250" t="s">
        <v>1570</v>
      </c>
      <c r="Z250" t="s">
        <v>182</v>
      </c>
      <c r="AA250" t="s">
        <v>984</v>
      </c>
      <c r="AB250" t="s">
        <v>984</v>
      </c>
      <c r="AC250" t="s">
        <v>82</v>
      </c>
      <c r="AD250" t="s">
        <v>83</v>
      </c>
      <c r="AE250" t="s">
        <v>66</v>
      </c>
      <c r="AF250" t="s">
        <v>876</v>
      </c>
    </row>
    <row r="251" spans="1:32">
      <c r="A251" t="s">
        <v>1571</v>
      </c>
      <c r="B251" t="s">
        <v>1101</v>
      </c>
      <c r="C251" t="s">
        <v>1572</v>
      </c>
      <c r="D251" t="s">
        <v>66</v>
      </c>
      <c r="E251" t="s">
        <v>67</v>
      </c>
      <c r="F251" t="s">
        <v>110</v>
      </c>
      <c r="G251" t="s">
        <v>111</v>
      </c>
      <c r="H251" t="s">
        <v>66</v>
      </c>
      <c r="I251" t="s">
        <v>66</v>
      </c>
      <c r="J251" t="s">
        <v>67</v>
      </c>
      <c r="K251" t="s">
        <v>71</v>
      </c>
      <c r="L251" t="s">
        <v>72</v>
      </c>
      <c r="M251" t="s">
        <v>73</v>
      </c>
      <c r="N251" t="s">
        <v>66</v>
      </c>
      <c r="O251" t="s">
        <v>73</v>
      </c>
      <c r="P251" t="s">
        <v>66</v>
      </c>
      <c r="Q251" t="s">
        <v>979</v>
      </c>
      <c r="R251" t="s">
        <v>73</v>
      </c>
      <c r="S251" t="s">
        <v>979</v>
      </c>
      <c r="T251" t="s">
        <v>1573</v>
      </c>
      <c r="U251" t="s">
        <v>1574</v>
      </c>
      <c r="V251" t="s">
        <v>982</v>
      </c>
      <c r="W251" t="s">
        <v>66</v>
      </c>
      <c r="X251" t="s">
        <v>78</v>
      </c>
      <c r="Y251" t="s">
        <v>1575</v>
      </c>
      <c r="Z251" t="s">
        <v>182</v>
      </c>
      <c r="AA251" t="s">
        <v>984</v>
      </c>
      <c r="AB251" t="s">
        <v>984</v>
      </c>
      <c r="AC251" t="s">
        <v>82</v>
      </c>
      <c r="AD251" t="s">
        <v>83</v>
      </c>
      <c r="AE251" t="s">
        <v>66</v>
      </c>
      <c r="AF251" t="s">
        <v>876</v>
      </c>
    </row>
    <row r="252" spans="1:32">
      <c r="A252" t="s">
        <v>1576</v>
      </c>
      <c r="B252" t="s">
        <v>162</v>
      </c>
      <c r="C252" t="s">
        <v>1577</v>
      </c>
      <c r="D252" t="s">
        <v>66</v>
      </c>
      <c r="E252" t="s">
        <v>67</v>
      </c>
      <c r="F252" t="s">
        <v>164</v>
      </c>
      <c r="G252" t="s">
        <v>165</v>
      </c>
      <c r="H252" t="s">
        <v>66</v>
      </c>
      <c r="I252" t="s">
        <v>66</v>
      </c>
      <c r="J252" t="s">
        <v>67</v>
      </c>
      <c r="K252" t="s">
        <v>71</v>
      </c>
      <c r="L252" t="s">
        <v>72</v>
      </c>
      <c r="M252" t="s">
        <v>73</v>
      </c>
      <c r="N252" t="s">
        <v>66</v>
      </c>
      <c r="O252" t="s">
        <v>73</v>
      </c>
      <c r="P252" t="s">
        <v>66</v>
      </c>
      <c r="Q252" t="s">
        <v>979</v>
      </c>
      <c r="R252" t="s">
        <v>73</v>
      </c>
      <c r="S252" t="s">
        <v>979</v>
      </c>
      <c r="T252" t="s">
        <v>1578</v>
      </c>
      <c r="U252" t="s">
        <v>1579</v>
      </c>
      <c r="V252" t="s">
        <v>982</v>
      </c>
      <c r="W252" t="s">
        <v>66</v>
      </c>
      <c r="X252" t="s">
        <v>78</v>
      </c>
      <c r="Y252" t="s">
        <v>1580</v>
      </c>
      <c r="Z252" t="s">
        <v>182</v>
      </c>
      <c r="AA252" t="s">
        <v>984</v>
      </c>
      <c r="AB252" t="s">
        <v>984</v>
      </c>
      <c r="AC252" t="s">
        <v>82</v>
      </c>
      <c r="AD252" t="s">
        <v>83</v>
      </c>
      <c r="AE252" t="s">
        <v>66</v>
      </c>
      <c r="AF252" t="s">
        <v>876</v>
      </c>
    </row>
    <row r="253" spans="1:32">
      <c r="A253" t="s">
        <v>1581</v>
      </c>
      <c r="B253" t="s">
        <v>308</v>
      </c>
      <c r="C253" t="s">
        <v>1582</v>
      </c>
      <c r="D253" t="s">
        <v>1582</v>
      </c>
      <c r="E253" t="s">
        <v>109</v>
      </c>
      <c r="F253" t="s">
        <v>110</v>
      </c>
      <c r="G253" t="s">
        <v>111</v>
      </c>
      <c r="H253" t="s">
        <v>66</v>
      </c>
      <c r="I253" t="s">
        <v>66</v>
      </c>
      <c r="J253" t="s">
        <v>67</v>
      </c>
      <c r="K253" t="s">
        <v>71</v>
      </c>
      <c r="L253" t="s">
        <v>72</v>
      </c>
      <c r="M253" t="s">
        <v>73</v>
      </c>
      <c r="N253" t="s">
        <v>66</v>
      </c>
      <c r="O253" t="s">
        <v>73</v>
      </c>
      <c r="P253" t="s">
        <v>66</v>
      </c>
      <c r="Q253" t="s">
        <v>979</v>
      </c>
      <c r="R253" t="s">
        <v>73</v>
      </c>
      <c r="S253" t="s">
        <v>979</v>
      </c>
      <c r="T253" t="s">
        <v>1583</v>
      </c>
      <c r="U253" t="s">
        <v>1584</v>
      </c>
      <c r="V253" t="s">
        <v>982</v>
      </c>
      <c r="W253" t="s">
        <v>66</v>
      </c>
      <c r="X253" t="s">
        <v>78</v>
      </c>
      <c r="Y253" t="s">
        <v>1585</v>
      </c>
      <c r="Z253" t="s">
        <v>182</v>
      </c>
      <c r="AA253" t="s">
        <v>984</v>
      </c>
      <c r="AB253" t="s">
        <v>984</v>
      </c>
      <c r="AC253" t="s">
        <v>82</v>
      </c>
      <c r="AD253" t="s">
        <v>83</v>
      </c>
      <c r="AE253" t="s">
        <v>66</v>
      </c>
      <c r="AF253" t="s">
        <v>876</v>
      </c>
    </row>
    <row r="254" spans="1:32">
      <c r="A254" t="s">
        <v>1586</v>
      </c>
      <c r="B254" t="s">
        <v>162</v>
      </c>
      <c r="C254" t="s">
        <v>1587</v>
      </c>
      <c r="D254" t="s">
        <v>66</v>
      </c>
      <c r="E254" t="s">
        <v>67</v>
      </c>
      <c r="F254" t="s">
        <v>164</v>
      </c>
      <c r="G254" t="s">
        <v>165</v>
      </c>
      <c r="H254" t="s">
        <v>66</v>
      </c>
      <c r="I254" t="s">
        <v>66</v>
      </c>
      <c r="J254" t="s">
        <v>67</v>
      </c>
      <c r="K254" t="s">
        <v>71</v>
      </c>
      <c r="L254" t="s">
        <v>72</v>
      </c>
      <c r="M254" t="s">
        <v>73</v>
      </c>
      <c r="N254" t="s">
        <v>66</v>
      </c>
      <c r="O254" t="s">
        <v>73</v>
      </c>
      <c r="P254" t="s">
        <v>66</v>
      </c>
      <c r="Q254" t="s">
        <v>979</v>
      </c>
      <c r="R254" t="s">
        <v>73</v>
      </c>
      <c r="S254" t="s">
        <v>979</v>
      </c>
      <c r="T254" t="s">
        <v>1588</v>
      </c>
      <c r="U254" t="s">
        <v>1589</v>
      </c>
      <c r="V254" t="s">
        <v>982</v>
      </c>
      <c r="W254" t="s">
        <v>66</v>
      </c>
      <c r="X254" t="s">
        <v>78</v>
      </c>
      <c r="Y254" t="s">
        <v>1590</v>
      </c>
      <c r="Z254" t="s">
        <v>182</v>
      </c>
      <c r="AA254" t="s">
        <v>984</v>
      </c>
      <c r="AB254" t="s">
        <v>984</v>
      </c>
      <c r="AC254" t="s">
        <v>82</v>
      </c>
      <c r="AD254" t="s">
        <v>83</v>
      </c>
      <c r="AE254" t="s">
        <v>66</v>
      </c>
      <c r="AF254" t="s">
        <v>876</v>
      </c>
    </row>
    <row r="255" spans="1:32">
      <c r="A255" t="s">
        <v>1591</v>
      </c>
      <c r="B255" t="s">
        <v>1307</v>
      </c>
      <c r="C255" t="s">
        <v>1592</v>
      </c>
      <c r="D255" t="s">
        <v>66</v>
      </c>
      <c r="E255" t="s">
        <v>67</v>
      </c>
      <c r="F255" t="s">
        <v>68</v>
      </c>
      <c r="G255" t="s">
        <v>69</v>
      </c>
      <c r="H255" t="s">
        <v>66</v>
      </c>
      <c r="I255" t="s">
        <v>66</v>
      </c>
      <c r="J255" t="s">
        <v>67</v>
      </c>
      <c r="K255" t="s">
        <v>71</v>
      </c>
      <c r="L255" t="s">
        <v>72</v>
      </c>
      <c r="M255" t="s">
        <v>73</v>
      </c>
      <c r="N255" t="s">
        <v>66</v>
      </c>
      <c r="O255" t="s">
        <v>73</v>
      </c>
      <c r="P255" t="s">
        <v>66</v>
      </c>
      <c r="Q255" t="s">
        <v>979</v>
      </c>
      <c r="R255" t="s">
        <v>73</v>
      </c>
      <c r="S255" t="s">
        <v>979</v>
      </c>
      <c r="T255" t="s">
        <v>1593</v>
      </c>
      <c r="U255" t="s">
        <v>1594</v>
      </c>
      <c r="V255" t="s">
        <v>982</v>
      </c>
      <c r="W255" t="s">
        <v>66</v>
      </c>
      <c r="X255" t="s">
        <v>78</v>
      </c>
      <c r="Y255" t="s">
        <v>1595</v>
      </c>
      <c r="Z255" t="s">
        <v>182</v>
      </c>
      <c r="AA255" t="s">
        <v>984</v>
      </c>
      <c r="AB255" t="s">
        <v>984</v>
      </c>
      <c r="AC255" t="s">
        <v>82</v>
      </c>
      <c r="AD255" t="s">
        <v>83</v>
      </c>
      <c r="AE255" t="s">
        <v>66</v>
      </c>
      <c r="AF255" t="s">
        <v>876</v>
      </c>
    </row>
    <row r="256" spans="1:32">
      <c r="A256" t="s">
        <v>1596</v>
      </c>
      <c r="B256" t="s">
        <v>1064</v>
      </c>
      <c r="C256" t="s">
        <v>1597</v>
      </c>
      <c r="D256" t="s">
        <v>66</v>
      </c>
      <c r="E256" t="s">
        <v>67</v>
      </c>
      <c r="F256" t="s">
        <v>110</v>
      </c>
      <c r="G256" t="s">
        <v>111</v>
      </c>
      <c r="H256" t="s">
        <v>66</v>
      </c>
      <c r="I256" t="s">
        <v>66</v>
      </c>
      <c r="J256" t="s">
        <v>67</v>
      </c>
      <c r="K256" t="s">
        <v>71</v>
      </c>
      <c r="L256" t="s">
        <v>72</v>
      </c>
      <c r="M256" t="s">
        <v>73</v>
      </c>
      <c r="N256" t="s">
        <v>66</v>
      </c>
      <c r="O256" t="s">
        <v>73</v>
      </c>
      <c r="P256" t="s">
        <v>66</v>
      </c>
      <c r="Q256" t="s">
        <v>979</v>
      </c>
      <c r="R256" t="s">
        <v>73</v>
      </c>
      <c r="S256" t="s">
        <v>979</v>
      </c>
      <c r="T256" t="s">
        <v>1598</v>
      </c>
      <c r="U256" t="s">
        <v>1599</v>
      </c>
      <c r="V256" t="s">
        <v>982</v>
      </c>
      <c r="W256" t="s">
        <v>66</v>
      </c>
      <c r="X256" t="s">
        <v>78</v>
      </c>
      <c r="Y256" t="s">
        <v>1600</v>
      </c>
      <c r="Z256" t="s">
        <v>182</v>
      </c>
      <c r="AA256" t="s">
        <v>984</v>
      </c>
      <c r="AB256" t="s">
        <v>984</v>
      </c>
      <c r="AC256" t="s">
        <v>82</v>
      </c>
      <c r="AD256" t="s">
        <v>83</v>
      </c>
      <c r="AE256" t="s">
        <v>66</v>
      </c>
      <c r="AF256" t="s">
        <v>876</v>
      </c>
    </row>
    <row r="257" spans="1:32">
      <c r="A257" t="s">
        <v>1601</v>
      </c>
      <c r="B257" t="s">
        <v>1101</v>
      </c>
      <c r="C257" t="s">
        <v>1602</v>
      </c>
      <c r="D257" t="s">
        <v>66</v>
      </c>
      <c r="E257" t="s">
        <v>67</v>
      </c>
      <c r="F257" t="s">
        <v>110</v>
      </c>
      <c r="G257" t="s">
        <v>111</v>
      </c>
      <c r="H257" t="s">
        <v>66</v>
      </c>
      <c r="I257" t="s">
        <v>66</v>
      </c>
      <c r="J257" t="s">
        <v>67</v>
      </c>
      <c r="K257" t="s">
        <v>71</v>
      </c>
      <c r="L257" t="s">
        <v>72</v>
      </c>
      <c r="M257" t="s">
        <v>73</v>
      </c>
      <c r="N257" t="s">
        <v>66</v>
      </c>
      <c r="O257" t="s">
        <v>73</v>
      </c>
      <c r="P257" t="s">
        <v>66</v>
      </c>
      <c r="Q257" t="s">
        <v>979</v>
      </c>
      <c r="R257" t="s">
        <v>73</v>
      </c>
      <c r="S257" t="s">
        <v>979</v>
      </c>
      <c r="T257" t="s">
        <v>1603</v>
      </c>
      <c r="U257" t="s">
        <v>1604</v>
      </c>
      <c r="V257" t="s">
        <v>982</v>
      </c>
      <c r="W257" t="s">
        <v>66</v>
      </c>
      <c r="X257" t="s">
        <v>78</v>
      </c>
      <c r="Y257" t="s">
        <v>1605</v>
      </c>
      <c r="Z257" t="s">
        <v>182</v>
      </c>
      <c r="AA257" t="s">
        <v>984</v>
      </c>
      <c r="AB257" t="s">
        <v>984</v>
      </c>
      <c r="AC257" t="s">
        <v>82</v>
      </c>
      <c r="AD257" t="s">
        <v>83</v>
      </c>
      <c r="AE257" t="s">
        <v>66</v>
      </c>
      <c r="AF257" t="s">
        <v>876</v>
      </c>
    </row>
    <row r="258" spans="1:32">
      <c r="A258" t="s">
        <v>1606</v>
      </c>
      <c r="B258" t="s">
        <v>841</v>
      </c>
      <c r="C258" t="s">
        <v>1607</v>
      </c>
      <c r="D258" t="s">
        <v>1607</v>
      </c>
      <c r="E258" t="s">
        <v>109</v>
      </c>
      <c r="F258" t="s">
        <v>110</v>
      </c>
      <c r="G258" t="s">
        <v>111</v>
      </c>
      <c r="H258" t="s">
        <v>66</v>
      </c>
      <c r="I258" t="s">
        <v>66</v>
      </c>
      <c r="J258" t="s">
        <v>67</v>
      </c>
      <c r="K258" t="s">
        <v>71</v>
      </c>
      <c r="L258" t="s">
        <v>72</v>
      </c>
      <c r="M258" t="s">
        <v>73</v>
      </c>
      <c r="N258" t="s">
        <v>66</v>
      </c>
      <c r="O258" t="s">
        <v>73</v>
      </c>
      <c r="P258" t="s">
        <v>66</v>
      </c>
      <c r="Q258" t="s">
        <v>979</v>
      </c>
      <c r="R258" t="s">
        <v>73</v>
      </c>
      <c r="S258" t="s">
        <v>979</v>
      </c>
      <c r="T258" t="s">
        <v>1608</v>
      </c>
      <c r="U258" t="s">
        <v>1609</v>
      </c>
      <c r="V258" t="s">
        <v>982</v>
      </c>
      <c r="W258" t="s">
        <v>66</v>
      </c>
      <c r="X258" t="s">
        <v>78</v>
      </c>
      <c r="Y258" t="s">
        <v>1610</v>
      </c>
      <c r="Z258" t="s">
        <v>182</v>
      </c>
      <c r="AA258" t="s">
        <v>984</v>
      </c>
      <c r="AB258" t="s">
        <v>984</v>
      </c>
      <c r="AC258" t="s">
        <v>82</v>
      </c>
      <c r="AD258" t="s">
        <v>83</v>
      </c>
      <c r="AE258" t="s">
        <v>66</v>
      </c>
      <c r="AF258" t="s">
        <v>876</v>
      </c>
    </row>
    <row r="259" spans="1:32">
      <c r="A259" t="s">
        <v>1611</v>
      </c>
      <c r="B259" t="s">
        <v>1612</v>
      </c>
      <c r="C259" t="s">
        <v>1613</v>
      </c>
      <c r="D259" t="s">
        <v>66</v>
      </c>
      <c r="E259" t="s">
        <v>67</v>
      </c>
      <c r="F259" t="s">
        <v>110</v>
      </c>
      <c r="G259" t="s">
        <v>111</v>
      </c>
      <c r="H259" t="s">
        <v>66</v>
      </c>
      <c r="I259" t="s">
        <v>66</v>
      </c>
      <c r="J259" t="s">
        <v>67</v>
      </c>
      <c r="K259" t="s">
        <v>71</v>
      </c>
      <c r="L259" t="s">
        <v>72</v>
      </c>
      <c r="M259" t="s">
        <v>73</v>
      </c>
      <c r="N259" t="s">
        <v>66</v>
      </c>
      <c r="O259" t="s">
        <v>73</v>
      </c>
      <c r="P259" t="s">
        <v>66</v>
      </c>
      <c r="Q259" t="s">
        <v>979</v>
      </c>
      <c r="R259" t="s">
        <v>73</v>
      </c>
      <c r="S259" t="s">
        <v>979</v>
      </c>
      <c r="T259" t="s">
        <v>1614</v>
      </c>
      <c r="U259" t="s">
        <v>1615</v>
      </c>
      <c r="V259" t="s">
        <v>982</v>
      </c>
      <c r="W259" t="s">
        <v>66</v>
      </c>
      <c r="X259" t="s">
        <v>78</v>
      </c>
      <c r="Y259" t="s">
        <v>1616</v>
      </c>
      <c r="Z259" t="s">
        <v>182</v>
      </c>
      <c r="AA259" t="s">
        <v>984</v>
      </c>
      <c r="AB259" t="s">
        <v>984</v>
      </c>
      <c r="AC259" t="s">
        <v>82</v>
      </c>
      <c r="AD259" t="s">
        <v>83</v>
      </c>
      <c r="AE259" t="s">
        <v>66</v>
      </c>
      <c r="AF259" t="s">
        <v>876</v>
      </c>
    </row>
    <row r="260" spans="1:32">
      <c r="A260" t="s">
        <v>1617</v>
      </c>
      <c r="B260" t="s">
        <v>107</v>
      </c>
      <c r="C260" t="s">
        <v>1618</v>
      </c>
      <c r="D260" t="s">
        <v>1618</v>
      </c>
      <c r="E260" t="s">
        <v>109</v>
      </c>
      <c r="F260" t="s">
        <v>110</v>
      </c>
      <c r="G260" t="s">
        <v>111</v>
      </c>
      <c r="H260" t="s">
        <v>66</v>
      </c>
      <c r="I260" t="s">
        <v>66</v>
      </c>
      <c r="J260" t="s">
        <v>67</v>
      </c>
      <c r="K260" t="s">
        <v>71</v>
      </c>
      <c r="L260" t="s">
        <v>72</v>
      </c>
      <c r="M260" t="s">
        <v>73</v>
      </c>
      <c r="N260" t="s">
        <v>66</v>
      </c>
      <c r="O260" t="s">
        <v>73</v>
      </c>
      <c r="P260" t="s">
        <v>66</v>
      </c>
      <c r="Q260" t="s">
        <v>979</v>
      </c>
      <c r="R260" t="s">
        <v>73</v>
      </c>
      <c r="S260" t="s">
        <v>979</v>
      </c>
      <c r="T260" t="s">
        <v>1619</v>
      </c>
      <c r="U260" t="s">
        <v>1620</v>
      </c>
      <c r="V260" t="s">
        <v>982</v>
      </c>
      <c r="W260" t="s">
        <v>66</v>
      </c>
      <c r="X260" t="s">
        <v>78</v>
      </c>
      <c r="Y260" t="s">
        <v>1621</v>
      </c>
      <c r="Z260" t="s">
        <v>182</v>
      </c>
      <c r="AA260" t="s">
        <v>984</v>
      </c>
      <c r="AB260" t="s">
        <v>984</v>
      </c>
      <c r="AC260" t="s">
        <v>82</v>
      </c>
      <c r="AD260" t="s">
        <v>83</v>
      </c>
      <c r="AE260" t="s">
        <v>66</v>
      </c>
      <c r="AF260" t="s">
        <v>876</v>
      </c>
    </row>
    <row r="261" spans="1:32">
      <c r="A261" t="s">
        <v>1622</v>
      </c>
      <c r="B261" t="s">
        <v>1129</v>
      </c>
      <c r="C261" t="s">
        <v>1623</v>
      </c>
      <c r="D261" t="s">
        <v>66</v>
      </c>
      <c r="E261" t="s">
        <v>67</v>
      </c>
      <c r="F261" t="s">
        <v>947</v>
      </c>
      <c r="G261" t="s">
        <v>948</v>
      </c>
      <c r="H261" t="s">
        <v>66</v>
      </c>
      <c r="I261" t="s">
        <v>66</v>
      </c>
      <c r="J261" t="s">
        <v>67</v>
      </c>
      <c r="K261" t="s">
        <v>71</v>
      </c>
      <c r="L261" t="s">
        <v>72</v>
      </c>
      <c r="M261" t="s">
        <v>73</v>
      </c>
      <c r="N261" t="s">
        <v>66</v>
      </c>
      <c r="O261" t="s">
        <v>73</v>
      </c>
      <c r="P261" t="s">
        <v>66</v>
      </c>
      <c r="Q261" t="s">
        <v>979</v>
      </c>
      <c r="R261" t="s">
        <v>73</v>
      </c>
      <c r="S261" t="s">
        <v>979</v>
      </c>
      <c r="T261" t="s">
        <v>1624</v>
      </c>
      <c r="U261" t="s">
        <v>1625</v>
      </c>
      <c r="V261" t="s">
        <v>982</v>
      </c>
      <c r="W261" t="s">
        <v>66</v>
      </c>
      <c r="X261" t="s">
        <v>78</v>
      </c>
      <c r="Y261" t="s">
        <v>1626</v>
      </c>
      <c r="Z261" t="s">
        <v>182</v>
      </c>
      <c r="AA261" t="s">
        <v>984</v>
      </c>
      <c r="AB261" t="s">
        <v>984</v>
      </c>
      <c r="AC261" t="s">
        <v>82</v>
      </c>
      <c r="AD261" t="s">
        <v>83</v>
      </c>
      <c r="AE261" t="s">
        <v>66</v>
      </c>
      <c r="AF261" t="s">
        <v>876</v>
      </c>
    </row>
    <row r="262" spans="1:32">
      <c r="A262" t="s">
        <v>1627</v>
      </c>
      <c r="B262" t="s">
        <v>162</v>
      </c>
      <c r="C262" t="s">
        <v>1628</v>
      </c>
      <c r="D262" t="s">
        <v>66</v>
      </c>
      <c r="E262" t="s">
        <v>67</v>
      </c>
      <c r="F262" t="s">
        <v>164</v>
      </c>
      <c r="G262" t="s">
        <v>165</v>
      </c>
      <c r="H262" t="s">
        <v>66</v>
      </c>
      <c r="I262" t="s">
        <v>66</v>
      </c>
      <c r="J262" t="s">
        <v>67</v>
      </c>
      <c r="K262" t="s">
        <v>71</v>
      </c>
      <c r="L262" t="s">
        <v>72</v>
      </c>
      <c r="M262" t="s">
        <v>73</v>
      </c>
      <c r="N262" t="s">
        <v>66</v>
      </c>
      <c r="O262" t="s">
        <v>73</v>
      </c>
      <c r="P262" t="s">
        <v>66</v>
      </c>
      <c r="Q262" t="s">
        <v>979</v>
      </c>
      <c r="R262" t="s">
        <v>73</v>
      </c>
      <c r="S262" t="s">
        <v>979</v>
      </c>
      <c r="T262" t="s">
        <v>1629</v>
      </c>
      <c r="U262" t="s">
        <v>1630</v>
      </c>
      <c r="V262" t="s">
        <v>982</v>
      </c>
      <c r="W262" t="s">
        <v>66</v>
      </c>
      <c r="X262" t="s">
        <v>78</v>
      </c>
      <c r="Y262" t="s">
        <v>1631</v>
      </c>
      <c r="Z262" t="s">
        <v>182</v>
      </c>
      <c r="AA262" t="s">
        <v>984</v>
      </c>
      <c r="AB262" t="s">
        <v>984</v>
      </c>
      <c r="AC262" t="s">
        <v>82</v>
      </c>
      <c r="AD262" t="s">
        <v>83</v>
      </c>
      <c r="AE262" t="s">
        <v>66</v>
      </c>
      <c r="AF262" t="s">
        <v>876</v>
      </c>
    </row>
    <row r="263" spans="1:32">
      <c r="A263" t="s">
        <v>1632</v>
      </c>
      <c r="B263" t="s">
        <v>986</v>
      </c>
      <c r="C263" t="s">
        <v>1633</v>
      </c>
      <c r="D263" t="s">
        <v>66</v>
      </c>
      <c r="E263" t="s">
        <v>67</v>
      </c>
      <c r="F263" t="s">
        <v>988</v>
      </c>
      <c r="G263" t="s">
        <v>989</v>
      </c>
      <c r="H263" t="s">
        <v>66</v>
      </c>
      <c r="I263" t="s">
        <v>66</v>
      </c>
      <c r="J263" t="s">
        <v>67</v>
      </c>
      <c r="K263" t="s">
        <v>71</v>
      </c>
      <c r="L263" t="s">
        <v>72</v>
      </c>
      <c r="M263" t="s">
        <v>73</v>
      </c>
      <c r="N263" t="s">
        <v>66</v>
      </c>
      <c r="O263" t="s">
        <v>73</v>
      </c>
      <c r="P263" t="s">
        <v>66</v>
      </c>
      <c r="Q263" t="s">
        <v>979</v>
      </c>
      <c r="R263" t="s">
        <v>73</v>
      </c>
      <c r="S263" t="s">
        <v>979</v>
      </c>
      <c r="T263" t="s">
        <v>1634</v>
      </c>
      <c r="U263" t="s">
        <v>1635</v>
      </c>
      <c r="V263" t="s">
        <v>982</v>
      </c>
      <c r="W263" t="s">
        <v>66</v>
      </c>
      <c r="X263" t="s">
        <v>78</v>
      </c>
      <c r="Y263" t="s">
        <v>1636</v>
      </c>
      <c r="Z263" t="s">
        <v>182</v>
      </c>
      <c r="AA263" t="s">
        <v>984</v>
      </c>
      <c r="AB263" t="s">
        <v>984</v>
      </c>
      <c r="AC263" t="s">
        <v>82</v>
      </c>
      <c r="AD263" t="s">
        <v>83</v>
      </c>
      <c r="AE263" t="s">
        <v>66</v>
      </c>
      <c r="AF263" t="s">
        <v>876</v>
      </c>
    </row>
    <row r="264" spans="1:32">
      <c r="A264" t="s">
        <v>1637</v>
      </c>
      <c r="B264" t="s">
        <v>162</v>
      </c>
      <c r="C264" t="s">
        <v>1638</v>
      </c>
      <c r="D264" t="s">
        <v>66</v>
      </c>
      <c r="E264" t="s">
        <v>67</v>
      </c>
      <c r="F264" t="s">
        <v>164</v>
      </c>
      <c r="G264" t="s">
        <v>165</v>
      </c>
      <c r="H264" t="s">
        <v>66</v>
      </c>
      <c r="I264" t="s">
        <v>66</v>
      </c>
      <c r="J264" t="s">
        <v>67</v>
      </c>
      <c r="K264" t="s">
        <v>71</v>
      </c>
      <c r="L264" t="s">
        <v>72</v>
      </c>
      <c r="M264" t="s">
        <v>73</v>
      </c>
      <c r="N264" t="s">
        <v>66</v>
      </c>
      <c r="O264" t="s">
        <v>73</v>
      </c>
      <c r="P264" t="s">
        <v>66</v>
      </c>
      <c r="Q264" t="s">
        <v>979</v>
      </c>
      <c r="R264" t="s">
        <v>73</v>
      </c>
      <c r="S264" t="s">
        <v>979</v>
      </c>
      <c r="T264" t="s">
        <v>1639</v>
      </c>
      <c r="U264" t="s">
        <v>1640</v>
      </c>
      <c r="V264" t="s">
        <v>982</v>
      </c>
      <c r="W264" t="s">
        <v>66</v>
      </c>
      <c r="X264" t="s">
        <v>78</v>
      </c>
      <c r="Y264" t="s">
        <v>1641</v>
      </c>
      <c r="Z264" t="s">
        <v>182</v>
      </c>
      <c r="AA264" t="s">
        <v>984</v>
      </c>
      <c r="AB264" t="s">
        <v>984</v>
      </c>
      <c r="AC264" t="s">
        <v>82</v>
      </c>
      <c r="AD264" t="s">
        <v>83</v>
      </c>
      <c r="AE264" t="s">
        <v>66</v>
      </c>
      <c r="AF264" t="s">
        <v>876</v>
      </c>
    </row>
    <row r="265" spans="1:32">
      <c r="A265" t="s">
        <v>1642</v>
      </c>
      <c r="B265" t="s">
        <v>986</v>
      </c>
      <c r="C265" t="s">
        <v>1643</v>
      </c>
      <c r="D265" t="s">
        <v>66</v>
      </c>
      <c r="E265" t="s">
        <v>67</v>
      </c>
      <c r="F265" t="s">
        <v>988</v>
      </c>
      <c r="G265" t="s">
        <v>989</v>
      </c>
      <c r="H265" t="s">
        <v>66</v>
      </c>
      <c r="I265" t="s">
        <v>66</v>
      </c>
      <c r="J265" t="s">
        <v>67</v>
      </c>
      <c r="K265" t="s">
        <v>71</v>
      </c>
      <c r="L265" t="s">
        <v>72</v>
      </c>
      <c r="M265" t="s">
        <v>73</v>
      </c>
      <c r="N265" t="s">
        <v>66</v>
      </c>
      <c r="O265" t="s">
        <v>73</v>
      </c>
      <c r="P265" t="s">
        <v>66</v>
      </c>
      <c r="Q265" t="s">
        <v>979</v>
      </c>
      <c r="R265" t="s">
        <v>73</v>
      </c>
      <c r="S265" t="s">
        <v>979</v>
      </c>
      <c r="T265" t="s">
        <v>1644</v>
      </c>
      <c r="U265" t="s">
        <v>1645</v>
      </c>
      <c r="V265" t="s">
        <v>982</v>
      </c>
      <c r="W265" t="s">
        <v>66</v>
      </c>
      <c r="X265" t="s">
        <v>78</v>
      </c>
      <c r="Y265" t="s">
        <v>1646</v>
      </c>
      <c r="Z265" t="s">
        <v>182</v>
      </c>
      <c r="AA265" t="s">
        <v>984</v>
      </c>
      <c r="AB265" t="s">
        <v>984</v>
      </c>
      <c r="AC265" t="s">
        <v>82</v>
      </c>
      <c r="AD265" t="s">
        <v>83</v>
      </c>
      <c r="AE265" t="s">
        <v>66</v>
      </c>
      <c r="AF265" t="s">
        <v>876</v>
      </c>
    </row>
    <row r="266" spans="1:32">
      <c r="A266" t="s">
        <v>1647</v>
      </c>
      <c r="B266" t="s">
        <v>1648</v>
      </c>
      <c r="C266" t="s">
        <v>1649</v>
      </c>
      <c r="D266" t="s">
        <v>66</v>
      </c>
      <c r="E266" t="s">
        <v>109</v>
      </c>
      <c r="F266" t="s">
        <v>110</v>
      </c>
      <c r="G266" t="s">
        <v>111</v>
      </c>
      <c r="H266" t="s">
        <v>66</v>
      </c>
      <c r="I266" t="s">
        <v>66</v>
      </c>
      <c r="J266" t="s">
        <v>67</v>
      </c>
      <c r="K266" t="s">
        <v>71</v>
      </c>
      <c r="L266" t="s">
        <v>72</v>
      </c>
      <c r="M266" t="s">
        <v>73</v>
      </c>
      <c r="N266" t="s">
        <v>66</v>
      </c>
      <c r="O266" t="s">
        <v>73</v>
      </c>
      <c r="P266" t="s">
        <v>66</v>
      </c>
      <c r="Q266" t="s">
        <v>979</v>
      </c>
      <c r="R266" t="s">
        <v>73</v>
      </c>
      <c r="S266" t="s">
        <v>979</v>
      </c>
      <c r="T266" t="s">
        <v>1650</v>
      </c>
      <c r="U266" t="s">
        <v>1651</v>
      </c>
      <c r="V266" t="s">
        <v>982</v>
      </c>
      <c r="W266" t="s">
        <v>66</v>
      </c>
      <c r="X266" t="s">
        <v>78</v>
      </c>
      <c r="Y266" t="s">
        <v>1652</v>
      </c>
      <c r="Z266" t="s">
        <v>182</v>
      </c>
      <c r="AA266" t="s">
        <v>984</v>
      </c>
      <c r="AB266" t="s">
        <v>984</v>
      </c>
      <c r="AC266" t="s">
        <v>82</v>
      </c>
      <c r="AD266" t="s">
        <v>83</v>
      </c>
      <c r="AE266" t="s">
        <v>66</v>
      </c>
      <c r="AF266" t="s">
        <v>876</v>
      </c>
    </row>
    <row r="267" spans="1:32">
      <c r="A267" t="s">
        <v>1653</v>
      </c>
      <c r="B267" t="s">
        <v>1064</v>
      </c>
      <c r="C267" t="s">
        <v>1654</v>
      </c>
      <c r="D267" t="s">
        <v>66</v>
      </c>
      <c r="E267" t="s">
        <v>67</v>
      </c>
      <c r="F267" t="s">
        <v>110</v>
      </c>
      <c r="G267" t="s">
        <v>111</v>
      </c>
      <c r="H267" t="s">
        <v>66</v>
      </c>
      <c r="I267" t="s">
        <v>66</v>
      </c>
      <c r="J267" t="s">
        <v>67</v>
      </c>
      <c r="K267" t="s">
        <v>71</v>
      </c>
      <c r="L267" t="s">
        <v>72</v>
      </c>
      <c r="M267" t="s">
        <v>73</v>
      </c>
      <c r="N267" t="s">
        <v>66</v>
      </c>
      <c r="O267" t="s">
        <v>73</v>
      </c>
      <c r="P267" t="s">
        <v>66</v>
      </c>
      <c r="Q267" t="s">
        <v>979</v>
      </c>
      <c r="R267" t="s">
        <v>73</v>
      </c>
      <c r="S267" t="s">
        <v>979</v>
      </c>
      <c r="T267" t="s">
        <v>1655</v>
      </c>
      <c r="U267" t="s">
        <v>1656</v>
      </c>
      <c r="V267" t="s">
        <v>982</v>
      </c>
      <c r="W267" t="s">
        <v>66</v>
      </c>
      <c r="X267" t="s">
        <v>78</v>
      </c>
      <c r="Y267" t="s">
        <v>1657</v>
      </c>
      <c r="Z267" t="s">
        <v>182</v>
      </c>
      <c r="AA267" t="s">
        <v>984</v>
      </c>
      <c r="AB267" t="s">
        <v>984</v>
      </c>
      <c r="AC267" t="s">
        <v>82</v>
      </c>
      <c r="AD267" t="s">
        <v>83</v>
      </c>
      <c r="AE267" t="s">
        <v>66</v>
      </c>
      <c r="AF267" t="s">
        <v>876</v>
      </c>
    </row>
    <row r="268" spans="1:32">
      <c r="A268" t="s">
        <v>1658</v>
      </c>
      <c r="B268" t="s">
        <v>1041</v>
      </c>
      <c r="C268" t="s">
        <v>1659</v>
      </c>
      <c r="D268" t="s">
        <v>1659</v>
      </c>
      <c r="E268" t="s">
        <v>109</v>
      </c>
      <c r="F268" t="s">
        <v>68</v>
      </c>
      <c r="G268" t="s">
        <v>69</v>
      </c>
      <c r="H268" t="s">
        <v>66</v>
      </c>
      <c r="I268" t="s">
        <v>66</v>
      </c>
      <c r="J268" t="s">
        <v>67</v>
      </c>
      <c r="K268" t="s">
        <v>71</v>
      </c>
      <c r="L268" t="s">
        <v>72</v>
      </c>
      <c r="M268" t="s">
        <v>73</v>
      </c>
      <c r="N268" t="s">
        <v>66</v>
      </c>
      <c r="O268" t="s">
        <v>73</v>
      </c>
      <c r="P268" t="s">
        <v>66</v>
      </c>
      <c r="Q268" t="s">
        <v>979</v>
      </c>
      <c r="R268" t="s">
        <v>73</v>
      </c>
      <c r="S268" t="s">
        <v>979</v>
      </c>
      <c r="T268" t="s">
        <v>1660</v>
      </c>
      <c r="U268" t="s">
        <v>1661</v>
      </c>
      <c r="V268" t="s">
        <v>982</v>
      </c>
      <c r="W268" t="s">
        <v>66</v>
      </c>
      <c r="X268" t="s">
        <v>78</v>
      </c>
      <c r="Y268" t="s">
        <v>1662</v>
      </c>
      <c r="Z268" t="s">
        <v>182</v>
      </c>
      <c r="AA268" t="s">
        <v>984</v>
      </c>
      <c r="AB268" t="s">
        <v>984</v>
      </c>
      <c r="AC268" t="s">
        <v>82</v>
      </c>
      <c r="AD268" t="s">
        <v>83</v>
      </c>
      <c r="AE268" t="s">
        <v>66</v>
      </c>
      <c r="AF268" t="s">
        <v>876</v>
      </c>
    </row>
    <row r="269" spans="1:32">
      <c r="A269" t="s">
        <v>1663</v>
      </c>
      <c r="B269" t="s">
        <v>86</v>
      </c>
      <c r="C269" t="s">
        <v>1664</v>
      </c>
      <c r="D269" t="s">
        <v>66</v>
      </c>
      <c r="E269" t="s">
        <v>67</v>
      </c>
      <c r="F269" t="s">
        <v>68</v>
      </c>
      <c r="G269" t="s">
        <v>69</v>
      </c>
      <c r="H269" t="s">
        <v>66</v>
      </c>
      <c r="I269" t="s">
        <v>66</v>
      </c>
      <c r="J269" t="s">
        <v>67</v>
      </c>
      <c r="K269" t="s">
        <v>71</v>
      </c>
      <c r="L269" t="s">
        <v>72</v>
      </c>
      <c r="M269" t="s">
        <v>73</v>
      </c>
      <c r="N269" t="s">
        <v>66</v>
      </c>
      <c r="O269" t="s">
        <v>73</v>
      </c>
      <c r="P269" t="s">
        <v>66</v>
      </c>
      <c r="Q269" t="s">
        <v>979</v>
      </c>
      <c r="R269" t="s">
        <v>73</v>
      </c>
      <c r="S269" t="s">
        <v>979</v>
      </c>
      <c r="T269" t="s">
        <v>1665</v>
      </c>
      <c r="U269" t="s">
        <v>1666</v>
      </c>
      <c r="V269" t="s">
        <v>982</v>
      </c>
      <c r="W269" t="s">
        <v>66</v>
      </c>
      <c r="X269" t="s">
        <v>78</v>
      </c>
      <c r="Y269" t="s">
        <v>1667</v>
      </c>
      <c r="Z269" t="s">
        <v>182</v>
      </c>
      <c r="AA269" t="s">
        <v>984</v>
      </c>
      <c r="AB269" t="s">
        <v>984</v>
      </c>
      <c r="AC269" t="s">
        <v>82</v>
      </c>
      <c r="AD269" t="s">
        <v>83</v>
      </c>
      <c r="AE269" t="s">
        <v>66</v>
      </c>
      <c r="AF269" t="s">
        <v>876</v>
      </c>
    </row>
    <row r="270" spans="1:32">
      <c r="A270" t="s">
        <v>1668</v>
      </c>
      <c r="B270" t="s">
        <v>841</v>
      </c>
      <c r="C270" t="s">
        <v>1669</v>
      </c>
      <c r="D270" t="s">
        <v>1669</v>
      </c>
      <c r="E270" t="s">
        <v>109</v>
      </c>
      <c r="F270" t="s">
        <v>110</v>
      </c>
      <c r="G270" t="s">
        <v>111</v>
      </c>
      <c r="H270" t="s">
        <v>66</v>
      </c>
      <c r="I270" t="s">
        <v>66</v>
      </c>
      <c r="J270" t="s">
        <v>67</v>
      </c>
      <c r="K270" t="s">
        <v>71</v>
      </c>
      <c r="L270" t="s">
        <v>72</v>
      </c>
      <c r="M270" t="s">
        <v>73</v>
      </c>
      <c r="N270" t="s">
        <v>66</v>
      </c>
      <c r="O270" t="s">
        <v>73</v>
      </c>
      <c r="P270" t="s">
        <v>66</v>
      </c>
      <c r="Q270" t="s">
        <v>979</v>
      </c>
      <c r="R270" t="s">
        <v>73</v>
      </c>
      <c r="S270" t="s">
        <v>979</v>
      </c>
      <c r="T270" t="s">
        <v>1670</v>
      </c>
      <c r="U270" t="s">
        <v>1671</v>
      </c>
      <c r="V270" t="s">
        <v>982</v>
      </c>
      <c r="W270" t="s">
        <v>66</v>
      </c>
      <c r="X270" t="s">
        <v>78</v>
      </c>
      <c r="Y270" t="s">
        <v>1672</v>
      </c>
      <c r="Z270" t="s">
        <v>182</v>
      </c>
      <c r="AA270" t="s">
        <v>984</v>
      </c>
      <c r="AB270" t="s">
        <v>984</v>
      </c>
      <c r="AC270" t="s">
        <v>82</v>
      </c>
      <c r="AD270" t="s">
        <v>83</v>
      </c>
      <c r="AE270" t="s">
        <v>66</v>
      </c>
      <c r="AF270" t="s">
        <v>876</v>
      </c>
    </row>
    <row r="271" spans="1:32">
      <c r="A271" t="s">
        <v>1673</v>
      </c>
      <c r="B271" t="s">
        <v>1004</v>
      </c>
      <c r="C271" t="s">
        <v>1674</v>
      </c>
      <c r="D271" t="s">
        <v>66</v>
      </c>
      <c r="E271" t="s">
        <v>67</v>
      </c>
      <c r="F271" t="s">
        <v>68</v>
      </c>
      <c r="G271" t="s">
        <v>69</v>
      </c>
      <c r="H271" t="s">
        <v>66</v>
      </c>
      <c r="I271" t="s">
        <v>66</v>
      </c>
      <c r="J271" t="s">
        <v>67</v>
      </c>
      <c r="K271" t="s">
        <v>71</v>
      </c>
      <c r="L271" t="s">
        <v>72</v>
      </c>
      <c r="M271" t="s">
        <v>73</v>
      </c>
      <c r="N271" t="s">
        <v>66</v>
      </c>
      <c r="O271" t="s">
        <v>73</v>
      </c>
      <c r="P271" t="s">
        <v>66</v>
      </c>
      <c r="Q271" t="s">
        <v>979</v>
      </c>
      <c r="R271" t="s">
        <v>73</v>
      </c>
      <c r="S271" t="s">
        <v>979</v>
      </c>
      <c r="T271" t="s">
        <v>1675</v>
      </c>
      <c r="U271" t="s">
        <v>1676</v>
      </c>
      <c r="V271" t="s">
        <v>982</v>
      </c>
      <c r="W271" t="s">
        <v>66</v>
      </c>
      <c r="X271" t="s">
        <v>78</v>
      </c>
      <c r="Y271" t="s">
        <v>1677</v>
      </c>
      <c r="Z271" t="s">
        <v>182</v>
      </c>
      <c r="AA271" t="s">
        <v>984</v>
      </c>
      <c r="AB271" t="s">
        <v>984</v>
      </c>
      <c r="AC271" t="s">
        <v>82</v>
      </c>
      <c r="AD271" t="s">
        <v>83</v>
      </c>
      <c r="AE271" t="s">
        <v>66</v>
      </c>
      <c r="AF271" t="s">
        <v>876</v>
      </c>
    </row>
    <row r="272" spans="1:32">
      <c r="A272" t="s">
        <v>1678</v>
      </c>
      <c r="B272" t="s">
        <v>359</v>
      </c>
      <c r="C272" t="s">
        <v>1679</v>
      </c>
      <c r="D272" t="s">
        <v>1679</v>
      </c>
      <c r="E272" t="s">
        <v>109</v>
      </c>
      <c r="F272" t="s">
        <v>110</v>
      </c>
      <c r="G272" t="s">
        <v>111</v>
      </c>
      <c r="H272" t="s">
        <v>66</v>
      </c>
      <c r="I272" t="s">
        <v>66</v>
      </c>
      <c r="J272" t="s">
        <v>67</v>
      </c>
      <c r="K272" t="s">
        <v>71</v>
      </c>
      <c r="L272" t="s">
        <v>72</v>
      </c>
      <c r="M272" t="s">
        <v>73</v>
      </c>
      <c r="N272" t="s">
        <v>66</v>
      </c>
      <c r="O272" t="s">
        <v>73</v>
      </c>
      <c r="P272" t="s">
        <v>66</v>
      </c>
      <c r="Q272" t="s">
        <v>979</v>
      </c>
      <c r="R272" t="s">
        <v>73</v>
      </c>
      <c r="S272" t="s">
        <v>979</v>
      </c>
      <c r="T272" t="s">
        <v>1680</v>
      </c>
      <c r="U272" t="s">
        <v>1681</v>
      </c>
      <c r="V272" t="s">
        <v>982</v>
      </c>
      <c r="W272" t="s">
        <v>66</v>
      </c>
      <c r="X272" t="s">
        <v>78</v>
      </c>
      <c r="Y272" t="s">
        <v>1682</v>
      </c>
      <c r="Z272" t="s">
        <v>182</v>
      </c>
      <c r="AA272" t="s">
        <v>984</v>
      </c>
      <c r="AB272" t="s">
        <v>984</v>
      </c>
      <c r="AC272" t="s">
        <v>82</v>
      </c>
      <c r="AD272" t="s">
        <v>83</v>
      </c>
      <c r="AE272" t="s">
        <v>66</v>
      </c>
      <c r="AF272" t="s">
        <v>876</v>
      </c>
    </row>
    <row r="273" spans="1:32">
      <c r="A273" t="s">
        <v>1683</v>
      </c>
      <c r="B273" t="s">
        <v>151</v>
      </c>
      <c r="C273" t="s">
        <v>1684</v>
      </c>
      <c r="D273" t="s">
        <v>66</v>
      </c>
      <c r="E273" t="s">
        <v>67</v>
      </c>
      <c r="F273" t="s">
        <v>68</v>
      </c>
      <c r="G273" t="s">
        <v>69</v>
      </c>
      <c r="H273" t="s">
        <v>66</v>
      </c>
      <c r="I273" t="s">
        <v>66</v>
      </c>
      <c r="J273" t="s">
        <v>67</v>
      </c>
      <c r="K273" t="s">
        <v>71</v>
      </c>
      <c r="L273" t="s">
        <v>72</v>
      </c>
      <c r="M273" t="s">
        <v>73</v>
      </c>
      <c r="N273" t="s">
        <v>66</v>
      </c>
      <c r="O273" t="s">
        <v>73</v>
      </c>
      <c r="P273" t="s">
        <v>66</v>
      </c>
      <c r="Q273" t="s">
        <v>979</v>
      </c>
      <c r="R273" t="s">
        <v>73</v>
      </c>
      <c r="S273" t="s">
        <v>979</v>
      </c>
      <c r="T273" t="s">
        <v>1685</v>
      </c>
      <c r="U273" t="s">
        <v>1686</v>
      </c>
      <c r="V273" t="s">
        <v>982</v>
      </c>
      <c r="W273" t="s">
        <v>66</v>
      </c>
      <c r="X273" t="s">
        <v>78</v>
      </c>
      <c r="Y273" t="s">
        <v>1687</v>
      </c>
      <c r="Z273" t="s">
        <v>182</v>
      </c>
      <c r="AA273" t="s">
        <v>984</v>
      </c>
      <c r="AB273" t="s">
        <v>984</v>
      </c>
      <c r="AC273" t="s">
        <v>82</v>
      </c>
      <c r="AD273" t="s">
        <v>83</v>
      </c>
      <c r="AE273" t="s">
        <v>66</v>
      </c>
      <c r="AF273" t="s">
        <v>876</v>
      </c>
    </row>
    <row r="274" spans="1:32">
      <c r="A274" t="s">
        <v>1688</v>
      </c>
      <c r="B274" t="s">
        <v>841</v>
      </c>
      <c r="C274" t="s">
        <v>1689</v>
      </c>
      <c r="D274" t="s">
        <v>1689</v>
      </c>
      <c r="E274" t="s">
        <v>109</v>
      </c>
      <c r="F274" t="s">
        <v>110</v>
      </c>
      <c r="G274" t="s">
        <v>111</v>
      </c>
      <c r="H274" t="s">
        <v>66</v>
      </c>
      <c r="I274" t="s">
        <v>66</v>
      </c>
      <c r="J274" t="s">
        <v>67</v>
      </c>
      <c r="K274" t="s">
        <v>71</v>
      </c>
      <c r="L274" t="s">
        <v>72</v>
      </c>
      <c r="M274" t="s">
        <v>73</v>
      </c>
      <c r="N274" t="s">
        <v>66</v>
      </c>
      <c r="O274" t="s">
        <v>73</v>
      </c>
      <c r="P274" t="s">
        <v>66</v>
      </c>
      <c r="Q274" t="s">
        <v>979</v>
      </c>
      <c r="R274" t="s">
        <v>73</v>
      </c>
      <c r="S274" t="s">
        <v>979</v>
      </c>
      <c r="T274" t="s">
        <v>1690</v>
      </c>
      <c r="U274" t="s">
        <v>1691</v>
      </c>
      <c r="V274" t="s">
        <v>982</v>
      </c>
      <c r="W274" t="s">
        <v>66</v>
      </c>
      <c r="X274" t="s">
        <v>78</v>
      </c>
      <c r="Y274" t="s">
        <v>1692</v>
      </c>
      <c r="Z274" t="s">
        <v>182</v>
      </c>
      <c r="AA274" t="s">
        <v>984</v>
      </c>
      <c r="AB274" t="s">
        <v>984</v>
      </c>
      <c r="AC274" t="s">
        <v>82</v>
      </c>
      <c r="AD274" t="s">
        <v>83</v>
      </c>
      <c r="AE274" t="s">
        <v>66</v>
      </c>
      <c r="AF274" t="s">
        <v>876</v>
      </c>
    </row>
    <row r="275" spans="1:32">
      <c r="A275" t="s">
        <v>1693</v>
      </c>
      <c r="B275" t="s">
        <v>1004</v>
      </c>
      <c r="C275" t="s">
        <v>1694</v>
      </c>
      <c r="D275" t="s">
        <v>66</v>
      </c>
      <c r="E275" t="s">
        <v>67</v>
      </c>
      <c r="F275" t="s">
        <v>68</v>
      </c>
      <c r="G275" t="s">
        <v>69</v>
      </c>
      <c r="H275" t="s">
        <v>66</v>
      </c>
      <c r="I275" t="s">
        <v>66</v>
      </c>
      <c r="J275" t="s">
        <v>67</v>
      </c>
      <c r="K275" t="s">
        <v>71</v>
      </c>
      <c r="L275" t="s">
        <v>72</v>
      </c>
      <c r="M275" t="s">
        <v>73</v>
      </c>
      <c r="N275" t="s">
        <v>66</v>
      </c>
      <c r="O275" t="s">
        <v>73</v>
      </c>
      <c r="P275" t="s">
        <v>66</v>
      </c>
      <c r="Q275" t="s">
        <v>979</v>
      </c>
      <c r="R275" t="s">
        <v>73</v>
      </c>
      <c r="S275" t="s">
        <v>979</v>
      </c>
      <c r="T275" t="s">
        <v>1695</v>
      </c>
      <c r="U275" t="s">
        <v>1696</v>
      </c>
      <c r="V275" t="s">
        <v>982</v>
      </c>
      <c r="W275" t="s">
        <v>66</v>
      </c>
      <c r="X275" t="s">
        <v>78</v>
      </c>
      <c r="Y275" t="s">
        <v>1697</v>
      </c>
      <c r="Z275" t="s">
        <v>182</v>
      </c>
      <c r="AA275" t="s">
        <v>984</v>
      </c>
      <c r="AB275" t="s">
        <v>984</v>
      </c>
      <c r="AC275" t="s">
        <v>82</v>
      </c>
      <c r="AD275" t="s">
        <v>83</v>
      </c>
      <c r="AE275" t="s">
        <v>66</v>
      </c>
      <c r="AF275" t="s">
        <v>876</v>
      </c>
    </row>
    <row r="276" spans="1:32">
      <c r="A276" t="s">
        <v>1698</v>
      </c>
      <c r="B276" t="s">
        <v>130</v>
      </c>
      <c r="C276" t="s">
        <v>1699</v>
      </c>
      <c r="D276" t="s">
        <v>1699</v>
      </c>
      <c r="E276" t="s">
        <v>109</v>
      </c>
      <c r="F276" t="s">
        <v>110</v>
      </c>
      <c r="G276" t="s">
        <v>111</v>
      </c>
      <c r="H276" t="s">
        <v>66</v>
      </c>
      <c r="I276" t="s">
        <v>66</v>
      </c>
      <c r="J276" t="s">
        <v>67</v>
      </c>
      <c r="K276" t="s">
        <v>71</v>
      </c>
      <c r="L276" t="s">
        <v>72</v>
      </c>
      <c r="M276" t="s">
        <v>73</v>
      </c>
      <c r="N276" t="s">
        <v>66</v>
      </c>
      <c r="O276" t="s">
        <v>73</v>
      </c>
      <c r="P276" t="s">
        <v>66</v>
      </c>
      <c r="Q276" t="s">
        <v>979</v>
      </c>
      <c r="R276" t="s">
        <v>73</v>
      </c>
      <c r="S276" t="s">
        <v>979</v>
      </c>
      <c r="T276" t="s">
        <v>1700</v>
      </c>
      <c r="U276" t="s">
        <v>1701</v>
      </c>
      <c r="V276" t="s">
        <v>982</v>
      </c>
      <c r="W276" t="s">
        <v>66</v>
      </c>
      <c r="X276" t="s">
        <v>78</v>
      </c>
      <c r="Y276" t="s">
        <v>1702</v>
      </c>
      <c r="Z276" t="s">
        <v>182</v>
      </c>
      <c r="AA276" t="s">
        <v>984</v>
      </c>
      <c r="AB276" t="s">
        <v>984</v>
      </c>
      <c r="AC276" t="s">
        <v>82</v>
      </c>
      <c r="AD276" t="s">
        <v>83</v>
      </c>
      <c r="AE276" t="s">
        <v>66</v>
      </c>
      <c r="AF276" t="s">
        <v>876</v>
      </c>
    </row>
    <row r="277" spans="1:32">
      <c r="A277" t="s">
        <v>1703</v>
      </c>
      <c r="B277" t="s">
        <v>841</v>
      </c>
      <c r="C277" t="s">
        <v>1704</v>
      </c>
      <c r="D277" t="s">
        <v>1704</v>
      </c>
      <c r="E277" t="s">
        <v>109</v>
      </c>
      <c r="F277" t="s">
        <v>110</v>
      </c>
      <c r="G277" t="s">
        <v>111</v>
      </c>
      <c r="H277" t="s">
        <v>66</v>
      </c>
      <c r="I277" t="s">
        <v>66</v>
      </c>
      <c r="J277" t="s">
        <v>67</v>
      </c>
      <c r="K277" t="s">
        <v>71</v>
      </c>
      <c r="L277" t="s">
        <v>72</v>
      </c>
      <c r="M277" t="s">
        <v>73</v>
      </c>
      <c r="N277" t="s">
        <v>66</v>
      </c>
      <c r="O277" t="s">
        <v>73</v>
      </c>
      <c r="P277" t="s">
        <v>66</v>
      </c>
      <c r="Q277" t="s">
        <v>979</v>
      </c>
      <c r="R277" t="s">
        <v>73</v>
      </c>
      <c r="S277" t="s">
        <v>979</v>
      </c>
      <c r="T277" t="s">
        <v>1705</v>
      </c>
      <c r="U277" t="s">
        <v>1706</v>
      </c>
      <c r="V277" t="s">
        <v>982</v>
      </c>
      <c r="W277" t="s">
        <v>66</v>
      </c>
      <c r="X277" t="s">
        <v>78</v>
      </c>
      <c r="Y277" t="s">
        <v>1707</v>
      </c>
      <c r="Z277" t="s">
        <v>182</v>
      </c>
      <c r="AA277" t="s">
        <v>984</v>
      </c>
      <c r="AB277" t="s">
        <v>984</v>
      </c>
      <c r="AC277" t="s">
        <v>82</v>
      </c>
      <c r="AD277" t="s">
        <v>83</v>
      </c>
      <c r="AE277" t="s">
        <v>66</v>
      </c>
      <c r="AF277" t="s">
        <v>876</v>
      </c>
    </row>
    <row r="278" spans="1:32">
      <c r="A278" t="s">
        <v>1708</v>
      </c>
      <c r="B278" t="s">
        <v>1004</v>
      </c>
      <c r="C278" t="s">
        <v>1709</v>
      </c>
      <c r="D278" t="s">
        <v>66</v>
      </c>
      <c r="E278" t="s">
        <v>67</v>
      </c>
      <c r="F278" t="s">
        <v>68</v>
      </c>
      <c r="G278" t="s">
        <v>69</v>
      </c>
      <c r="H278" t="s">
        <v>66</v>
      </c>
      <c r="I278" t="s">
        <v>66</v>
      </c>
      <c r="J278" t="s">
        <v>67</v>
      </c>
      <c r="K278" t="s">
        <v>71</v>
      </c>
      <c r="L278" t="s">
        <v>72</v>
      </c>
      <c r="M278" t="s">
        <v>73</v>
      </c>
      <c r="N278" t="s">
        <v>66</v>
      </c>
      <c r="O278" t="s">
        <v>73</v>
      </c>
      <c r="P278" t="s">
        <v>66</v>
      </c>
      <c r="Q278" t="s">
        <v>979</v>
      </c>
      <c r="R278" t="s">
        <v>73</v>
      </c>
      <c r="S278" t="s">
        <v>979</v>
      </c>
      <c r="T278" t="s">
        <v>1710</v>
      </c>
      <c r="U278" t="s">
        <v>1711</v>
      </c>
      <c r="V278" t="s">
        <v>982</v>
      </c>
      <c r="W278" t="s">
        <v>66</v>
      </c>
      <c r="X278" t="s">
        <v>78</v>
      </c>
      <c r="Y278" t="s">
        <v>1712</v>
      </c>
      <c r="Z278" t="s">
        <v>182</v>
      </c>
      <c r="AA278" t="s">
        <v>984</v>
      </c>
      <c r="AB278" t="s">
        <v>984</v>
      </c>
      <c r="AC278" t="s">
        <v>82</v>
      </c>
      <c r="AD278" t="s">
        <v>83</v>
      </c>
      <c r="AE278" t="s">
        <v>66</v>
      </c>
      <c r="AF278" t="s">
        <v>876</v>
      </c>
    </row>
    <row r="279" spans="1:32">
      <c r="A279" t="s">
        <v>1713</v>
      </c>
      <c r="B279" t="s">
        <v>359</v>
      </c>
      <c r="C279" t="s">
        <v>1714</v>
      </c>
      <c r="D279" t="s">
        <v>1714</v>
      </c>
      <c r="E279" t="s">
        <v>109</v>
      </c>
      <c r="F279" t="s">
        <v>110</v>
      </c>
      <c r="G279" t="s">
        <v>111</v>
      </c>
      <c r="H279" t="s">
        <v>66</v>
      </c>
      <c r="I279" t="s">
        <v>66</v>
      </c>
      <c r="J279" t="s">
        <v>67</v>
      </c>
      <c r="K279" t="s">
        <v>71</v>
      </c>
      <c r="L279" t="s">
        <v>72</v>
      </c>
      <c r="M279" t="s">
        <v>73</v>
      </c>
      <c r="N279" t="s">
        <v>66</v>
      </c>
      <c r="O279" t="s">
        <v>73</v>
      </c>
      <c r="P279" t="s">
        <v>66</v>
      </c>
      <c r="Q279" t="s">
        <v>979</v>
      </c>
      <c r="R279" t="s">
        <v>73</v>
      </c>
      <c r="S279" t="s">
        <v>979</v>
      </c>
      <c r="T279" t="s">
        <v>1715</v>
      </c>
      <c r="U279" t="s">
        <v>1716</v>
      </c>
      <c r="V279" t="s">
        <v>982</v>
      </c>
      <c r="W279" t="s">
        <v>66</v>
      </c>
      <c r="X279" t="s">
        <v>78</v>
      </c>
      <c r="Y279" t="s">
        <v>1717</v>
      </c>
      <c r="Z279" t="s">
        <v>182</v>
      </c>
      <c r="AA279" t="s">
        <v>984</v>
      </c>
      <c r="AB279" t="s">
        <v>984</v>
      </c>
      <c r="AC279" t="s">
        <v>82</v>
      </c>
      <c r="AD279" t="s">
        <v>83</v>
      </c>
      <c r="AE279" t="s">
        <v>66</v>
      </c>
      <c r="AF279" t="s">
        <v>876</v>
      </c>
    </row>
    <row r="280" spans="1:32">
      <c r="A280" t="s">
        <v>1718</v>
      </c>
      <c r="B280" t="s">
        <v>841</v>
      </c>
      <c r="C280" t="s">
        <v>1719</v>
      </c>
      <c r="D280" t="s">
        <v>1719</v>
      </c>
      <c r="E280" t="s">
        <v>109</v>
      </c>
      <c r="F280" t="s">
        <v>110</v>
      </c>
      <c r="G280" t="s">
        <v>111</v>
      </c>
      <c r="H280" t="s">
        <v>66</v>
      </c>
      <c r="I280" t="s">
        <v>66</v>
      </c>
      <c r="J280" t="s">
        <v>67</v>
      </c>
      <c r="K280" t="s">
        <v>71</v>
      </c>
      <c r="L280" t="s">
        <v>72</v>
      </c>
      <c r="M280" t="s">
        <v>73</v>
      </c>
      <c r="N280" t="s">
        <v>66</v>
      </c>
      <c r="O280" t="s">
        <v>73</v>
      </c>
      <c r="P280" t="s">
        <v>66</v>
      </c>
      <c r="Q280" t="s">
        <v>979</v>
      </c>
      <c r="R280" t="s">
        <v>73</v>
      </c>
      <c r="S280" t="s">
        <v>979</v>
      </c>
      <c r="T280" t="s">
        <v>1720</v>
      </c>
      <c r="U280" t="s">
        <v>1721</v>
      </c>
      <c r="V280" t="s">
        <v>982</v>
      </c>
      <c r="W280" t="s">
        <v>66</v>
      </c>
      <c r="X280" t="s">
        <v>78</v>
      </c>
      <c r="Y280" t="s">
        <v>1722</v>
      </c>
      <c r="Z280" t="s">
        <v>182</v>
      </c>
      <c r="AA280" t="s">
        <v>984</v>
      </c>
      <c r="AB280" t="s">
        <v>984</v>
      </c>
      <c r="AC280" t="s">
        <v>82</v>
      </c>
      <c r="AD280" t="s">
        <v>83</v>
      </c>
      <c r="AE280" t="s">
        <v>66</v>
      </c>
      <c r="AF280" t="s">
        <v>876</v>
      </c>
    </row>
    <row r="281" spans="1:32">
      <c r="A281" t="s">
        <v>1723</v>
      </c>
      <c r="B281" t="s">
        <v>841</v>
      </c>
      <c r="C281" t="s">
        <v>1724</v>
      </c>
      <c r="D281" t="s">
        <v>1724</v>
      </c>
      <c r="E281" t="s">
        <v>109</v>
      </c>
      <c r="F281" t="s">
        <v>110</v>
      </c>
      <c r="G281" t="s">
        <v>111</v>
      </c>
      <c r="H281" t="s">
        <v>66</v>
      </c>
      <c r="I281" t="s">
        <v>66</v>
      </c>
      <c r="J281" t="s">
        <v>67</v>
      </c>
      <c r="K281" t="s">
        <v>71</v>
      </c>
      <c r="L281" t="s">
        <v>72</v>
      </c>
      <c r="M281" t="s">
        <v>73</v>
      </c>
      <c r="N281" t="s">
        <v>66</v>
      </c>
      <c r="O281" t="s">
        <v>73</v>
      </c>
      <c r="P281" t="s">
        <v>66</v>
      </c>
      <c r="Q281" t="s">
        <v>979</v>
      </c>
      <c r="R281" t="s">
        <v>73</v>
      </c>
      <c r="S281" t="s">
        <v>979</v>
      </c>
      <c r="T281" t="s">
        <v>1725</v>
      </c>
      <c r="U281" t="s">
        <v>1726</v>
      </c>
      <c r="V281" t="s">
        <v>982</v>
      </c>
      <c r="W281" t="s">
        <v>66</v>
      </c>
      <c r="X281" t="s">
        <v>78</v>
      </c>
      <c r="Y281" t="s">
        <v>1727</v>
      </c>
      <c r="Z281" t="s">
        <v>182</v>
      </c>
      <c r="AA281" t="s">
        <v>984</v>
      </c>
      <c r="AB281" t="s">
        <v>984</v>
      </c>
      <c r="AC281" t="s">
        <v>82</v>
      </c>
      <c r="AD281" t="s">
        <v>83</v>
      </c>
      <c r="AE281" t="s">
        <v>66</v>
      </c>
      <c r="AF281" t="s">
        <v>876</v>
      </c>
    </row>
    <row r="282" spans="1:32">
      <c r="A282" t="s">
        <v>1728</v>
      </c>
      <c r="B282" t="s">
        <v>1729</v>
      </c>
      <c r="C282" t="s">
        <v>1730</v>
      </c>
      <c r="D282" t="s">
        <v>1730</v>
      </c>
      <c r="E282" t="s">
        <v>109</v>
      </c>
      <c r="F282" t="s">
        <v>68</v>
      </c>
      <c r="G282" t="s">
        <v>69</v>
      </c>
      <c r="H282" t="s">
        <v>66</v>
      </c>
      <c r="I282" t="s">
        <v>66</v>
      </c>
      <c r="J282" t="s">
        <v>67</v>
      </c>
      <c r="K282" t="s">
        <v>71</v>
      </c>
      <c r="L282" t="s">
        <v>72</v>
      </c>
      <c r="M282" t="s">
        <v>73</v>
      </c>
      <c r="N282" t="s">
        <v>66</v>
      </c>
      <c r="O282" t="s">
        <v>73</v>
      </c>
      <c r="P282" t="s">
        <v>66</v>
      </c>
      <c r="Q282" t="s">
        <v>979</v>
      </c>
      <c r="R282" t="s">
        <v>73</v>
      </c>
      <c r="S282" t="s">
        <v>979</v>
      </c>
      <c r="T282" t="s">
        <v>1731</v>
      </c>
      <c r="U282" t="s">
        <v>1732</v>
      </c>
      <c r="V282" t="s">
        <v>982</v>
      </c>
      <c r="W282" t="s">
        <v>66</v>
      </c>
      <c r="X282" t="s">
        <v>78</v>
      </c>
      <c r="Y282" t="s">
        <v>1733</v>
      </c>
      <c r="Z282" t="s">
        <v>182</v>
      </c>
      <c r="AA282" t="s">
        <v>984</v>
      </c>
      <c r="AB282" t="s">
        <v>984</v>
      </c>
      <c r="AC282" t="s">
        <v>82</v>
      </c>
      <c r="AD282" t="s">
        <v>83</v>
      </c>
      <c r="AE282" t="s">
        <v>66</v>
      </c>
      <c r="AF282" t="s">
        <v>876</v>
      </c>
    </row>
    <row r="283" spans="1:32">
      <c r="A283" t="s">
        <v>1734</v>
      </c>
      <c r="B283" t="s">
        <v>841</v>
      </c>
      <c r="C283" t="s">
        <v>1735</v>
      </c>
      <c r="D283" t="s">
        <v>1735</v>
      </c>
      <c r="E283" t="s">
        <v>109</v>
      </c>
      <c r="F283" t="s">
        <v>110</v>
      </c>
      <c r="G283" t="s">
        <v>111</v>
      </c>
      <c r="H283" t="s">
        <v>66</v>
      </c>
      <c r="I283" t="s">
        <v>66</v>
      </c>
      <c r="J283" t="s">
        <v>67</v>
      </c>
      <c r="K283" t="s">
        <v>71</v>
      </c>
      <c r="L283" t="s">
        <v>72</v>
      </c>
      <c r="M283" t="s">
        <v>73</v>
      </c>
      <c r="N283" t="s">
        <v>66</v>
      </c>
      <c r="O283" t="s">
        <v>73</v>
      </c>
      <c r="P283" t="s">
        <v>66</v>
      </c>
      <c r="Q283" t="s">
        <v>979</v>
      </c>
      <c r="R283" t="s">
        <v>73</v>
      </c>
      <c r="S283" t="s">
        <v>979</v>
      </c>
      <c r="T283" t="s">
        <v>1736</v>
      </c>
      <c r="U283" t="s">
        <v>1737</v>
      </c>
      <c r="V283" t="s">
        <v>982</v>
      </c>
      <c r="W283" t="s">
        <v>66</v>
      </c>
      <c r="X283" t="s">
        <v>78</v>
      </c>
      <c r="Y283" t="s">
        <v>1738</v>
      </c>
      <c r="Z283" t="s">
        <v>182</v>
      </c>
      <c r="AA283" t="s">
        <v>984</v>
      </c>
      <c r="AB283" t="s">
        <v>984</v>
      </c>
      <c r="AC283" t="s">
        <v>82</v>
      </c>
      <c r="AD283" t="s">
        <v>83</v>
      </c>
      <c r="AE283" t="s">
        <v>66</v>
      </c>
      <c r="AF283" t="s">
        <v>876</v>
      </c>
    </row>
    <row r="284" spans="1:32">
      <c r="A284" t="s">
        <v>1739</v>
      </c>
      <c r="B284" t="s">
        <v>308</v>
      </c>
      <c r="C284" t="s">
        <v>1740</v>
      </c>
      <c r="D284" t="s">
        <v>1740</v>
      </c>
      <c r="E284" t="s">
        <v>109</v>
      </c>
      <c r="F284" t="s">
        <v>110</v>
      </c>
      <c r="G284" t="s">
        <v>111</v>
      </c>
      <c r="H284" t="s">
        <v>66</v>
      </c>
      <c r="I284" t="s">
        <v>66</v>
      </c>
      <c r="J284" t="s">
        <v>67</v>
      </c>
      <c r="K284" t="s">
        <v>71</v>
      </c>
      <c r="L284" t="s">
        <v>72</v>
      </c>
      <c r="M284" t="s">
        <v>73</v>
      </c>
      <c r="N284" t="s">
        <v>66</v>
      </c>
      <c r="O284" t="s">
        <v>73</v>
      </c>
      <c r="P284" t="s">
        <v>66</v>
      </c>
      <c r="Q284" t="s">
        <v>979</v>
      </c>
      <c r="R284" t="s">
        <v>73</v>
      </c>
      <c r="S284" t="s">
        <v>979</v>
      </c>
      <c r="T284" t="s">
        <v>1741</v>
      </c>
      <c r="U284" t="s">
        <v>1742</v>
      </c>
      <c r="V284" t="s">
        <v>982</v>
      </c>
      <c r="W284" t="s">
        <v>66</v>
      </c>
      <c r="X284" t="s">
        <v>78</v>
      </c>
      <c r="Y284" t="s">
        <v>1743</v>
      </c>
      <c r="Z284" t="s">
        <v>182</v>
      </c>
      <c r="AA284" t="s">
        <v>984</v>
      </c>
      <c r="AB284" t="s">
        <v>984</v>
      </c>
      <c r="AC284" t="s">
        <v>82</v>
      </c>
      <c r="AD284" t="s">
        <v>83</v>
      </c>
      <c r="AE284" t="s">
        <v>66</v>
      </c>
      <c r="AF284" t="s">
        <v>876</v>
      </c>
    </row>
    <row r="285" spans="1:32">
      <c r="A285" t="s">
        <v>1744</v>
      </c>
      <c r="B285" t="s">
        <v>151</v>
      </c>
      <c r="C285" t="s">
        <v>1745</v>
      </c>
      <c r="D285" t="s">
        <v>66</v>
      </c>
      <c r="E285" t="s">
        <v>67</v>
      </c>
      <c r="F285" t="s">
        <v>68</v>
      </c>
      <c r="G285" t="s">
        <v>69</v>
      </c>
      <c r="H285" t="s">
        <v>66</v>
      </c>
      <c r="I285" t="s">
        <v>66</v>
      </c>
      <c r="J285" t="s">
        <v>67</v>
      </c>
      <c r="K285" t="s">
        <v>71</v>
      </c>
      <c r="L285" t="s">
        <v>72</v>
      </c>
      <c r="M285" t="s">
        <v>73</v>
      </c>
      <c r="N285" t="s">
        <v>66</v>
      </c>
      <c r="O285" t="s">
        <v>73</v>
      </c>
      <c r="P285" t="s">
        <v>66</v>
      </c>
      <c r="Q285" t="s">
        <v>979</v>
      </c>
      <c r="R285" t="s">
        <v>73</v>
      </c>
      <c r="S285" t="s">
        <v>979</v>
      </c>
      <c r="T285" t="s">
        <v>1746</v>
      </c>
      <c r="U285" t="s">
        <v>1747</v>
      </c>
      <c r="V285" t="s">
        <v>982</v>
      </c>
      <c r="W285" t="s">
        <v>66</v>
      </c>
      <c r="X285" t="s">
        <v>78</v>
      </c>
      <c r="Y285" t="s">
        <v>1748</v>
      </c>
      <c r="Z285" t="s">
        <v>182</v>
      </c>
      <c r="AA285" t="s">
        <v>984</v>
      </c>
      <c r="AB285" t="s">
        <v>984</v>
      </c>
      <c r="AC285" t="s">
        <v>82</v>
      </c>
      <c r="AD285" t="s">
        <v>83</v>
      </c>
      <c r="AE285" t="s">
        <v>66</v>
      </c>
      <c r="AF285" t="s">
        <v>876</v>
      </c>
    </row>
    <row r="286" spans="1:32">
      <c r="A286" t="s">
        <v>1749</v>
      </c>
      <c r="B286" t="s">
        <v>841</v>
      </c>
      <c r="C286" t="s">
        <v>1750</v>
      </c>
      <c r="D286" t="s">
        <v>1750</v>
      </c>
      <c r="E286" t="s">
        <v>109</v>
      </c>
      <c r="F286" t="s">
        <v>110</v>
      </c>
      <c r="G286" t="s">
        <v>111</v>
      </c>
      <c r="H286" t="s">
        <v>66</v>
      </c>
      <c r="I286" t="s">
        <v>66</v>
      </c>
      <c r="J286" t="s">
        <v>67</v>
      </c>
      <c r="K286" t="s">
        <v>71</v>
      </c>
      <c r="L286" t="s">
        <v>72</v>
      </c>
      <c r="M286" t="s">
        <v>73</v>
      </c>
      <c r="N286" t="s">
        <v>66</v>
      </c>
      <c r="O286" t="s">
        <v>73</v>
      </c>
      <c r="P286" t="s">
        <v>66</v>
      </c>
      <c r="Q286" t="s">
        <v>979</v>
      </c>
      <c r="R286" t="s">
        <v>73</v>
      </c>
      <c r="S286" t="s">
        <v>979</v>
      </c>
      <c r="T286" t="s">
        <v>1751</v>
      </c>
      <c r="U286" t="s">
        <v>1752</v>
      </c>
      <c r="V286" t="s">
        <v>982</v>
      </c>
      <c r="W286" t="s">
        <v>66</v>
      </c>
      <c r="X286" t="s">
        <v>78</v>
      </c>
      <c r="Y286" t="s">
        <v>1753</v>
      </c>
      <c r="Z286" t="s">
        <v>182</v>
      </c>
      <c r="AA286" t="s">
        <v>984</v>
      </c>
      <c r="AB286" t="s">
        <v>984</v>
      </c>
      <c r="AC286" t="s">
        <v>82</v>
      </c>
      <c r="AD286" t="s">
        <v>83</v>
      </c>
      <c r="AE286" t="s">
        <v>66</v>
      </c>
      <c r="AF286" t="s">
        <v>876</v>
      </c>
    </row>
    <row r="287" spans="1:32">
      <c r="A287" t="s">
        <v>1754</v>
      </c>
      <c r="B287" t="s">
        <v>151</v>
      </c>
      <c r="C287" t="s">
        <v>1755</v>
      </c>
      <c r="D287" t="s">
        <v>66</v>
      </c>
      <c r="E287" t="s">
        <v>67</v>
      </c>
      <c r="F287" t="s">
        <v>68</v>
      </c>
      <c r="G287" t="s">
        <v>69</v>
      </c>
      <c r="H287" t="s">
        <v>66</v>
      </c>
      <c r="I287" t="s">
        <v>66</v>
      </c>
      <c r="J287" t="s">
        <v>67</v>
      </c>
      <c r="K287" t="s">
        <v>71</v>
      </c>
      <c r="L287" t="s">
        <v>72</v>
      </c>
      <c r="M287" t="s">
        <v>73</v>
      </c>
      <c r="N287" t="s">
        <v>66</v>
      </c>
      <c r="O287" t="s">
        <v>73</v>
      </c>
      <c r="P287" t="s">
        <v>66</v>
      </c>
      <c r="Q287" t="s">
        <v>979</v>
      </c>
      <c r="R287" t="s">
        <v>73</v>
      </c>
      <c r="S287" t="s">
        <v>979</v>
      </c>
      <c r="T287" t="s">
        <v>1756</v>
      </c>
      <c r="U287" t="s">
        <v>1757</v>
      </c>
      <c r="V287" t="s">
        <v>982</v>
      </c>
      <c r="W287" t="s">
        <v>66</v>
      </c>
      <c r="X287" t="s">
        <v>78</v>
      </c>
      <c r="Y287" t="s">
        <v>1758</v>
      </c>
      <c r="Z287" t="s">
        <v>182</v>
      </c>
      <c r="AA287" t="s">
        <v>984</v>
      </c>
      <c r="AB287" t="s">
        <v>984</v>
      </c>
      <c r="AC287" t="s">
        <v>82</v>
      </c>
      <c r="AD287" t="s">
        <v>83</v>
      </c>
      <c r="AE287" t="s">
        <v>66</v>
      </c>
      <c r="AF287" t="s">
        <v>876</v>
      </c>
    </row>
    <row r="288" spans="1:32">
      <c r="A288" t="s">
        <v>1759</v>
      </c>
      <c r="B288" t="s">
        <v>162</v>
      </c>
      <c r="C288" t="s">
        <v>1760</v>
      </c>
      <c r="D288" t="s">
        <v>66</v>
      </c>
      <c r="E288" t="s">
        <v>67</v>
      </c>
      <c r="F288" t="s">
        <v>164</v>
      </c>
      <c r="G288" t="s">
        <v>165</v>
      </c>
      <c r="H288" t="s">
        <v>66</v>
      </c>
      <c r="I288" t="s">
        <v>66</v>
      </c>
      <c r="J288" t="s">
        <v>67</v>
      </c>
      <c r="K288" t="s">
        <v>71</v>
      </c>
      <c r="L288" t="s">
        <v>72</v>
      </c>
      <c r="M288" t="s">
        <v>73</v>
      </c>
      <c r="N288" t="s">
        <v>66</v>
      </c>
      <c r="O288" t="s">
        <v>73</v>
      </c>
      <c r="P288" t="s">
        <v>66</v>
      </c>
      <c r="Q288" t="s">
        <v>979</v>
      </c>
      <c r="R288" t="s">
        <v>73</v>
      </c>
      <c r="S288" t="s">
        <v>979</v>
      </c>
      <c r="T288" t="s">
        <v>1761</v>
      </c>
      <c r="U288" t="s">
        <v>1762</v>
      </c>
      <c r="V288" t="s">
        <v>982</v>
      </c>
      <c r="W288" t="s">
        <v>66</v>
      </c>
      <c r="X288" t="s">
        <v>78</v>
      </c>
      <c r="Y288" t="s">
        <v>1763</v>
      </c>
      <c r="Z288" t="s">
        <v>182</v>
      </c>
      <c r="AA288" t="s">
        <v>984</v>
      </c>
      <c r="AB288" t="s">
        <v>984</v>
      </c>
      <c r="AC288" t="s">
        <v>82</v>
      </c>
      <c r="AD288" t="s">
        <v>83</v>
      </c>
      <c r="AE288" t="s">
        <v>66</v>
      </c>
      <c r="AF288" t="s">
        <v>876</v>
      </c>
    </row>
    <row r="289" spans="1:32">
      <c r="A289" t="s">
        <v>1764</v>
      </c>
      <c r="B289" t="s">
        <v>359</v>
      </c>
      <c r="C289" t="s">
        <v>1765</v>
      </c>
      <c r="D289" t="s">
        <v>66</v>
      </c>
      <c r="E289" t="s">
        <v>109</v>
      </c>
      <c r="F289" t="s">
        <v>947</v>
      </c>
      <c r="G289" t="s">
        <v>948</v>
      </c>
      <c r="H289" t="s">
        <v>66</v>
      </c>
      <c r="I289" t="s">
        <v>66</v>
      </c>
      <c r="J289" t="s">
        <v>67</v>
      </c>
      <c r="K289" t="s">
        <v>71</v>
      </c>
      <c r="L289" t="s">
        <v>72</v>
      </c>
      <c r="M289" t="s">
        <v>73</v>
      </c>
      <c r="N289" t="s">
        <v>66</v>
      </c>
      <c r="O289" t="s">
        <v>73</v>
      </c>
      <c r="P289" t="s">
        <v>66</v>
      </c>
      <c r="Q289" t="s">
        <v>979</v>
      </c>
      <c r="R289" t="s">
        <v>73</v>
      </c>
      <c r="S289" t="s">
        <v>979</v>
      </c>
      <c r="T289" t="s">
        <v>1766</v>
      </c>
      <c r="U289" t="s">
        <v>1767</v>
      </c>
      <c r="V289" t="s">
        <v>982</v>
      </c>
      <c r="W289" t="s">
        <v>66</v>
      </c>
      <c r="X289" t="s">
        <v>78</v>
      </c>
      <c r="Y289" t="s">
        <v>1768</v>
      </c>
      <c r="Z289" t="s">
        <v>182</v>
      </c>
      <c r="AA289" t="s">
        <v>984</v>
      </c>
      <c r="AB289" t="s">
        <v>984</v>
      </c>
      <c r="AC289" t="s">
        <v>82</v>
      </c>
      <c r="AD289" t="s">
        <v>83</v>
      </c>
      <c r="AE289" t="s">
        <v>66</v>
      </c>
      <c r="AF289" t="s">
        <v>876</v>
      </c>
    </row>
    <row r="290" spans="1:32">
      <c r="A290" t="s">
        <v>1769</v>
      </c>
      <c r="B290" t="s">
        <v>1101</v>
      </c>
      <c r="C290" t="s">
        <v>1770</v>
      </c>
      <c r="D290" t="s">
        <v>66</v>
      </c>
      <c r="E290" t="s">
        <v>67</v>
      </c>
      <c r="F290" t="s">
        <v>110</v>
      </c>
      <c r="G290" t="s">
        <v>111</v>
      </c>
      <c r="H290" t="s">
        <v>66</v>
      </c>
      <c r="I290" t="s">
        <v>66</v>
      </c>
      <c r="J290" t="s">
        <v>67</v>
      </c>
      <c r="K290" t="s">
        <v>71</v>
      </c>
      <c r="L290" t="s">
        <v>72</v>
      </c>
      <c r="M290" t="s">
        <v>73</v>
      </c>
      <c r="N290" t="s">
        <v>66</v>
      </c>
      <c r="O290" t="s">
        <v>73</v>
      </c>
      <c r="P290" t="s">
        <v>66</v>
      </c>
      <c r="Q290" t="s">
        <v>979</v>
      </c>
      <c r="R290" t="s">
        <v>73</v>
      </c>
      <c r="S290" t="s">
        <v>979</v>
      </c>
      <c r="T290" t="s">
        <v>1771</v>
      </c>
      <c r="U290" t="s">
        <v>1772</v>
      </c>
      <c r="V290" t="s">
        <v>982</v>
      </c>
      <c r="W290" t="s">
        <v>66</v>
      </c>
      <c r="X290" t="s">
        <v>78</v>
      </c>
      <c r="Y290" t="s">
        <v>1773</v>
      </c>
      <c r="Z290" t="s">
        <v>182</v>
      </c>
      <c r="AA290" t="s">
        <v>984</v>
      </c>
      <c r="AB290" t="s">
        <v>984</v>
      </c>
      <c r="AC290" t="s">
        <v>82</v>
      </c>
      <c r="AD290" t="s">
        <v>83</v>
      </c>
      <c r="AE290" t="s">
        <v>66</v>
      </c>
      <c r="AF290" t="s">
        <v>876</v>
      </c>
    </row>
    <row r="291" spans="1:32">
      <c r="A291" t="s">
        <v>1774</v>
      </c>
      <c r="B291" t="s">
        <v>308</v>
      </c>
      <c r="C291" t="s">
        <v>1775</v>
      </c>
      <c r="D291" t="s">
        <v>1775</v>
      </c>
      <c r="E291" t="s">
        <v>109</v>
      </c>
      <c r="F291" t="s">
        <v>110</v>
      </c>
      <c r="G291" t="s">
        <v>111</v>
      </c>
      <c r="H291" t="s">
        <v>66</v>
      </c>
      <c r="I291" t="s">
        <v>66</v>
      </c>
      <c r="J291" t="s">
        <v>67</v>
      </c>
      <c r="K291" t="s">
        <v>71</v>
      </c>
      <c r="L291" t="s">
        <v>72</v>
      </c>
      <c r="M291" t="s">
        <v>73</v>
      </c>
      <c r="N291" t="s">
        <v>66</v>
      </c>
      <c r="O291" t="s">
        <v>73</v>
      </c>
      <c r="P291" t="s">
        <v>66</v>
      </c>
      <c r="Q291" t="s">
        <v>979</v>
      </c>
      <c r="R291" t="s">
        <v>73</v>
      </c>
      <c r="S291" t="s">
        <v>979</v>
      </c>
      <c r="T291" t="s">
        <v>1776</v>
      </c>
      <c r="U291" t="s">
        <v>1777</v>
      </c>
      <c r="V291" t="s">
        <v>982</v>
      </c>
      <c r="W291" t="s">
        <v>66</v>
      </c>
      <c r="X291" t="s">
        <v>78</v>
      </c>
      <c r="Y291" t="s">
        <v>1778</v>
      </c>
      <c r="Z291" t="s">
        <v>182</v>
      </c>
      <c r="AA291" t="s">
        <v>984</v>
      </c>
      <c r="AB291" t="s">
        <v>984</v>
      </c>
      <c r="AC291" t="s">
        <v>82</v>
      </c>
      <c r="AD291" t="s">
        <v>83</v>
      </c>
      <c r="AE291" t="s">
        <v>66</v>
      </c>
      <c r="AF291" t="s">
        <v>876</v>
      </c>
    </row>
    <row r="292" spans="1:32">
      <c r="A292" t="s">
        <v>1779</v>
      </c>
      <c r="B292" t="s">
        <v>1101</v>
      </c>
      <c r="C292" t="s">
        <v>1780</v>
      </c>
      <c r="D292" t="s">
        <v>66</v>
      </c>
      <c r="E292" t="s">
        <v>67</v>
      </c>
      <c r="F292" t="s">
        <v>110</v>
      </c>
      <c r="G292" t="s">
        <v>111</v>
      </c>
      <c r="H292" t="s">
        <v>66</v>
      </c>
      <c r="I292" t="s">
        <v>66</v>
      </c>
      <c r="J292" t="s">
        <v>67</v>
      </c>
      <c r="K292" t="s">
        <v>71</v>
      </c>
      <c r="L292" t="s">
        <v>72</v>
      </c>
      <c r="M292" t="s">
        <v>73</v>
      </c>
      <c r="N292" t="s">
        <v>66</v>
      </c>
      <c r="O292" t="s">
        <v>73</v>
      </c>
      <c r="P292" t="s">
        <v>66</v>
      </c>
      <c r="Q292" t="s">
        <v>979</v>
      </c>
      <c r="R292" t="s">
        <v>73</v>
      </c>
      <c r="S292" t="s">
        <v>979</v>
      </c>
      <c r="T292" t="s">
        <v>1781</v>
      </c>
      <c r="U292" t="s">
        <v>1782</v>
      </c>
      <c r="V292" t="s">
        <v>982</v>
      </c>
      <c r="W292" t="s">
        <v>66</v>
      </c>
      <c r="X292" t="s">
        <v>78</v>
      </c>
      <c r="Y292" t="s">
        <v>1783</v>
      </c>
      <c r="Z292" t="s">
        <v>182</v>
      </c>
      <c r="AA292" t="s">
        <v>984</v>
      </c>
      <c r="AB292" t="s">
        <v>984</v>
      </c>
      <c r="AC292" t="s">
        <v>82</v>
      </c>
      <c r="AD292" t="s">
        <v>83</v>
      </c>
      <c r="AE292" t="s">
        <v>66</v>
      </c>
      <c r="AF292" t="s">
        <v>876</v>
      </c>
    </row>
    <row r="293" spans="1:32">
      <c r="A293" t="s">
        <v>1784</v>
      </c>
      <c r="B293" t="s">
        <v>1180</v>
      </c>
      <c r="C293" t="s">
        <v>1785</v>
      </c>
      <c r="D293" t="s">
        <v>66</v>
      </c>
      <c r="E293" t="s">
        <v>67</v>
      </c>
      <c r="F293" t="s">
        <v>947</v>
      </c>
      <c r="G293" t="s">
        <v>948</v>
      </c>
      <c r="H293" t="s">
        <v>66</v>
      </c>
      <c r="I293" t="s">
        <v>66</v>
      </c>
      <c r="J293" t="s">
        <v>67</v>
      </c>
      <c r="K293" t="s">
        <v>71</v>
      </c>
      <c r="L293" t="s">
        <v>72</v>
      </c>
      <c r="M293" t="s">
        <v>73</v>
      </c>
      <c r="N293" t="s">
        <v>66</v>
      </c>
      <c r="O293" t="s">
        <v>73</v>
      </c>
      <c r="P293" t="s">
        <v>66</v>
      </c>
      <c r="Q293" t="s">
        <v>979</v>
      </c>
      <c r="R293" t="s">
        <v>73</v>
      </c>
      <c r="S293" t="s">
        <v>979</v>
      </c>
      <c r="T293" t="s">
        <v>1786</v>
      </c>
      <c r="U293" t="s">
        <v>1787</v>
      </c>
      <c r="V293" t="s">
        <v>982</v>
      </c>
      <c r="W293" t="s">
        <v>66</v>
      </c>
      <c r="X293" t="s">
        <v>78</v>
      </c>
      <c r="Y293" t="s">
        <v>1788</v>
      </c>
      <c r="Z293" t="s">
        <v>182</v>
      </c>
      <c r="AA293" t="s">
        <v>984</v>
      </c>
      <c r="AB293" t="s">
        <v>984</v>
      </c>
      <c r="AC293" t="s">
        <v>82</v>
      </c>
      <c r="AD293" t="s">
        <v>83</v>
      </c>
      <c r="AE293" t="s">
        <v>66</v>
      </c>
      <c r="AF293" t="s">
        <v>876</v>
      </c>
    </row>
    <row r="294" spans="1:32">
      <c r="A294" t="s">
        <v>1789</v>
      </c>
      <c r="B294" t="s">
        <v>86</v>
      </c>
      <c r="C294" t="s">
        <v>1790</v>
      </c>
      <c r="D294" t="s">
        <v>66</v>
      </c>
      <c r="E294" t="s">
        <v>67</v>
      </c>
      <c r="F294" t="s">
        <v>68</v>
      </c>
      <c r="G294" t="s">
        <v>69</v>
      </c>
      <c r="H294" t="s">
        <v>66</v>
      </c>
      <c r="I294" t="s">
        <v>66</v>
      </c>
      <c r="J294" t="s">
        <v>67</v>
      </c>
      <c r="K294" t="s">
        <v>71</v>
      </c>
      <c r="L294" t="s">
        <v>72</v>
      </c>
      <c r="M294" t="s">
        <v>73</v>
      </c>
      <c r="N294" t="s">
        <v>66</v>
      </c>
      <c r="O294" t="s">
        <v>73</v>
      </c>
      <c r="P294" t="s">
        <v>66</v>
      </c>
      <c r="Q294" t="s">
        <v>979</v>
      </c>
      <c r="R294" t="s">
        <v>73</v>
      </c>
      <c r="S294" t="s">
        <v>979</v>
      </c>
      <c r="T294" t="s">
        <v>1791</v>
      </c>
      <c r="U294" t="s">
        <v>1792</v>
      </c>
      <c r="V294" t="s">
        <v>982</v>
      </c>
      <c r="W294" t="s">
        <v>66</v>
      </c>
      <c r="X294" t="s">
        <v>78</v>
      </c>
      <c r="Y294" t="s">
        <v>1793</v>
      </c>
      <c r="Z294" t="s">
        <v>182</v>
      </c>
      <c r="AA294" t="s">
        <v>984</v>
      </c>
      <c r="AB294" t="s">
        <v>984</v>
      </c>
      <c r="AC294" t="s">
        <v>82</v>
      </c>
      <c r="AD294" t="s">
        <v>83</v>
      </c>
      <c r="AE294" t="s">
        <v>66</v>
      </c>
      <c r="AF294" t="s">
        <v>876</v>
      </c>
    </row>
    <row r="295" spans="1:32">
      <c r="A295" t="s">
        <v>1794</v>
      </c>
      <c r="B295" t="s">
        <v>151</v>
      </c>
      <c r="C295" t="s">
        <v>1795</v>
      </c>
      <c r="D295" t="s">
        <v>66</v>
      </c>
      <c r="E295" t="s">
        <v>67</v>
      </c>
      <c r="F295" t="s">
        <v>68</v>
      </c>
      <c r="G295" t="s">
        <v>69</v>
      </c>
      <c r="H295" t="s">
        <v>66</v>
      </c>
      <c r="I295" t="s">
        <v>66</v>
      </c>
      <c r="J295" t="s">
        <v>67</v>
      </c>
      <c r="K295" t="s">
        <v>71</v>
      </c>
      <c r="L295" t="s">
        <v>72</v>
      </c>
      <c r="M295" t="s">
        <v>73</v>
      </c>
      <c r="N295" t="s">
        <v>66</v>
      </c>
      <c r="O295" t="s">
        <v>73</v>
      </c>
      <c r="P295" t="s">
        <v>66</v>
      </c>
      <c r="Q295" t="s">
        <v>979</v>
      </c>
      <c r="R295" t="s">
        <v>73</v>
      </c>
      <c r="S295" t="s">
        <v>979</v>
      </c>
      <c r="T295" t="s">
        <v>1796</v>
      </c>
      <c r="U295" t="s">
        <v>1797</v>
      </c>
      <c r="V295" t="s">
        <v>982</v>
      </c>
      <c r="W295" t="s">
        <v>66</v>
      </c>
      <c r="X295" t="s">
        <v>78</v>
      </c>
      <c r="Y295" t="s">
        <v>1798</v>
      </c>
      <c r="Z295" t="s">
        <v>182</v>
      </c>
      <c r="AA295" t="s">
        <v>984</v>
      </c>
      <c r="AB295" t="s">
        <v>984</v>
      </c>
      <c r="AC295" t="s">
        <v>82</v>
      </c>
      <c r="AD295" t="s">
        <v>83</v>
      </c>
      <c r="AE295" t="s">
        <v>66</v>
      </c>
      <c r="AF295" t="s">
        <v>876</v>
      </c>
    </row>
    <row r="296" spans="1:32">
      <c r="A296" t="s">
        <v>1799</v>
      </c>
      <c r="B296" t="s">
        <v>162</v>
      </c>
      <c r="C296" t="s">
        <v>1800</v>
      </c>
      <c r="D296" t="s">
        <v>66</v>
      </c>
      <c r="E296" t="s">
        <v>67</v>
      </c>
      <c r="F296" t="s">
        <v>164</v>
      </c>
      <c r="G296" t="s">
        <v>165</v>
      </c>
      <c r="H296" t="s">
        <v>66</v>
      </c>
      <c r="I296" t="s">
        <v>66</v>
      </c>
      <c r="J296" t="s">
        <v>67</v>
      </c>
      <c r="K296" t="s">
        <v>71</v>
      </c>
      <c r="L296" t="s">
        <v>72</v>
      </c>
      <c r="M296" t="s">
        <v>73</v>
      </c>
      <c r="N296" t="s">
        <v>66</v>
      </c>
      <c r="O296" t="s">
        <v>73</v>
      </c>
      <c r="P296" t="s">
        <v>66</v>
      </c>
      <c r="Q296" t="s">
        <v>979</v>
      </c>
      <c r="R296" t="s">
        <v>73</v>
      </c>
      <c r="S296" t="s">
        <v>979</v>
      </c>
      <c r="T296" t="s">
        <v>1801</v>
      </c>
      <c r="U296" t="s">
        <v>1802</v>
      </c>
      <c r="V296" t="s">
        <v>982</v>
      </c>
      <c r="W296" t="s">
        <v>66</v>
      </c>
      <c r="X296" t="s">
        <v>78</v>
      </c>
      <c r="Y296" t="s">
        <v>1803</v>
      </c>
      <c r="Z296" t="s">
        <v>182</v>
      </c>
      <c r="AA296" t="s">
        <v>984</v>
      </c>
      <c r="AB296" t="s">
        <v>984</v>
      </c>
      <c r="AC296" t="s">
        <v>82</v>
      </c>
      <c r="AD296" t="s">
        <v>83</v>
      </c>
      <c r="AE296" t="s">
        <v>66</v>
      </c>
      <c r="AF296" t="s">
        <v>876</v>
      </c>
    </row>
    <row r="297" spans="1:32">
      <c r="A297" t="s">
        <v>1804</v>
      </c>
      <c r="B297" t="s">
        <v>162</v>
      </c>
      <c r="C297" t="s">
        <v>1805</v>
      </c>
      <c r="D297" t="s">
        <v>66</v>
      </c>
      <c r="E297" t="s">
        <v>67</v>
      </c>
      <c r="F297" t="s">
        <v>164</v>
      </c>
      <c r="G297" t="s">
        <v>165</v>
      </c>
      <c r="H297" t="s">
        <v>66</v>
      </c>
      <c r="I297" t="s">
        <v>66</v>
      </c>
      <c r="J297" t="s">
        <v>67</v>
      </c>
      <c r="K297" t="s">
        <v>71</v>
      </c>
      <c r="L297" t="s">
        <v>72</v>
      </c>
      <c r="M297" t="s">
        <v>73</v>
      </c>
      <c r="N297" t="s">
        <v>66</v>
      </c>
      <c r="O297" t="s">
        <v>73</v>
      </c>
      <c r="P297" t="s">
        <v>66</v>
      </c>
      <c r="Q297" t="s">
        <v>979</v>
      </c>
      <c r="R297" t="s">
        <v>73</v>
      </c>
      <c r="S297" t="s">
        <v>979</v>
      </c>
      <c r="T297" t="s">
        <v>1806</v>
      </c>
      <c r="U297" t="s">
        <v>1807</v>
      </c>
      <c r="V297" t="s">
        <v>982</v>
      </c>
      <c r="W297" t="s">
        <v>66</v>
      </c>
      <c r="X297" t="s">
        <v>78</v>
      </c>
      <c r="Y297" t="s">
        <v>1808</v>
      </c>
      <c r="Z297" t="s">
        <v>182</v>
      </c>
      <c r="AA297" t="s">
        <v>984</v>
      </c>
      <c r="AB297" t="s">
        <v>984</v>
      </c>
      <c r="AC297" t="s">
        <v>82</v>
      </c>
      <c r="AD297" t="s">
        <v>83</v>
      </c>
      <c r="AE297" t="s">
        <v>66</v>
      </c>
      <c r="AF297" t="s">
        <v>876</v>
      </c>
    </row>
    <row r="298" spans="1:32">
      <c r="A298" t="s">
        <v>1809</v>
      </c>
      <c r="B298" t="s">
        <v>308</v>
      </c>
      <c r="C298" t="s">
        <v>1810</v>
      </c>
      <c r="D298" t="s">
        <v>1810</v>
      </c>
      <c r="E298" t="s">
        <v>109</v>
      </c>
      <c r="F298" t="s">
        <v>947</v>
      </c>
      <c r="G298" t="s">
        <v>948</v>
      </c>
      <c r="H298" t="s">
        <v>66</v>
      </c>
      <c r="I298" t="s">
        <v>66</v>
      </c>
      <c r="J298" t="s">
        <v>67</v>
      </c>
      <c r="K298" t="s">
        <v>71</v>
      </c>
      <c r="L298" t="s">
        <v>72</v>
      </c>
      <c r="M298" t="s">
        <v>73</v>
      </c>
      <c r="N298" t="s">
        <v>66</v>
      </c>
      <c r="O298" t="s">
        <v>73</v>
      </c>
      <c r="P298" t="s">
        <v>66</v>
      </c>
      <c r="Q298" t="s">
        <v>979</v>
      </c>
      <c r="R298" t="s">
        <v>73</v>
      </c>
      <c r="S298" t="s">
        <v>979</v>
      </c>
      <c r="T298" t="s">
        <v>1811</v>
      </c>
      <c r="U298" t="s">
        <v>1812</v>
      </c>
      <c r="V298" t="s">
        <v>982</v>
      </c>
      <c r="W298" t="s">
        <v>66</v>
      </c>
      <c r="X298" t="s">
        <v>78</v>
      </c>
      <c r="Y298" t="s">
        <v>1813</v>
      </c>
      <c r="Z298" t="s">
        <v>182</v>
      </c>
      <c r="AA298" t="s">
        <v>984</v>
      </c>
      <c r="AB298" t="s">
        <v>984</v>
      </c>
      <c r="AC298" t="s">
        <v>82</v>
      </c>
      <c r="AD298" t="s">
        <v>83</v>
      </c>
      <c r="AE298" t="s">
        <v>66</v>
      </c>
      <c r="AF298" t="s">
        <v>876</v>
      </c>
    </row>
    <row r="299" spans="1:32">
      <c r="A299" t="s">
        <v>1814</v>
      </c>
      <c r="B299" t="s">
        <v>107</v>
      </c>
      <c r="C299" t="s">
        <v>1815</v>
      </c>
      <c r="D299" t="s">
        <v>1815</v>
      </c>
      <c r="E299" t="s">
        <v>109</v>
      </c>
      <c r="F299" t="s">
        <v>110</v>
      </c>
      <c r="G299" t="s">
        <v>111</v>
      </c>
      <c r="H299" t="s">
        <v>66</v>
      </c>
      <c r="I299" t="s">
        <v>66</v>
      </c>
      <c r="J299" t="s">
        <v>67</v>
      </c>
      <c r="K299" t="s">
        <v>71</v>
      </c>
      <c r="L299" t="s">
        <v>72</v>
      </c>
      <c r="M299" t="s">
        <v>73</v>
      </c>
      <c r="N299" t="s">
        <v>66</v>
      </c>
      <c r="O299" t="s">
        <v>73</v>
      </c>
      <c r="P299" t="s">
        <v>66</v>
      </c>
      <c r="Q299" t="s">
        <v>979</v>
      </c>
      <c r="R299" t="s">
        <v>73</v>
      </c>
      <c r="S299" t="s">
        <v>979</v>
      </c>
      <c r="T299" t="s">
        <v>1816</v>
      </c>
      <c r="U299" t="s">
        <v>1817</v>
      </c>
      <c r="V299" t="s">
        <v>982</v>
      </c>
      <c r="W299" t="s">
        <v>66</v>
      </c>
      <c r="X299" t="s">
        <v>78</v>
      </c>
      <c r="Y299" t="s">
        <v>1818</v>
      </c>
      <c r="Z299" t="s">
        <v>182</v>
      </c>
      <c r="AA299" t="s">
        <v>984</v>
      </c>
      <c r="AB299" t="s">
        <v>984</v>
      </c>
      <c r="AC299" t="s">
        <v>82</v>
      </c>
      <c r="AD299" t="s">
        <v>83</v>
      </c>
      <c r="AE299" t="s">
        <v>66</v>
      </c>
      <c r="AF299" t="s">
        <v>876</v>
      </c>
    </row>
    <row r="300" spans="1:32">
      <c r="A300" t="s">
        <v>1819</v>
      </c>
      <c r="B300" t="s">
        <v>162</v>
      </c>
      <c r="C300" t="s">
        <v>1820</v>
      </c>
      <c r="D300" t="s">
        <v>66</v>
      </c>
      <c r="E300" t="s">
        <v>67</v>
      </c>
      <c r="F300" t="s">
        <v>164</v>
      </c>
      <c r="G300" t="s">
        <v>165</v>
      </c>
      <c r="H300" t="s">
        <v>66</v>
      </c>
      <c r="I300" t="s">
        <v>66</v>
      </c>
      <c r="J300" t="s">
        <v>67</v>
      </c>
      <c r="K300" t="s">
        <v>71</v>
      </c>
      <c r="L300" t="s">
        <v>72</v>
      </c>
      <c r="M300" t="s">
        <v>73</v>
      </c>
      <c r="N300" t="s">
        <v>66</v>
      </c>
      <c r="O300" t="s">
        <v>73</v>
      </c>
      <c r="P300" t="s">
        <v>66</v>
      </c>
      <c r="Q300" t="s">
        <v>979</v>
      </c>
      <c r="R300" t="s">
        <v>73</v>
      </c>
      <c r="S300" t="s">
        <v>979</v>
      </c>
      <c r="T300" t="s">
        <v>1821</v>
      </c>
      <c r="U300" t="s">
        <v>1822</v>
      </c>
      <c r="V300" t="s">
        <v>982</v>
      </c>
      <c r="W300" t="s">
        <v>66</v>
      </c>
      <c r="X300" t="s">
        <v>78</v>
      </c>
      <c r="Y300" t="s">
        <v>1823</v>
      </c>
      <c r="Z300" t="s">
        <v>182</v>
      </c>
      <c r="AA300" t="s">
        <v>984</v>
      </c>
      <c r="AB300" t="s">
        <v>984</v>
      </c>
      <c r="AC300" t="s">
        <v>82</v>
      </c>
      <c r="AD300" t="s">
        <v>83</v>
      </c>
      <c r="AE300" t="s">
        <v>66</v>
      </c>
      <c r="AF300" t="s">
        <v>876</v>
      </c>
    </row>
    <row r="301" spans="1:32">
      <c r="A301" t="s">
        <v>1824</v>
      </c>
      <c r="B301" t="s">
        <v>308</v>
      </c>
      <c r="C301" t="s">
        <v>1825</v>
      </c>
      <c r="D301" t="s">
        <v>1825</v>
      </c>
      <c r="E301" t="s">
        <v>109</v>
      </c>
      <c r="F301" t="s">
        <v>110</v>
      </c>
      <c r="G301" t="s">
        <v>111</v>
      </c>
      <c r="H301" t="s">
        <v>66</v>
      </c>
      <c r="I301" t="s">
        <v>66</v>
      </c>
      <c r="J301" t="s">
        <v>67</v>
      </c>
      <c r="K301" t="s">
        <v>71</v>
      </c>
      <c r="L301" t="s">
        <v>72</v>
      </c>
      <c r="M301" t="s">
        <v>73</v>
      </c>
      <c r="N301" t="s">
        <v>66</v>
      </c>
      <c r="O301" t="s">
        <v>73</v>
      </c>
      <c r="P301" t="s">
        <v>66</v>
      </c>
      <c r="Q301" t="s">
        <v>979</v>
      </c>
      <c r="R301" t="s">
        <v>73</v>
      </c>
      <c r="S301" t="s">
        <v>979</v>
      </c>
      <c r="T301" t="s">
        <v>1826</v>
      </c>
      <c r="U301" t="s">
        <v>1827</v>
      </c>
      <c r="V301" t="s">
        <v>982</v>
      </c>
      <c r="W301" t="s">
        <v>66</v>
      </c>
      <c r="X301" t="s">
        <v>78</v>
      </c>
      <c r="Y301" t="s">
        <v>1828</v>
      </c>
      <c r="Z301" t="s">
        <v>182</v>
      </c>
      <c r="AA301" t="s">
        <v>984</v>
      </c>
      <c r="AB301" t="s">
        <v>984</v>
      </c>
      <c r="AC301" t="s">
        <v>82</v>
      </c>
      <c r="AD301" t="s">
        <v>83</v>
      </c>
      <c r="AE301" t="s">
        <v>66</v>
      </c>
      <c r="AF301" t="s">
        <v>876</v>
      </c>
    </row>
    <row r="302" spans="1:32">
      <c r="A302" t="s">
        <v>1829</v>
      </c>
      <c r="B302" t="s">
        <v>1229</v>
      </c>
      <c r="C302" t="s">
        <v>1830</v>
      </c>
      <c r="D302" t="s">
        <v>66</v>
      </c>
      <c r="E302" t="s">
        <v>67</v>
      </c>
      <c r="F302" t="s">
        <v>68</v>
      </c>
      <c r="G302" t="s">
        <v>69</v>
      </c>
      <c r="H302" t="s">
        <v>66</v>
      </c>
      <c r="I302" t="s">
        <v>66</v>
      </c>
      <c r="J302" t="s">
        <v>67</v>
      </c>
      <c r="K302" t="s">
        <v>71</v>
      </c>
      <c r="L302" t="s">
        <v>72</v>
      </c>
      <c r="M302" t="s">
        <v>73</v>
      </c>
      <c r="N302" t="s">
        <v>66</v>
      </c>
      <c r="O302" t="s">
        <v>73</v>
      </c>
      <c r="P302" t="s">
        <v>66</v>
      </c>
      <c r="Q302" t="s">
        <v>979</v>
      </c>
      <c r="R302" t="s">
        <v>73</v>
      </c>
      <c r="S302" t="s">
        <v>979</v>
      </c>
      <c r="T302" t="s">
        <v>1831</v>
      </c>
      <c r="U302" t="s">
        <v>1832</v>
      </c>
      <c r="V302" t="s">
        <v>982</v>
      </c>
      <c r="W302" t="s">
        <v>66</v>
      </c>
      <c r="X302" t="s">
        <v>78</v>
      </c>
      <c r="Y302" t="s">
        <v>1833</v>
      </c>
      <c r="Z302" t="s">
        <v>182</v>
      </c>
      <c r="AA302" t="s">
        <v>984</v>
      </c>
      <c r="AB302" t="s">
        <v>984</v>
      </c>
      <c r="AC302" t="s">
        <v>82</v>
      </c>
      <c r="AD302" t="s">
        <v>83</v>
      </c>
      <c r="AE302" t="s">
        <v>66</v>
      </c>
      <c r="AF302" t="s">
        <v>876</v>
      </c>
    </row>
    <row r="303" spans="1:32">
      <c r="A303" t="s">
        <v>1834</v>
      </c>
      <c r="B303" t="s">
        <v>986</v>
      </c>
      <c r="C303" t="s">
        <v>1835</v>
      </c>
      <c r="D303" t="s">
        <v>66</v>
      </c>
      <c r="E303" t="s">
        <v>67</v>
      </c>
      <c r="F303" t="s">
        <v>988</v>
      </c>
      <c r="G303" t="s">
        <v>989</v>
      </c>
      <c r="H303" t="s">
        <v>66</v>
      </c>
      <c r="I303" t="s">
        <v>66</v>
      </c>
      <c r="J303" t="s">
        <v>67</v>
      </c>
      <c r="K303" t="s">
        <v>71</v>
      </c>
      <c r="L303" t="s">
        <v>72</v>
      </c>
      <c r="M303" t="s">
        <v>73</v>
      </c>
      <c r="N303" t="s">
        <v>66</v>
      </c>
      <c r="O303" t="s">
        <v>73</v>
      </c>
      <c r="P303" t="s">
        <v>66</v>
      </c>
      <c r="Q303" t="s">
        <v>979</v>
      </c>
      <c r="R303" t="s">
        <v>73</v>
      </c>
      <c r="S303" t="s">
        <v>979</v>
      </c>
      <c r="T303" t="s">
        <v>1836</v>
      </c>
      <c r="U303" t="s">
        <v>1837</v>
      </c>
      <c r="V303" t="s">
        <v>982</v>
      </c>
      <c r="W303" t="s">
        <v>66</v>
      </c>
      <c r="X303" t="s">
        <v>78</v>
      </c>
      <c r="Y303" t="s">
        <v>1838</v>
      </c>
      <c r="Z303" t="s">
        <v>182</v>
      </c>
      <c r="AA303" t="s">
        <v>984</v>
      </c>
      <c r="AB303" t="s">
        <v>984</v>
      </c>
      <c r="AC303" t="s">
        <v>82</v>
      </c>
      <c r="AD303" t="s">
        <v>83</v>
      </c>
      <c r="AE303" t="s">
        <v>66</v>
      </c>
      <c r="AF303" t="s">
        <v>876</v>
      </c>
    </row>
    <row r="304" spans="1:32">
      <c r="A304" t="s">
        <v>1839</v>
      </c>
      <c r="B304" t="s">
        <v>162</v>
      </c>
      <c r="C304" t="s">
        <v>1840</v>
      </c>
      <c r="D304" t="s">
        <v>66</v>
      </c>
      <c r="E304" t="s">
        <v>67</v>
      </c>
      <c r="F304" t="s">
        <v>164</v>
      </c>
      <c r="G304" t="s">
        <v>165</v>
      </c>
      <c r="H304" t="s">
        <v>66</v>
      </c>
      <c r="I304" t="s">
        <v>66</v>
      </c>
      <c r="J304" t="s">
        <v>67</v>
      </c>
      <c r="K304" t="s">
        <v>71</v>
      </c>
      <c r="L304" t="s">
        <v>72</v>
      </c>
      <c r="M304" t="s">
        <v>73</v>
      </c>
      <c r="N304" t="s">
        <v>66</v>
      </c>
      <c r="O304" t="s">
        <v>73</v>
      </c>
      <c r="P304" t="s">
        <v>66</v>
      </c>
      <c r="Q304" t="s">
        <v>979</v>
      </c>
      <c r="R304" t="s">
        <v>73</v>
      </c>
      <c r="S304" t="s">
        <v>979</v>
      </c>
      <c r="T304" t="s">
        <v>1841</v>
      </c>
      <c r="U304" t="s">
        <v>1842</v>
      </c>
      <c r="V304" t="s">
        <v>982</v>
      </c>
      <c r="W304" t="s">
        <v>66</v>
      </c>
      <c r="X304" t="s">
        <v>78</v>
      </c>
      <c r="Y304" t="s">
        <v>1843</v>
      </c>
      <c r="Z304" t="s">
        <v>182</v>
      </c>
      <c r="AA304" t="s">
        <v>984</v>
      </c>
      <c r="AB304" t="s">
        <v>984</v>
      </c>
      <c r="AC304" t="s">
        <v>82</v>
      </c>
      <c r="AD304" t="s">
        <v>83</v>
      </c>
      <c r="AE304" t="s">
        <v>66</v>
      </c>
      <c r="AF304" t="s">
        <v>876</v>
      </c>
    </row>
    <row r="305" spans="1:32">
      <c r="A305" t="s">
        <v>1844</v>
      </c>
      <c r="B305" t="s">
        <v>151</v>
      </c>
      <c r="C305" t="s">
        <v>1845</v>
      </c>
      <c r="D305" t="s">
        <v>66</v>
      </c>
      <c r="E305" t="s">
        <v>67</v>
      </c>
      <c r="F305" t="s">
        <v>68</v>
      </c>
      <c r="G305" t="s">
        <v>69</v>
      </c>
      <c r="H305" t="s">
        <v>66</v>
      </c>
      <c r="I305" t="s">
        <v>66</v>
      </c>
      <c r="J305" t="s">
        <v>67</v>
      </c>
      <c r="K305" t="s">
        <v>71</v>
      </c>
      <c r="L305" t="s">
        <v>72</v>
      </c>
      <c r="M305" t="s">
        <v>73</v>
      </c>
      <c r="N305" t="s">
        <v>66</v>
      </c>
      <c r="O305" t="s">
        <v>73</v>
      </c>
      <c r="P305" t="s">
        <v>66</v>
      </c>
      <c r="Q305" t="s">
        <v>979</v>
      </c>
      <c r="R305" t="s">
        <v>73</v>
      </c>
      <c r="S305" t="s">
        <v>979</v>
      </c>
      <c r="T305" t="s">
        <v>1846</v>
      </c>
      <c r="U305" t="s">
        <v>1847</v>
      </c>
      <c r="V305" t="s">
        <v>982</v>
      </c>
      <c r="W305" t="s">
        <v>66</v>
      </c>
      <c r="X305" t="s">
        <v>78</v>
      </c>
      <c r="Y305" t="s">
        <v>1848</v>
      </c>
      <c r="Z305" t="s">
        <v>182</v>
      </c>
      <c r="AA305" t="s">
        <v>984</v>
      </c>
      <c r="AB305" t="s">
        <v>984</v>
      </c>
      <c r="AC305" t="s">
        <v>82</v>
      </c>
      <c r="AD305" t="s">
        <v>83</v>
      </c>
      <c r="AE305" t="s">
        <v>66</v>
      </c>
      <c r="AF305" t="s">
        <v>876</v>
      </c>
    </row>
    <row r="306" spans="1:32">
      <c r="A306" t="s">
        <v>1849</v>
      </c>
      <c r="B306" t="s">
        <v>1004</v>
      </c>
      <c r="C306" t="s">
        <v>1850</v>
      </c>
      <c r="D306" t="s">
        <v>66</v>
      </c>
      <c r="E306" t="s">
        <v>67</v>
      </c>
      <c r="F306" t="s">
        <v>68</v>
      </c>
      <c r="G306" t="s">
        <v>69</v>
      </c>
      <c r="H306" t="s">
        <v>66</v>
      </c>
      <c r="I306" t="s">
        <v>66</v>
      </c>
      <c r="J306" t="s">
        <v>67</v>
      </c>
      <c r="K306" t="s">
        <v>71</v>
      </c>
      <c r="L306" t="s">
        <v>72</v>
      </c>
      <c r="M306" t="s">
        <v>73</v>
      </c>
      <c r="N306" t="s">
        <v>66</v>
      </c>
      <c r="O306" t="s">
        <v>73</v>
      </c>
      <c r="P306" t="s">
        <v>66</v>
      </c>
      <c r="Q306" t="s">
        <v>979</v>
      </c>
      <c r="R306" t="s">
        <v>73</v>
      </c>
      <c r="S306" t="s">
        <v>979</v>
      </c>
      <c r="T306" t="s">
        <v>1851</v>
      </c>
      <c r="U306" t="s">
        <v>1852</v>
      </c>
      <c r="V306" t="s">
        <v>982</v>
      </c>
      <c r="W306" t="s">
        <v>66</v>
      </c>
      <c r="X306" t="s">
        <v>78</v>
      </c>
      <c r="Y306" t="s">
        <v>1853</v>
      </c>
      <c r="Z306" t="s">
        <v>182</v>
      </c>
      <c r="AA306" t="s">
        <v>984</v>
      </c>
      <c r="AB306" t="s">
        <v>984</v>
      </c>
      <c r="AC306" t="s">
        <v>82</v>
      </c>
      <c r="AD306" t="s">
        <v>83</v>
      </c>
      <c r="AE306" t="s">
        <v>66</v>
      </c>
      <c r="AF306" t="s">
        <v>876</v>
      </c>
    </row>
    <row r="307" spans="1:32">
      <c r="A307" t="s">
        <v>1854</v>
      </c>
      <c r="B307" t="s">
        <v>162</v>
      </c>
      <c r="C307" t="s">
        <v>1855</v>
      </c>
      <c r="D307" t="s">
        <v>66</v>
      </c>
      <c r="E307" t="s">
        <v>67</v>
      </c>
      <c r="F307" t="s">
        <v>164</v>
      </c>
      <c r="G307" t="s">
        <v>165</v>
      </c>
      <c r="H307" t="s">
        <v>66</v>
      </c>
      <c r="I307" t="s">
        <v>66</v>
      </c>
      <c r="J307" t="s">
        <v>67</v>
      </c>
      <c r="K307" t="s">
        <v>71</v>
      </c>
      <c r="L307" t="s">
        <v>72</v>
      </c>
      <c r="M307" t="s">
        <v>73</v>
      </c>
      <c r="N307" t="s">
        <v>66</v>
      </c>
      <c r="O307" t="s">
        <v>73</v>
      </c>
      <c r="P307" t="s">
        <v>66</v>
      </c>
      <c r="Q307" t="s">
        <v>979</v>
      </c>
      <c r="R307" t="s">
        <v>73</v>
      </c>
      <c r="S307" t="s">
        <v>979</v>
      </c>
      <c r="T307" t="s">
        <v>1856</v>
      </c>
      <c r="U307" t="s">
        <v>1857</v>
      </c>
      <c r="V307" t="s">
        <v>982</v>
      </c>
      <c r="W307" t="s">
        <v>66</v>
      </c>
      <c r="X307" t="s">
        <v>78</v>
      </c>
      <c r="Y307" t="s">
        <v>1858</v>
      </c>
      <c r="Z307" t="s">
        <v>182</v>
      </c>
      <c r="AA307" t="s">
        <v>984</v>
      </c>
      <c r="AB307" t="s">
        <v>984</v>
      </c>
      <c r="AC307" t="s">
        <v>82</v>
      </c>
      <c r="AD307" t="s">
        <v>83</v>
      </c>
      <c r="AE307" t="s">
        <v>66</v>
      </c>
      <c r="AF307" t="s">
        <v>876</v>
      </c>
    </row>
    <row r="308" spans="1:32">
      <c r="A308" t="s">
        <v>1859</v>
      </c>
      <c r="B308" t="s">
        <v>1860</v>
      </c>
      <c r="C308" t="s">
        <v>1861</v>
      </c>
      <c r="D308" t="s">
        <v>66</v>
      </c>
      <c r="E308" t="s">
        <v>67</v>
      </c>
      <c r="F308" t="s">
        <v>110</v>
      </c>
      <c r="G308" t="s">
        <v>111</v>
      </c>
      <c r="H308" t="s">
        <v>66</v>
      </c>
      <c r="I308" t="s">
        <v>66</v>
      </c>
      <c r="J308" t="s">
        <v>67</v>
      </c>
      <c r="K308" t="s">
        <v>71</v>
      </c>
      <c r="L308" t="s">
        <v>72</v>
      </c>
      <c r="M308" t="s">
        <v>73</v>
      </c>
      <c r="N308" t="s">
        <v>66</v>
      </c>
      <c r="O308" t="s">
        <v>73</v>
      </c>
      <c r="P308" t="s">
        <v>66</v>
      </c>
      <c r="Q308" t="s">
        <v>979</v>
      </c>
      <c r="R308" t="s">
        <v>73</v>
      </c>
      <c r="S308" t="s">
        <v>979</v>
      </c>
      <c r="T308" t="s">
        <v>1862</v>
      </c>
      <c r="U308" t="s">
        <v>1863</v>
      </c>
      <c r="V308" t="s">
        <v>982</v>
      </c>
      <c r="W308" t="s">
        <v>66</v>
      </c>
      <c r="X308" t="s">
        <v>78</v>
      </c>
      <c r="Y308" t="s">
        <v>1864</v>
      </c>
      <c r="Z308" t="s">
        <v>182</v>
      </c>
      <c r="AA308" t="s">
        <v>984</v>
      </c>
      <c r="AB308" t="s">
        <v>984</v>
      </c>
      <c r="AC308" t="s">
        <v>82</v>
      </c>
      <c r="AD308" t="s">
        <v>83</v>
      </c>
      <c r="AE308" t="s">
        <v>66</v>
      </c>
      <c r="AF308" t="s">
        <v>876</v>
      </c>
    </row>
    <row r="309" spans="1:32">
      <c r="A309" t="s">
        <v>1865</v>
      </c>
      <c r="B309" t="s">
        <v>162</v>
      </c>
      <c r="C309" t="s">
        <v>1866</v>
      </c>
      <c r="D309" t="s">
        <v>66</v>
      </c>
      <c r="E309" t="s">
        <v>67</v>
      </c>
      <c r="F309" t="s">
        <v>164</v>
      </c>
      <c r="G309" t="s">
        <v>165</v>
      </c>
      <c r="H309" t="s">
        <v>66</v>
      </c>
      <c r="I309" t="s">
        <v>66</v>
      </c>
      <c r="J309" t="s">
        <v>67</v>
      </c>
      <c r="K309" t="s">
        <v>71</v>
      </c>
      <c r="L309" t="s">
        <v>72</v>
      </c>
      <c r="M309" t="s">
        <v>73</v>
      </c>
      <c r="N309" t="s">
        <v>66</v>
      </c>
      <c r="O309" t="s">
        <v>73</v>
      </c>
      <c r="P309" t="s">
        <v>66</v>
      </c>
      <c r="Q309" t="s">
        <v>979</v>
      </c>
      <c r="R309" t="s">
        <v>73</v>
      </c>
      <c r="S309" t="s">
        <v>979</v>
      </c>
      <c r="T309" t="s">
        <v>1867</v>
      </c>
      <c r="U309" t="s">
        <v>1868</v>
      </c>
      <c r="V309" t="s">
        <v>982</v>
      </c>
      <c r="W309" t="s">
        <v>66</v>
      </c>
      <c r="X309" t="s">
        <v>78</v>
      </c>
      <c r="Y309" t="s">
        <v>1869</v>
      </c>
      <c r="Z309" t="s">
        <v>182</v>
      </c>
      <c r="AA309" t="s">
        <v>984</v>
      </c>
      <c r="AB309" t="s">
        <v>984</v>
      </c>
      <c r="AC309" t="s">
        <v>82</v>
      </c>
      <c r="AD309" t="s">
        <v>83</v>
      </c>
      <c r="AE309" t="s">
        <v>66</v>
      </c>
      <c r="AF309" t="s">
        <v>876</v>
      </c>
    </row>
    <row r="310" spans="1:32">
      <c r="A310" t="s">
        <v>1870</v>
      </c>
      <c r="B310" t="s">
        <v>162</v>
      </c>
      <c r="C310" t="s">
        <v>1871</v>
      </c>
      <c r="D310" t="s">
        <v>66</v>
      </c>
      <c r="E310" t="s">
        <v>67</v>
      </c>
      <c r="F310" t="s">
        <v>164</v>
      </c>
      <c r="G310" t="s">
        <v>165</v>
      </c>
      <c r="H310" t="s">
        <v>66</v>
      </c>
      <c r="I310" t="s">
        <v>66</v>
      </c>
      <c r="J310" t="s">
        <v>67</v>
      </c>
      <c r="K310" t="s">
        <v>71</v>
      </c>
      <c r="L310" t="s">
        <v>72</v>
      </c>
      <c r="M310" t="s">
        <v>73</v>
      </c>
      <c r="N310" t="s">
        <v>66</v>
      </c>
      <c r="O310" t="s">
        <v>73</v>
      </c>
      <c r="P310" t="s">
        <v>66</v>
      </c>
      <c r="Q310" t="s">
        <v>979</v>
      </c>
      <c r="R310" t="s">
        <v>73</v>
      </c>
      <c r="S310" t="s">
        <v>979</v>
      </c>
      <c r="T310" t="s">
        <v>1872</v>
      </c>
      <c r="U310" t="s">
        <v>1873</v>
      </c>
      <c r="V310" t="s">
        <v>982</v>
      </c>
      <c r="W310" t="s">
        <v>66</v>
      </c>
      <c r="X310" t="s">
        <v>78</v>
      </c>
      <c r="Y310" t="s">
        <v>1874</v>
      </c>
      <c r="Z310" t="s">
        <v>182</v>
      </c>
      <c r="AA310" t="s">
        <v>984</v>
      </c>
      <c r="AB310" t="s">
        <v>984</v>
      </c>
      <c r="AC310" t="s">
        <v>82</v>
      </c>
      <c r="AD310" t="s">
        <v>83</v>
      </c>
      <c r="AE310" t="s">
        <v>66</v>
      </c>
      <c r="AF310" t="s">
        <v>876</v>
      </c>
    </row>
    <row r="311" spans="1:32">
      <c r="A311" t="s">
        <v>1875</v>
      </c>
      <c r="B311" t="s">
        <v>841</v>
      </c>
      <c r="C311" t="s">
        <v>1876</v>
      </c>
      <c r="D311" t="s">
        <v>1876</v>
      </c>
      <c r="E311" t="s">
        <v>109</v>
      </c>
      <c r="F311" t="s">
        <v>110</v>
      </c>
      <c r="G311" t="s">
        <v>111</v>
      </c>
      <c r="H311" t="s">
        <v>66</v>
      </c>
      <c r="I311" t="s">
        <v>66</v>
      </c>
      <c r="J311" t="s">
        <v>67</v>
      </c>
      <c r="K311" t="s">
        <v>71</v>
      </c>
      <c r="L311" t="s">
        <v>72</v>
      </c>
      <c r="M311" t="s">
        <v>73</v>
      </c>
      <c r="N311" t="s">
        <v>66</v>
      </c>
      <c r="O311" t="s">
        <v>73</v>
      </c>
      <c r="P311" t="s">
        <v>66</v>
      </c>
      <c r="Q311" t="s">
        <v>979</v>
      </c>
      <c r="R311" t="s">
        <v>73</v>
      </c>
      <c r="S311" t="s">
        <v>979</v>
      </c>
      <c r="T311" t="s">
        <v>1877</v>
      </c>
      <c r="U311" t="s">
        <v>1878</v>
      </c>
      <c r="V311" t="s">
        <v>982</v>
      </c>
      <c r="W311" t="s">
        <v>66</v>
      </c>
      <c r="X311" t="s">
        <v>78</v>
      </c>
      <c r="Y311" t="s">
        <v>1879</v>
      </c>
      <c r="Z311" t="s">
        <v>182</v>
      </c>
      <c r="AA311" t="s">
        <v>984</v>
      </c>
      <c r="AB311" t="s">
        <v>984</v>
      </c>
      <c r="AC311" t="s">
        <v>82</v>
      </c>
      <c r="AD311" t="s">
        <v>83</v>
      </c>
      <c r="AE311" t="s">
        <v>66</v>
      </c>
      <c r="AF311" t="s">
        <v>876</v>
      </c>
    </row>
    <row r="312" spans="1:32">
      <c r="A312" t="s">
        <v>1880</v>
      </c>
      <c r="B312" t="s">
        <v>1041</v>
      </c>
      <c r="C312" t="s">
        <v>1881</v>
      </c>
      <c r="D312" t="s">
        <v>1881</v>
      </c>
      <c r="E312" t="s">
        <v>109</v>
      </c>
      <c r="F312" t="s">
        <v>68</v>
      </c>
      <c r="G312" t="s">
        <v>69</v>
      </c>
      <c r="H312" t="s">
        <v>66</v>
      </c>
      <c r="I312" t="s">
        <v>66</v>
      </c>
      <c r="J312" t="s">
        <v>67</v>
      </c>
      <c r="K312" t="s">
        <v>71</v>
      </c>
      <c r="L312" t="s">
        <v>72</v>
      </c>
      <c r="M312" t="s">
        <v>73</v>
      </c>
      <c r="N312" t="s">
        <v>66</v>
      </c>
      <c r="O312" t="s">
        <v>73</v>
      </c>
      <c r="P312" t="s">
        <v>66</v>
      </c>
      <c r="Q312" t="s">
        <v>979</v>
      </c>
      <c r="R312" t="s">
        <v>73</v>
      </c>
      <c r="S312" t="s">
        <v>979</v>
      </c>
      <c r="T312" t="s">
        <v>1882</v>
      </c>
      <c r="U312" t="s">
        <v>1883</v>
      </c>
      <c r="V312" t="s">
        <v>982</v>
      </c>
      <c r="W312" t="s">
        <v>66</v>
      </c>
      <c r="X312" t="s">
        <v>78</v>
      </c>
      <c r="Y312" t="s">
        <v>1884</v>
      </c>
      <c r="Z312" t="s">
        <v>182</v>
      </c>
      <c r="AA312" t="s">
        <v>984</v>
      </c>
      <c r="AB312" t="s">
        <v>984</v>
      </c>
      <c r="AC312" t="s">
        <v>82</v>
      </c>
      <c r="AD312" t="s">
        <v>83</v>
      </c>
      <c r="AE312" t="s">
        <v>66</v>
      </c>
      <c r="AF312" t="s">
        <v>876</v>
      </c>
    </row>
    <row r="313" spans="1:32">
      <c r="A313" t="s">
        <v>1885</v>
      </c>
      <c r="B313" t="s">
        <v>151</v>
      </c>
      <c r="C313" t="s">
        <v>1886</v>
      </c>
      <c r="D313" t="s">
        <v>66</v>
      </c>
      <c r="E313" t="s">
        <v>67</v>
      </c>
      <c r="F313" t="s">
        <v>68</v>
      </c>
      <c r="G313" t="s">
        <v>69</v>
      </c>
      <c r="H313" t="s">
        <v>66</v>
      </c>
      <c r="I313" t="s">
        <v>66</v>
      </c>
      <c r="J313" t="s">
        <v>67</v>
      </c>
      <c r="K313" t="s">
        <v>71</v>
      </c>
      <c r="L313" t="s">
        <v>72</v>
      </c>
      <c r="M313" t="s">
        <v>73</v>
      </c>
      <c r="N313" t="s">
        <v>66</v>
      </c>
      <c r="O313" t="s">
        <v>73</v>
      </c>
      <c r="P313" t="s">
        <v>66</v>
      </c>
      <c r="Q313" t="s">
        <v>979</v>
      </c>
      <c r="R313" t="s">
        <v>73</v>
      </c>
      <c r="S313" t="s">
        <v>979</v>
      </c>
      <c r="T313" t="s">
        <v>1887</v>
      </c>
      <c r="U313" t="s">
        <v>1888</v>
      </c>
      <c r="V313" t="s">
        <v>982</v>
      </c>
      <c r="W313" t="s">
        <v>66</v>
      </c>
      <c r="X313" t="s">
        <v>78</v>
      </c>
      <c r="Y313" t="s">
        <v>1889</v>
      </c>
      <c r="Z313" t="s">
        <v>182</v>
      </c>
      <c r="AA313" t="s">
        <v>984</v>
      </c>
      <c r="AB313" t="s">
        <v>984</v>
      </c>
      <c r="AC313" t="s">
        <v>82</v>
      </c>
      <c r="AD313" t="s">
        <v>83</v>
      </c>
      <c r="AE313" t="s">
        <v>66</v>
      </c>
      <c r="AF313" t="s">
        <v>876</v>
      </c>
    </row>
    <row r="314" spans="1:32">
      <c r="A314" t="s">
        <v>1890</v>
      </c>
      <c r="B314" t="s">
        <v>1891</v>
      </c>
      <c r="C314" t="s">
        <v>1892</v>
      </c>
      <c r="D314" t="s">
        <v>1892</v>
      </c>
      <c r="E314" t="s">
        <v>109</v>
      </c>
      <c r="F314" t="s">
        <v>110</v>
      </c>
      <c r="G314" t="s">
        <v>111</v>
      </c>
      <c r="H314" t="s">
        <v>66</v>
      </c>
      <c r="I314" t="s">
        <v>66</v>
      </c>
      <c r="J314" t="s">
        <v>67</v>
      </c>
      <c r="K314" t="s">
        <v>71</v>
      </c>
      <c r="L314" t="s">
        <v>72</v>
      </c>
      <c r="M314" t="s">
        <v>73</v>
      </c>
      <c r="N314" t="s">
        <v>66</v>
      </c>
      <c r="O314" t="s">
        <v>73</v>
      </c>
      <c r="P314" t="s">
        <v>66</v>
      </c>
      <c r="Q314" t="s">
        <v>979</v>
      </c>
      <c r="R314" t="s">
        <v>73</v>
      </c>
      <c r="S314" t="s">
        <v>979</v>
      </c>
      <c r="T314" t="s">
        <v>1893</v>
      </c>
      <c r="U314" t="s">
        <v>1894</v>
      </c>
      <c r="V314" t="s">
        <v>982</v>
      </c>
      <c r="W314" t="s">
        <v>66</v>
      </c>
      <c r="X314" t="s">
        <v>78</v>
      </c>
      <c r="Y314" t="s">
        <v>1895</v>
      </c>
      <c r="Z314" t="s">
        <v>182</v>
      </c>
      <c r="AA314" t="s">
        <v>984</v>
      </c>
      <c r="AB314" t="s">
        <v>984</v>
      </c>
      <c r="AC314" t="s">
        <v>82</v>
      </c>
      <c r="AD314" t="s">
        <v>83</v>
      </c>
      <c r="AE314" t="s">
        <v>66</v>
      </c>
      <c r="AF314" t="s">
        <v>876</v>
      </c>
    </row>
    <row r="315" spans="1:32">
      <c r="A315" t="s">
        <v>1896</v>
      </c>
      <c r="B315" t="s">
        <v>566</v>
      </c>
      <c r="C315" t="s">
        <v>1897</v>
      </c>
      <c r="D315" t="s">
        <v>1897</v>
      </c>
      <c r="E315" t="s">
        <v>109</v>
      </c>
      <c r="F315" t="s">
        <v>68</v>
      </c>
      <c r="G315" t="s">
        <v>69</v>
      </c>
      <c r="H315" t="s">
        <v>66</v>
      </c>
      <c r="I315" t="s">
        <v>66</v>
      </c>
      <c r="J315" t="s">
        <v>67</v>
      </c>
      <c r="K315" t="s">
        <v>71</v>
      </c>
      <c r="L315" t="s">
        <v>72</v>
      </c>
      <c r="M315" t="s">
        <v>73</v>
      </c>
      <c r="N315" t="s">
        <v>66</v>
      </c>
      <c r="O315" t="s">
        <v>73</v>
      </c>
      <c r="P315" t="s">
        <v>66</v>
      </c>
      <c r="Q315" t="s">
        <v>979</v>
      </c>
      <c r="R315" t="s">
        <v>73</v>
      </c>
      <c r="S315" t="s">
        <v>979</v>
      </c>
      <c r="T315" t="s">
        <v>1898</v>
      </c>
      <c r="U315" t="s">
        <v>1899</v>
      </c>
      <c r="V315" t="s">
        <v>982</v>
      </c>
      <c r="W315" t="s">
        <v>66</v>
      </c>
      <c r="X315" t="s">
        <v>78</v>
      </c>
      <c r="Y315" t="s">
        <v>1900</v>
      </c>
      <c r="Z315" t="s">
        <v>182</v>
      </c>
      <c r="AA315" t="s">
        <v>984</v>
      </c>
      <c r="AB315" t="s">
        <v>984</v>
      </c>
      <c r="AC315" t="s">
        <v>82</v>
      </c>
      <c r="AD315" t="s">
        <v>83</v>
      </c>
      <c r="AE315" t="s">
        <v>66</v>
      </c>
      <c r="AF315" t="s">
        <v>876</v>
      </c>
    </row>
    <row r="316" spans="1:32">
      <c r="A316" t="s">
        <v>1901</v>
      </c>
      <c r="B316" t="s">
        <v>1004</v>
      </c>
      <c r="C316" t="s">
        <v>1902</v>
      </c>
      <c r="D316" t="s">
        <v>66</v>
      </c>
      <c r="E316" t="s">
        <v>67</v>
      </c>
      <c r="F316" t="s">
        <v>68</v>
      </c>
      <c r="G316" t="s">
        <v>69</v>
      </c>
      <c r="H316" t="s">
        <v>66</v>
      </c>
      <c r="I316" t="s">
        <v>66</v>
      </c>
      <c r="J316" t="s">
        <v>67</v>
      </c>
      <c r="K316" t="s">
        <v>71</v>
      </c>
      <c r="L316" t="s">
        <v>72</v>
      </c>
      <c r="M316" t="s">
        <v>73</v>
      </c>
      <c r="N316" t="s">
        <v>66</v>
      </c>
      <c r="O316" t="s">
        <v>73</v>
      </c>
      <c r="P316" t="s">
        <v>66</v>
      </c>
      <c r="Q316" t="s">
        <v>979</v>
      </c>
      <c r="R316" t="s">
        <v>73</v>
      </c>
      <c r="S316" t="s">
        <v>979</v>
      </c>
      <c r="T316" t="s">
        <v>1903</v>
      </c>
      <c r="U316" t="s">
        <v>1904</v>
      </c>
      <c r="V316" t="s">
        <v>982</v>
      </c>
      <c r="W316" t="s">
        <v>66</v>
      </c>
      <c r="X316" t="s">
        <v>78</v>
      </c>
      <c r="Y316" t="s">
        <v>1905</v>
      </c>
      <c r="Z316" t="s">
        <v>182</v>
      </c>
      <c r="AA316" t="s">
        <v>984</v>
      </c>
      <c r="AB316" t="s">
        <v>984</v>
      </c>
      <c r="AC316" t="s">
        <v>82</v>
      </c>
      <c r="AD316" t="s">
        <v>83</v>
      </c>
      <c r="AE316" t="s">
        <v>66</v>
      </c>
      <c r="AF316" t="s">
        <v>876</v>
      </c>
    </row>
    <row r="317" spans="1:32">
      <c r="A317" t="s">
        <v>1906</v>
      </c>
      <c r="B317" t="s">
        <v>151</v>
      </c>
      <c r="C317" t="s">
        <v>1907</v>
      </c>
      <c r="D317" t="s">
        <v>66</v>
      </c>
      <c r="E317" t="s">
        <v>67</v>
      </c>
      <c r="F317" t="s">
        <v>68</v>
      </c>
      <c r="G317" t="s">
        <v>69</v>
      </c>
      <c r="H317" t="s">
        <v>66</v>
      </c>
      <c r="I317" t="s">
        <v>66</v>
      </c>
      <c r="J317" t="s">
        <v>67</v>
      </c>
      <c r="K317" t="s">
        <v>71</v>
      </c>
      <c r="L317" t="s">
        <v>72</v>
      </c>
      <c r="M317" t="s">
        <v>73</v>
      </c>
      <c r="N317" t="s">
        <v>66</v>
      </c>
      <c r="O317" t="s">
        <v>73</v>
      </c>
      <c r="P317" t="s">
        <v>66</v>
      </c>
      <c r="Q317" t="s">
        <v>979</v>
      </c>
      <c r="R317" t="s">
        <v>73</v>
      </c>
      <c r="S317" t="s">
        <v>979</v>
      </c>
      <c r="T317" t="s">
        <v>1908</v>
      </c>
      <c r="U317" t="s">
        <v>1909</v>
      </c>
      <c r="V317" t="s">
        <v>982</v>
      </c>
      <c r="W317" t="s">
        <v>66</v>
      </c>
      <c r="X317" t="s">
        <v>78</v>
      </c>
      <c r="Y317" t="s">
        <v>1910</v>
      </c>
      <c r="Z317" t="s">
        <v>182</v>
      </c>
      <c r="AA317" t="s">
        <v>984</v>
      </c>
      <c r="AB317" t="s">
        <v>984</v>
      </c>
      <c r="AC317" t="s">
        <v>82</v>
      </c>
      <c r="AD317" t="s">
        <v>83</v>
      </c>
      <c r="AE317" t="s">
        <v>66</v>
      </c>
      <c r="AF317" t="s">
        <v>876</v>
      </c>
    </row>
    <row r="318" spans="1:32">
      <c r="A318" t="s">
        <v>1911</v>
      </c>
      <c r="B318" t="s">
        <v>173</v>
      </c>
      <c r="C318" t="s">
        <v>1912</v>
      </c>
      <c r="D318" t="s">
        <v>66</v>
      </c>
      <c r="E318" t="s">
        <v>67</v>
      </c>
      <c r="F318" t="s">
        <v>175</v>
      </c>
      <c r="G318" t="s">
        <v>176</v>
      </c>
      <c r="H318" t="s">
        <v>66</v>
      </c>
      <c r="I318" t="s">
        <v>66</v>
      </c>
      <c r="J318" t="s">
        <v>67</v>
      </c>
      <c r="K318" t="s">
        <v>71</v>
      </c>
      <c r="L318" t="s">
        <v>72</v>
      </c>
      <c r="M318" t="s">
        <v>73</v>
      </c>
      <c r="N318" t="s">
        <v>66</v>
      </c>
      <c r="O318" t="s">
        <v>73</v>
      </c>
      <c r="P318" t="s">
        <v>66</v>
      </c>
      <c r="Q318" t="s">
        <v>979</v>
      </c>
      <c r="R318" t="s">
        <v>73</v>
      </c>
      <c r="S318" t="s">
        <v>979</v>
      </c>
      <c r="T318" t="s">
        <v>1913</v>
      </c>
      <c r="U318" t="s">
        <v>1914</v>
      </c>
      <c r="V318" t="s">
        <v>982</v>
      </c>
      <c r="W318" t="s">
        <v>66</v>
      </c>
      <c r="X318" t="s">
        <v>78</v>
      </c>
      <c r="Y318" t="s">
        <v>1915</v>
      </c>
      <c r="Z318" t="s">
        <v>182</v>
      </c>
      <c r="AA318" t="s">
        <v>984</v>
      </c>
      <c r="AB318" t="s">
        <v>984</v>
      </c>
      <c r="AC318" t="s">
        <v>82</v>
      </c>
      <c r="AD318" t="s">
        <v>83</v>
      </c>
      <c r="AE318" t="s">
        <v>66</v>
      </c>
      <c r="AF318" t="s">
        <v>876</v>
      </c>
    </row>
    <row r="319" spans="1:32">
      <c r="A319" t="s">
        <v>1916</v>
      </c>
      <c r="B319" t="s">
        <v>841</v>
      </c>
      <c r="C319" t="s">
        <v>1917</v>
      </c>
      <c r="D319" t="s">
        <v>1917</v>
      </c>
      <c r="E319" t="s">
        <v>109</v>
      </c>
      <c r="F319" t="s">
        <v>110</v>
      </c>
      <c r="G319" t="s">
        <v>111</v>
      </c>
      <c r="H319" t="s">
        <v>66</v>
      </c>
      <c r="I319" t="s">
        <v>66</v>
      </c>
      <c r="J319" t="s">
        <v>67</v>
      </c>
      <c r="K319" t="s">
        <v>71</v>
      </c>
      <c r="L319" t="s">
        <v>72</v>
      </c>
      <c r="M319" t="s">
        <v>73</v>
      </c>
      <c r="N319" t="s">
        <v>66</v>
      </c>
      <c r="O319" t="s">
        <v>73</v>
      </c>
      <c r="P319" t="s">
        <v>66</v>
      </c>
      <c r="Q319" t="s">
        <v>979</v>
      </c>
      <c r="R319" t="s">
        <v>73</v>
      </c>
      <c r="S319" t="s">
        <v>979</v>
      </c>
      <c r="T319" t="s">
        <v>1918</v>
      </c>
      <c r="U319" t="s">
        <v>1919</v>
      </c>
      <c r="V319" t="s">
        <v>982</v>
      </c>
      <c r="W319" t="s">
        <v>66</v>
      </c>
      <c r="X319" t="s">
        <v>78</v>
      </c>
      <c r="Y319" t="s">
        <v>1920</v>
      </c>
      <c r="Z319" t="s">
        <v>182</v>
      </c>
      <c r="AA319" t="s">
        <v>984</v>
      </c>
      <c r="AB319" t="s">
        <v>984</v>
      </c>
      <c r="AC319" t="s">
        <v>82</v>
      </c>
      <c r="AD319" t="s">
        <v>83</v>
      </c>
      <c r="AE319" t="s">
        <v>66</v>
      </c>
      <c r="AF319" t="s">
        <v>876</v>
      </c>
    </row>
    <row r="320" spans="1:32">
      <c r="A320" t="s">
        <v>1921</v>
      </c>
      <c r="B320" t="s">
        <v>1373</v>
      </c>
      <c r="C320" t="s">
        <v>1922</v>
      </c>
      <c r="D320" t="s">
        <v>66</v>
      </c>
      <c r="E320" t="s">
        <v>67</v>
      </c>
      <c r="F320" t="s">
        <v>68</v>
      </c>
      <c r="G320" t="s">
        <v>69</v>
      </c>
      <c r="H320" t="s">
        <v>66</v>
      </c>
      <c r="I320" t="s">
        <v>66</v>
      </c>
      <c r="J320" t="s">
        <v>67</v>
      </c>
      <c r="K320" t="s">
        <v>71</v>
      </c>
      <c r="L320" t="s">
        <v>72</v>
      </c>
      <c r="M320" t="s">
        <v>73</v>
      </c>
      <c r="N320" t="s">
        <v>66</v>
      </c>
      <c r="O320" t="s">
        <v>73</v>
      </c>
      <c r="P320" t="s">
        <v>66</v>
      </c>
      <c r="Q320" t="s">
        <v>979</v>
      </c>
      <c r="R320" t="s">
        <v>73</v>
      </c>
      <c r="S320" t="s">
        <v>979</v>
      </c>
      <c r="T320" t="s">
        <v>1923</v>
      </c>
      <c r="U320" t="s">
        <v>1924</v>
      </c>
      <c r="V320" t="s">
        <v>982</v>
      </c>
      <c r="W320" t="s">
        <v>66</v>
      </c>
      <c r="X320" t="s">
        <v>78</v>
      </c>
      <c r="Y320" t="s">
        <v>1925</v>
      </c>
      <c r="Z320" t="s">
        <v>182</v>
      </c>
      <c r="AA320" t="s">
        <v>984</v>
      </c>
      <c r="AB320" t="s">
        <v>984</v>
      </c>
      <c r="AC320" t="s">
        <v>82</v>
      </c>
      <c r="AD320" t="s">
        <v>83</v>
      </c>
      <c r="AE320" t="s">
        <v>66</v>
      </c>
      <c r="AF320" t="s">
        <v>876</v>
      </c>
    </row>
    <row r="321" spans="1:32">
      <c r="A321" t="s">
        <v>1926</v>
      </c>
      <c r="B321" t="s">
        <v>1927</v>
      </c>
      <c r="C321" t="s">
        <v>1928</v>
      </c>
      <c r="D321" t="s">
        <v>1928</v>
      </c>
      <c r="E321" t="s">
        <v>109</v>
      </c>
      <c r="F321" t="s">
        <v>68</v>
      </c>
      <c r="G321" t="s">
        <v>69</v>
      </c>
      <c r="H321" t="s">
        <v>66</v>
      </c>
      <c r="I321" t="s">
        <v>66</v>
      </c>
      <c r="J321" t="s">
        <v>67</v>
      </c>
      <c r="K321" t="s">
        <v>71</v>
      </c>
      <c r="L321" t="s">
        <v>72</v>
      </c>
      <c r="M321" t="s">
        <v>73</v>
      </c>
      <c r="N321" t="s">
        <v>66</v>
      </c>
      <c r="O321" t="s">
        <v>73</v>
      </c>
      <c r="P321" t="s">
        <v>66</v>
      </c>
      <c r="Q321" t="s">
        <v>979</v>
      </c>
      <c r="R321" t="s">
        <v>73</v>
      </c>
      <c r="S321" t="s">
        <v>979</v>
      </c>
      <c r="T321" t="s">
        <v>1929</v>
      </c>
      <c r="U321" t="s">
        <v>1930</v>
      </c>
      <c r="V321" t="s">
        <v>982</v>
      </c>
      <c r="W321" t="s">
        <v>66</v>
      </c>
      <c r="X321" t="s">
        <v>78</v>
      </c>
      <c r="Y321" t="s">
        <v>1931</v>
      </c>
      <c r="Z321" t="s">
        <v>182</v>
      </c>
      <c r="AA321" t="s">
        <v>984</v>
      </c>
      <c r="AB321" t="s">
        <v>984</v>
      </c>
      <c r="AC321" t="s">
        <v>82</v>
      </c>
      <c r="AD321" t="s">
        <v>83</v>
      </c>
      <c r="AE321" t="s">
        <v>66</v>
      </c>
      <c r="AF321" t="s">
        <v>876</v>
      </c>
    </row>
    <row r="322" spans="1:32">
      <c r="A322" t="s">
        <v>1932</v>
      </c>
      <c r="B322" t="s">
        <v>359</v>
      </c>
      <c r="C322" t="s">
        <v>1933</v>
      </c>
      <c r="D322" t="s">
        <v>1933</v>
      </c>
      <c r="E322" t="s">
        <v>109</v>
      </c>
      <c r="F322" t="s">
        <v>110</v>
      </c>
      <c r="G322" t="s">
        <v>111</v>
      </c>
      <c r="H322" t="s">
        <v>66</v>
      </c>
      <c r="I322" t="s">
        <v>66</v>
      </c>
      <c r="J322" t="s">
        <v>67</v>
      </c>
      <c r="K322" t="s">
        <v>71</v>
      </c>
      <c r="L322" t="s">
        <v>72</v>
      </c>
      <c r="M322" t="s">
        <v>73</v>
      </c>
      <c r="N322" t="s">
        <v>66</v>
      </c>
      <c r="O322" t="s">
        <v>73</v>
      </c>
      <c r="P322" t="s">
        <v>66</v>
      </c>
      <c r="Q322" t="s">
        <v>979</v>
      </c>
      <c r="R322" t="s">
        <v>73</v>
      </c>
      <c r="S322" t="s">
        <v>979</v>
      </c>
      <c r="T322" t="s">
        <v>1934</v>
      </c>
      <c r="U322" t="s">
        <v>1935</v>
      </c>
      <c r="V322" t="s">
        <v>982</v>
      </c>
      <c r="W322" t="s">
        <v>66</v>
      </c>
      <c r="X322" t="s">
        <v>78</v>
      </c>
      <c r="Y322" t="s">
        <v>1936</v>
      </c>
      <c r="Z322" t="s">
        <v>182</v>
      </c>
      <c r="AA322" t="s">
        <v>984</v>
      </c>
      <c r="AB322" t="s">
        <v>984</v>
      </c>
      <c r="AC322" t="s">
        <v>82</v>
      </c>
      <c r="AD322" t="s">
        <v>83</v>
      </c>
      <c r="AE322" t="s">
        <v>66</v>
      </c>
      <c r="AF322" t="s">
        <v>876</v>
      </c>
    </row>
    <row r="323" spans="1:32">
      <c r="A323" t="s">
        <v>1937</v>
      </c>
      <c r="B323" t="s">
        <v>1058</v>
      </c>
      <c r="C323" t="s">
        <v>1938</v>
      </c>
      <c r="D323" t="s">
        <v>1938</v>
      </c>
      <c r="E323" t="s">
        <v>109</v>
      </c>
      <c r="F323" t="s">
        <v>110</v>
      </c>
      <c r="G323" t="s">
        <v>111</v>
      </c>
      <c r="H323" t="s">
        <v>66</v>
      </c>
      <c r="I323" t="s">
        <v>66</v>
      </c>
      <c r="J323" t="s">
        <v>67</v>
      </c>
      <c r="K323" t="s">
        <v>71</v>
      </c>
      <c r="L323" t="s">
        <v>72</v>
      </c>
      <c r="M323" t="s">
        <v>73</v>
      </c>
      <c r="N323" t="s">
        <v>66</v>
      </c>
      <c r="O323" t="s">
        <v>73</v>
      </c>
      <c r="P323" t="s">
        <v>66</v>
      </c>
      <c r="Q323" t="s">
        <v>979</v>
      </c>
      <c r="R323" t="s">
        <v>73</v>
      </c>
      <c r="S323" t="s">
        <v>979</v>
      </c>
      <c r="T323" t="s">
        <v>1939</v>
      </c>
      <c r="U323" t="s">
        <v>1940</v>
      </c>
      <c r="V323" t="s">
        <v>982</v>
      </c>
      <c r="W323" t="s">
        <v>66</v>
      </c>
      <c r="X323" t="s">
        <v>78</v>
      </c>
      <c r="Y323" t="s">
        <v>1941</v>
      </c>
      <c r="Z323" t="s">
        <v>182</v>
      </c>
      <c r="AA323" t="s">
        <v>984</v>
      </c>
      <c r="AB323" t="s">
        <v>984</v>
      </c>
      <c r="AC323" t="s">
        <v>82</v>
      </c>
      <c r="AD323" t="s">
        <v>83</v>
      </c>
      <c r="AE323" t="s">
        <v>66</v>
      </c>
      <c r="AF323" t="s">
        <v>876</v>
      </c>
    </row>
    <row r="324" spans="1:32">
      <c r="A324" t="s">
        <v>1942</v>
      </c>
      <c r="B324" t="s">
        <v>1064</v>
      </c>
      <c r="C324" t="s">
        <v>1943</v>
      </c>
      <c r="D324" t="s">
        <v>66</v>
      </c>
      <c r="E324" t="s">
        <v>67</v>
      </c>
      <c r="F324" t="s">
        <v>110</v>
      </c>
      <c r="G324" t="s">
        <v>111</v>
      </c>
      <c r="H324" t="s">
        <v>66</v>
      </c>
      <c r="I324" t="s">
        <v>66</v>
      </c>
      <c r="J324" t="s">
        <v>67</v>
      </c>
      <c r="K324" t="s">
        <v>71</v>
      </c>
      <c r="L324" t="s">
        <v>72</v>
      </c>
      <c r="M324" t="s">
        <v>73</v>
      </c>
      <c r="N324" t="s">
        <v>66</v>
      </c>
      <c r="O324" t="s">
        <v>73</v>
      </c>
      <c r="P324" t="s">
        <v>66</v>
      </c>
      <c r="Q324" t="s">
        <v>979</v>
      </c>
      <c r="R324" t="s">
        <v>73</v>
      </c>
      <c r="S324" t="s">
        <v>979</v>
      </c>
      <c r="T324" t="s">
        <v>1944</v>
      </c>
      <c r="U324" t="s">
        <v>1945</v>
      </c>
      <c r="V324" t="s">
        <v>982</v>
      </c>
      <c r="W324" t="s">
        <v>66</v>
      </c>
      <c r="X324" t="s">
        <v>78</v>
      </c>
      <c r="Y324" t="s">
        <v>1946</v>
      </c>
      <c r="Z324" t="s">
        <v>182</v>
      </c>
      <c r="AA324" t="s">
        <v>984</v>
      </c>
      <c r="AB324" t="s">
        <v>984</v>
      </c>
      <c r="AC324" t="s">
        <v>82</v>
      </c>
      <c r="AD324" t="s">
        <v>83</v>
      </c>
      <c r="AE324" t="s">
        <v>66</v>
      </c>
      <c r="AF324" t="s">
        <v>876</v>
      </c>
    </row>
    <row r="325" spans="1:32">
      <c r="A325" t="s">
        <v>1947</v>
      </c>
      <c r="B325" t="s">
        <v>1948</v>
      </c>
      <c r="C325" t="s">
        <v>1949</v>
      </c>
      <c r="D325" t="s">
        <v>1949</v>
      </c>
      <c r="E325" t="s">
        <v>109</v>
      </c>
      <c r="F325" t="s">
        <v>68</v>
      </c>
      <c r="G325" t="s">
        <v>69</v>
      </c>
      <c r="H325" t="s">
        <v>66</v>
      </c>
      <c r="I325" t="s">
        <v>66</v>
      </c>
      <c r="J325" t="s">
        <v>67</v>
      </c>
      <c r="K325" t="s">
        <v>71</v>
      </c>
      <c r="L325" t="s">
        <v>72</v>
      </c>
      <c r="M325" t="s">
        <v>73</v>
      </c>
      <c r="N325" t="s">
        <v>66</v>
      </c>
      <c r="O325" t="s">
        <v>73</v>
      </c>
      <c r="P325" t="s">
        <v>66</v>
      </c>
      <c r="Q325" t="s">
        <v>979</v>
      </c>
      <c r="R325" t="s">
        <v>73</v>
      </c>
      <c r="S325" t="s">
        <v>979</v>
      </c>
      <c r="T325" t="s">
        <v>1950</v>
      </c>
      <c r="U325" t="s">
        <v>1951</v>
      </c>
      <c r="V325" t="s">
        <v>982</v>
      </c>
      <c r="W325" t="s">
        <v>66</v>
      </c>
      <c r="X325" t="s">
        <v>78</v>
      </c>
      <c r="Y325" t="s">
        <v>1952</v>
      </c>
      <c r="Z325" t="s">
        <v>182</v>
      </c>
      <c r="AA325" t="s">
        <v>984</v>
      </c>
      <c r="AB325" t="s">
        <v>984</v>
      </c>
      <c r="AC325" t="s">
        <v>82</v>
      </c>
      <c r="AD325" t="s">
        <v>83</v>
      </c>
      <c r="AE325" t="s">
        <v>66</v>
      </c>
      <c r="AF325" t="s">
        <v>876</v>
      </c>
    </row>
    <row r="326" spans="1:32">
      <c r="A326" t="s">
        <v>1953</v>
      </c>
      <c r="B326" t="s">
        <v>1954</v>
      </c>
      <c r="C326" t="s">
        <v>1955</v>
      </c>
      <c r="D326" t="s">
        <v>66</v>
      </c>
      <c r="E326" t="s">
        <v>67</v>
      </c>
      <c r="F326" t="s">
        <v>68</v>
      </c>
      <c r="G326" t="s">
        <v>69</v>
      </c>
      <c r="H326" t="s">
        <v>66</v>
      </c>
      <c r="I326" t="s">
        <v>66</v>
      </c>
      <c r="J326" t="s">
        <v>67</v>
      </c>
      <c r="K326" t="s">
        <v>71</v>
      </c>
      <c r="L326" t="s">
        <v>72</v>
      </c>
      <c r="M326" t="s">
        <v>73</v>
      </c>
      <c r="N326" t="s">
        <v>66</v>
      </c>
      <c r="O326" t="s">
        <v>73</v>
      </c>
      <c r="P326" t="s">
        <v>66</v>
      </c>
      <c r="Q326" t="s">
        <v>979</v>
      </c>
      <c r="R326" t="s">
        <v>73</v>
      </c>
      <c r="S326" t="s">
        <v>979</v>
      </c>
      <c r="T326" t="s">
        <v>1956</v>
      </c>
      <c r="U326" t="s">
        <v>1957</v>
      </c>
      <c r="V326" t="s">
        <v>982</v>
      </c>
      <c r="W326" t="s">
        <v>66</v>
      </c>
      <c r="X326" t="s">
        <v>78</v>
      </c>
      <c r="Y326" t="s">
        <v>1958</v>
      </c>
      <c r="Z326" t="s">
        <v>182</v>
      </c>
      <c r="AA326" t="s">
        <v>984</v>
      </c>
      <c r="AB326" t="s">
        <v>984</v>
      </c>
      <c r="AC326" t="s">
        <v>82</v>
      </c>
      <c r="AD326" t="s">
        <v>83</v>
      </c>
      <c r="AE326" t="s">
        <v>66</v>
      </c>
      <c r="AF326" t="s">
        <v>876</v>
      </c>
    </row>
    <row r="327" spans="1:32">
      <c r="A327" t="s">
        <v>1959</v>
      </c>
      <c r="B327" t="s">
        <v>173</v>
      </c>
      <c r="C327" t="s">
        <v>1960</v>
      </c>
      <c r="D327" t="s">
        <v>66</v>
      </c>
      <c r="E327" t="s">
        <v>67</v>
      </c>
      <c r="F327" t="s">
        <v>175</v>
      </c>
      <c r="G327" t="s">
        <v>176</v>
      </c>
      <c r="H327" t="s">
        <v>66</v>
      </c>
      <c r="I327" t="s">
        <v>66</v>
      </c>
      <c r="J327" t="s">
        <v>67</v>
      </c>
      <c r="K327" t="s">
        <v>71</v>
      </c>
      <c r="L327" t="s">
        <v>72</v>
      </c>
      <c r="M327" t="s">
        <v>73</v>
      </c>
      <c r="N327" t="s">
        <v>66</v>
      </c>
      <c r="O327" t="s">
        <v>73</v>
      </c>
      <c r="P327" t="s">
        <v>66</v>
      </c>
      <c r="Q327" t="s">
        <v>979</v>
      </c>
      <c r="R327" t="s">
        <v>73</v>
      </c>
      <c r="S327" t="s">
        <v>979</v>
      </c>
      <c r="T327" t="s">
        <v>1961</v>
      </c>
      <c r="U327" t="s">
        <v>1962</v>
      </c>
      <c r="V327" t="s">
        <v>982</v>
      </c>
      <c r="W327" t="s">
        <v>66</v>
      </c>
      <c r="X327" t="s">
        <v>78</v>
      </c>
      <c r="Y327" t="s">
        <v>1963</v>
      </c>
      <c r="Z327" t="s">
        <v>182</v>
      </c>
      <c r="AA327" t="s">
        <v>984</v>
      </c>
      <c r="AB327" t="s">
        <v>984</v>
      </c>
      <c r="AC327" t="s">
        <v>82</v>
      </c>
      <c r="AD327" t="s">
        <v>83</v>
      </c>
      <c r="AE327" t="s">
        <v>66</v>
      </c>
      <c r="AF327" t="s">
        <v>876</v>
      </c>
    </row>
    <row r="328" spans="1:32">
      <c r="A328" t="s">
        <v>1964</v>
      </c>
      <c r="B328" t="s">
        <v>308</v>
      </c>
      <c r="C328" t="s">
        <v>1965</v>
      </c>
      <c r="D328" t="s">
        <v>1965</v>
      </c>
      <c r="E328" t="s">
        <v>109</v>
      </c>
      <c r="F328" t="s">
        <v>110</v>
      </c>
      <c r="G328" t="s">
        <v>111</v>
      </c>
      <c r="H328" t="s">
        <v>66</v>
      </c>
      <c r="I328" t="s">
        <v>66</v>
      </c>
      <c r="J328" t="s">
        <v>67</v>
      </c>
      <c r="K328" t="s">
        <v>71</v>
      </c>
      <c r="L328" t="s">
        <v>72</v>
      </c>
      <c r="M328" t="s">
        <v>73</v>
      </c>
      <c r="N328" t="s">
        <v>66</v>
      </c>
      <c r="O328" t="s">
        <v>73</v>
      </c>
      <c r="P328" t="s">
        <v>66</v>
      </c>
      <c r="Q328" t="s">
        <v>979</v>
      </c>
      <c r="R328" t="s">
        <v>73</v>
      </c>
      <c r="S328" t="s">
        <v>979</v>
      </c>
      <c r="T328" t="s">
        <v>1966</v>
      </c>
      <c r="U328" t="s">
        <v>1967</v>
      </c>
      <c r="V328" t="s">
        <v>982</v>
      </c>
      <c r="W328" t="s">
        <v>66</v>
      </c>
      <c r="X328" t="s">
        <v>78</v>
      </c>
      <c r="Y328" t="s">
        <v>1968</v>
      </c>
      <c r="Z328" t="s">
        <v>182</v>
      </c>
      <c r="AA328" t="s">
        <v>984</v>
      </c>
      <c r="AB328" t="s">
        <v>984</v>
      </c>
      <c r="AC328" t="s">
        <v>82</v>
      </c>
      <c r="AD328" t="s">
        <v>83</v>
      </c>
      <c r="AE328" t="s">
        <v>66</v>
      </c>
      <c r="AF328" t="s">
        <v>876</v>
      </c>
    </row>
    <row r="329" spans="1:32">
      <c r="A329" t="s">
        <v>1969</v>
      </c>
      <c r="B329" t="s">
        <v>162</v>
      </c>
      <c r="C329" t="s">
        <v>1970</v>
      </c>
      <c r="D329" t="s">
        <v>66</v>
      </c>
      <c r="E329" t="s">
        <v>67</v>
      </c>
      <c r="F329" t="s">
        <v>164</v>
      </c>
      <c r="G329" t="s">
        <v>165</v>
      </c>
      <c r="H329" t="s">
        <v>66</v>
      </c>
      <c r="I329" t="s">
        <v>66</v>
      </c>
      <c r="J329" t="s">
        <v>67</v>
      </c>
      <c r="K329" t="s">
        <v>71</v>
      </c>
      <c r="L329" t="s">
        <v>72</v>
      </c>
      <c r="M329" t="s">
        <v>73</v>
      </c>
      <c r="N329" t="s">
        <v>66</v>
      </c>
      <c r="O329" t="s">
        <v>73</v>
      </c>
      <c r="P329" t="s">
        <v>66</v>
      </c>
      <c r="Q329" t="s">
        <v>979</v>
      </c>
      <c r="R329" t="s">
        <v>73</v>
      </c>
      <c r="S329" t="s">
        <v>979</v>
      </c>
      <c r="T329" t="s">
        <v>1971</v>
      </c>
      <c r="U329" t="s">
        <v>1972</v>
      </c>
      <c r="V329" t="s">
        <v>982</v>
      </c>
      <c r="W329" t="s">
        <v>66</v>
      </c>
      <c r="X329" t="s">
        <v>78</v>
      </c>
      <c r="Y329" t="s">
        <v>1973</v>
      </c>
      <c r="Z329" t="s">
        <v>182</v>
      </c>
      <c r="AA329" t="s">
        <v>984</v>
      </c>
      <c r="AB329" t="s">
        <v>984</v>
      </c>
      <c r="AC329" t="s">
        <v>82</v>
      </c>
      <c r="AD329" t="s">
        <v>83</v>
      </c>
      <c r="AE329" t="s">
        <v>66</v>
      </c>
      <c r="AF329" t="s">
        <v>876</v>
      </c>
    </row>
    <row r="330" spans="1:32">
      <c r="A330" t="s">
        <v>1974</v>
      </c>
      <c r="B330" t="s">
        <v>130</v>
      </c>
      <c r="C330" t="s">
        <v>1975</v>
      </c>
      <c r="D330" t="s">
        <v>1975</v>
      </c>
      <c r="E330" t="s">
        <v>109</v>
      </c>
      <c r="F330" t="s">
        <v>110</v>
      </c>
      <c r="G330" t="s">
        <v>111</v>
      </c>
      <c r="H330" t="s">
        <v>66</v>
      </c>
      <c r="I330" t="s">
        <v>66</v>
      </c>
      <c r="J330" t="s">
        <v>67</v>
      </c>
      <c r="K330" t="s">
        <v>71</v>
      </c>
      <c r="L330" t="s">
        <v>72</v>
      </c>
      <c r="M330" t="s">
        <v>73</v>
      </c>
      <c r="N330" t="s">
        <v>66</v>
      </c>
      <c r="O330" t="s">
        <v>73</v>
      </c>
      <c r="P330" t="s">
        <v>66</v>
      </c>
      <c r="Q330" t="s">
        <v>979</v>
      </c>
      <c r="R330" t="s">
        <v>73</v>
      </c>
      <c r="S330" t="s">
        <v>979</v>
      </c>
      <c r="T330" t="s">
        <v>1976</v>
      </c>
      <c r="U330" t="s">
        <v>1977</v>
      </c>
      <c r="V330" t="s">
        <v>982</v>
      </c>
      <c r="W330" t="s">
        <v>66</v>
      </c>
      <c r="X330" t="s">
        <v>78</v>
      </c>
      <c r="Y330" t="s">
        <v>1978</v>
      </c>
      <c r="Z330" t="s">
        <v>182</v>
      </c>
      <c r="AA330" t="s">
        <v>984</v>
      </c>
      <c r="AB330" t="s">
        <v>984</v>
      </c>
      <c r="AC330" t="s">
        <v>82</v>
      </c>
      <c r="AD330" t="s">
        <v>83</v>
      </c>
      <c r="AE330" t="s">
        <v>66</v>
      </c>
      <c r="AF330" t="s">
        <v>876</v>
      </c>
    </row>
    <row r="331" spans="1:32">
      <c r="A331" t="s">
        <v>1979</v>
      </c>
      <c r="B331" t="s">
        <v>151</v>
      </c>
      <c r="C331" t="s">
        <v>1980</v>
      </c>
      <c r="D331" t="s">
        <v>66</v>
      </c>
      <c r="E331" t="s">
        <v>67</v>
      </c>
      <c r="F331" t="s">
        <v>68</v>
      </c>
      <c r="G331" t="s">
        <v>69</v>
      </c>
      <c r="H331" t="s">
        <v>66</v>
      </c>
      <c r="I331" t="s">
        <v>66</v>
      </c>
      <c r="J331" t="s">
        <v>67</v>
      </c>
      <c r="K331" t="s">
        <v>71</v>
      </c>
      <c r="L331" t="s">
        <v>72</v>
      </c>
      <c r="M331" t="s">
        <v>73</v>
      </c>
      <c r="N331" t="s">
        <v>66</v>
      </c>
      <c r="O331" t="s">
        <v>73</v>
      </c>
      <c r="P331" t="s">
        <v>66</v>
      </c>
      <c r="Q331" t="s">
        <v>979</v>
      </c>
      <c r="R331" t="s">
        <v>73</v>
      </c>
      <c r="S331" t="s">
        <v>979</v>
      </c>
      <c r="T331" t="s">
        <v>1981</v>
      </c>
      <c r="U331" t="s">
        <v>1982</v>
      </c>
      <c r="V331" t="s">
        <v>982</v>
      </c>
      <c r="W331" t="s">
        <v>66</v>
      </c>
      <c r="X331" t="s">
        <v>78</v>
      </c>
      <c r="Y331" t="s">
        <v>1983</v>
      </c>
      <c r="Z331" t="s">
        <v>182</v>
      </c>
      <c r="AA331" t="s">
        <v>984</v>
      </c>
      <c r="AB331" t="s">
        <v>984</v>
      </c>
      <c r="AC331" t="s">
        <v>82</v>
      </c>
      <c r="AD331" t="s">
        <v>83</v>
      </c>
      <c r="AE331" t="s">
        <v>66</v>
      </c>
      <c r="AF331" t="s">
        <v>876</v>
      </c>
    </row>
    <row r="332" spans="1:32">
      <c r="A332" t="s">
        <v>1984</v>
      </c>
      <c r="B332" t="s">
        <v>841</v>
      </c>
      <c r="C332" t="s">
        <v>1985</v>
      </c>
      <c r="D332" t="s">
        <v>1985</v>
      </c>
      <c r="E332" t="s">
        <v>109</v>
      </c>
      <c r="F332" t="s">
        <v>110</v>
      </c>
      <c r="G332" t="s">
        <v>111</v>
      </c>
      <c r="H332" t="s">
        <v>66</v>
      </c>
      <c r="I332" t="s">
        <v>66</v>
      </c>
      <c r="J332" t="s">
        <v>67</v>
      </c>
      <c r="K332" t="s">
        <v>71</v>
      </c>
      <c r="L332" t="s">
        <v>72</v>
      </c>
      <c r="M332" t="s">
        <v>73</v>
      </c>
      <c r="N332" t="s">
        <v>66</v>
      </c>
      <c r="O332" t="s">
        <v>73</v>
      </c>
      <c r="P332" t="s">
        <v>66</v>
      </c>
      <c r="Q332" t="s">
        <v>979</v>
      </c>
      <c r="R332" t="s">
        <v>73</v>
      </c>
      <c r="S332" t="s">
        <v>979</v>
      </c>
      <c r="T332" t="s">
        <v>1986</v>
      </c>
      <c r="U332" t="s">
        <v>1987</v>
      </c>
      <c r="V332" t="s">
        <v>982</v>
      </c>
      <c r="W332" t="s">
        <v>66</v>
      </c>
      <c r="X332" t="s">
        <v>78</v>
      </c>
      <c r="Y332" t="s">
        <v>1988</v>
      </c>
      <c r="Z332" t="s">
        <v>182</v>
      </c>
      <c r="AA332" t="s">
        <v>984</v>
      </c>
      <c r="AB332" t="s">
        <v>984</v>
      </c>
      <c r="AC332" t="s">
        <v>82</v>
      </c>
      <c r="AD332" t="s">
        <v>83</v>
      </c>
      <c r="AE332" t="s">
        <v>66</v>
      </c>
      <c r="AF332" t="s">
        <v>876</v>
      </c>
    </row>
    <row r="333" spans="1:32">
      <c r="A333" t="s">
        <v>1989</v>
      </c>
      <c r="B333" t="s">
        <v>107</v>
      </c>
      <c r="C333" t="s">
        <v>1990</v>
      </c>
      <c r="D333" t="s">
        <v>1990</v>
      </c>
      <c r="E333" t="s">
        <v>109</v>
      </c>
      <c r="F333" t="s">
        <v>110</v>
      </c>
      <c r="G333" t="s">
        <v>111</v>
      </c>
      <c r="H333" t="s">
        <v>66</v>
      </c>
      <c r="I333" t="s">
        <v>66</v>
      </c>
      <c r="J333" t="s">
        <v>67</v>
      </c>
      <c r="K333" t="s">
        <v>71</v>
      </c>
      <c r="L333" t="s">
        <v>72</v>
      </c>
      <c r="M333" t="s">
        <v>73</v>
      </c>
      <c r="N333" t="s">
        <v>66</v>
      </c>
      <c r="O333" t="s">
        <v>73</v>
      </c>
      <c r="P333" t="s">
        <v>66</v>
      </c>
      <c r="Q333" t="s">
        <v>979</v>
      </c>
      <c r="R333" t="s">
        <v>73</v>
      </c>
      <c r="S333" t="s">
        <v>979</v>
      </c>
      <c r="T333" t="s">
        <v>1991</v>
      </c>
      <c r="U333" t="s">
        <v>1992</v>
      </c>
      <c r="V333" t="s">
        <v>982</v>
      </c>
      <c r="W333" t="s">
        <v>66</v>
      </c>
      <c r="X333" t="s">
        <v>78</v>
      </c>
      <c r="Y333" t="s">
        <v>1993</v>
      </c>
      <c r="Z333" t="s">
        <v>182</v>
      </c>
      <c r="AA333" t="s">
        <v>984</v>
      </c>
      <c r="AB333" t="s">
        <v>984</v>
      </c>
      <c r="AC333" t="s">
        <v>82</v>
      </c>
      <c r="AD333" t="s">
        <v>83</v>
      </c>
      <c r="AE333" t="s">
        <v>66</v>
      </c>
      <c r="AF333" t="s">
        <v>876</v>
      </c>
    </row>
    <row r="334" spans="1:32">
      <c r="A334" t="s">
        <v>1994</v>
      </c>
      <c r="B334" t="s">
        <v>1995</v>
      </c>
      <c r="C334" t="s">
        <v>1996</v>
      </c>
      <c r="D334" t="s">
        <v>66</v>
      </c>
      <c r="E334" t="s">
        <v>67</v>
      </c>
      <c r="F334" t="s">
        <v>110</v>
      </c>
      <c r="G334" t="s">
        <v>111</v>
      </c>
      <c r="H334" t="s">
        <v>66</v>
      </c>
      <c r="I334" t="s">
        <v>66</v>
      </c>
      <c r="J334" t="s">
        <v>67</v>
      </c>
      <c r="K334" t="s">
        <v>71</v>
      </c>
      <c r="L334" t="s">
        <v>72</v>
      </c>
      <c r="M334" t="s">
        <v>73</v>
      </c>
      <c r="N334" t="s">
        <v>66</v>
      </c>
      <c r="O334" t="s">
        <v>73</v>
      </c>
      <c r="P334" t="s">
        <v>66</v>
      </c>
      <c r="Q334" t="s">
        <v>979</v>
      </c>
      <c r="R334" t="s">
        <v>73</v>
      </c>
      <c r="S334" t="s">
        <v>979</v>
      </c>
      <c r="T334" t="s">
        <v>1997</v>
      </c>
      <c r="U334" t="s">
        <v>1998</v>
      </c>
      <c r="V334" t="s">
        <v>982</v>
      </c>
      <c r="W334" t="s">
        <v>66</v>
      </c>
      <c r="X334" t="s">
        <v>78</v>
      </c>
      <c r="Y334" t="s">
        <v>1999</v>
      </c>
      <c r="Z334" t="s">
        <v>182</v>
      </c>
      <c r="AA334" t="s">
        <v>984</v>
      </c>
      <c r="AB334" t="s">
        <v>984</v>
      </c>
      <c r="AC334" t="s">
        <v>82</v>
      </c>
      <c r="AD334" t="s">
        <v>83</v>
      </c>
      <c r="AE334" t="s">
        <v>66</v>
      </c>
      <c r="AF334" t="s">
        <v>876</v>
      </c>
    </row>
    <row r="335" spans="1:32">
      <c r="A335" t="s">
        <v>2000</v>
      </c>
      <c r="B335" t="s">
        <v>308</v>
      </c>
      <c r="C335" t="s">
        <v>2001</v>
      </c>
      <c r="D335" t="s">
        <v>2001</v>
      </c>
      <c r="E335" t="s">
        <v>109</v>
      </c>
      <c r="F335" t="s">
        <v>68</v>
      </c>
      <c r="G335" t="s">
        <v>69</v>
      </c>
      <c r="H335" t="s">
        <v>66</v>
      </c>
      <c r="I335" t="s">
        <v>66</v>
      </c>
      <c r="J335" t="s">
        <v>67</v>
      </c>
      <c r="K335" t="s">
        <v>71</v>
      </c>
      <c r="L335" t="s">
        <v>72</v>
      </c>
      <c r="M335" t="s">
        <v>73</v>
      </c>
      <c r="N335" t="s">
        <v>66</v>
      </c>
      <c r="O335" t="s">
        <v>73</v>
      </c>
      <c r="P335" t="s">
        <v>66</v>
      </c>
      <c r="Q335" t="s">
        <v>979</v>
      </c>
      <c r="R335" t="s">
        <v>73</v>
      </c>
      <c r="S335" t="s">
        <v>979</v>
      </c>
      <c r="T335" t="s">
        <v>2002</v>
      </c>
      <c r="U335" t="s">
        <v>2003</v>
      </c>
      <c r="V335" t="s">
        <v>982</v>
      </c>
      <c r="W335" t="s">
        <v>66</v>
      </c>
      <c r="X335" t="s">
        <v>78</v>
      </c>
      <c r="Y335" t="s">
        <v>2004</v>
      </c>
      <c r="Z335" t="s">
        <v>182</v>
      </c>
      <c r="AA335" t="s">
        <v>984</v>
      </c>
      <c r="AB335" t="s">
        <v>984</v>
      </c>
      <c r="AC335" t="s">
        <v>82</v>
      </c>
      <c r="AD335" t="s">
        <v>83</v>
      </c>
      <c r="AE335" t="s">
        <v>66</v>
      </c>
      <c r="AF335" t="s">
        <v>876</v>
      </c>
    </row>
    <row r="336" spans="1:32">
      <c r="A336" t="s">
        <v>2005</v>
      </c>
      <c r="B336" t="s">
        <v>162</v>
      </c>
      <c r="C336" t="s">
        <v>2006</v>
      </c>
      <c r="D336" t="s">
        <v>66</v>
      </c>
      <c r="E336" t="s">
        <v>67</v>
      </c>
      <c r="F336" t="s">
        <v>164</v>
      </c>
      <c r="G336" t="s">
        <v>165</v>
      </c>
      <c r="H336" t="s">
        <v>66</v>
      </c>
      <c r="I336" t="s">
        <v>66</v>
      </c>
      <c r="J336" t="s">
        <v>67</v>
      </c>
      <c r="K336" t="s">
        <v>71</v>
      </c>
      <c r="L336" t="s">
        <v>72</v>
      </c>
      <c r="M336" t="s">
        <v>73</v>
      </c>
      <c r="N336" t="s">
        <v>66</v>
      </c>
      <c r="O336" t="s">
        <v>73</v>
      </c>
      <c r="P336" t="s">
        <v>66</v>
      </c>
      <c r="Q336" t="s">
        <v>979</v>
      </c>
      <c r="R336" t="s">
        <v>73</v>
      </c>
      <c r="S336" t="s">
        <v>979</v>
      </c>
      <c r="T336" t="s">
        <v>2007</v>
      </c>
      <c r="U336" t="s">
        <v>2008</v>
      </c>
      <c r="V336" t="s">
        <v>982</v>
      </c>
      <c r="W336" t="s">
        <v>66</v>
      </c>
      <c r="X336" t="s">
        <v>78</v>
      </c>
      <c r="Y336" t="s">
        <v>2009</v>
      </c>
      <c r="Z336" t="s">
        <v>182</v>
      </c>
      <c r="AA336" t="s">
        <v>984</v>
      </c>
      <c r="AB336" t="s">
        <v>984</v>
      </c>
      <c r="AC336" t="s">
        <v>82</v>
      </c>
      <c r="AD336" t="s">
        <v>83</v>
      </c>
      <c r="AE336" t="s">
        <v>66</v>
      </c>
      <c r="AF336" t="s">
        <v>876</v>
      </c>
    </row>
    <row r="337" spans="1:32">
      <c r="A337" t="s">
        <v>2010</v>
      </c>
      <c r="B337" t="s">
        <v>1101</v>
      </c>
      <c r="C337" t="s">
        <v>2011</v>
      </c>
      <c r="D337" t="s">
        <v>66</v>
      </c>
      <c r="E337" t="s">
        <v>67</v>
      </c>
      <c r="F337" t="s">
        <v>110</v>
      </c>
      <c r="G337" t="s">
        <v>111</v>
      </c>
      <c r="H337" t="s">
        <v>66</v>
      </c>
      <c r="I337" t="s">
        <v>66</v>
      </c>
      <c r="J337" t="s">
        <v>67</v>
      </c>
      <c r="K337" t="s">
        <v>71</v>
      </c>
      <c r="L337" t="s">
        <v>72</v>
      </c>
      <c r="M337" t="s">
        <v>73</v>
      </c>
      <c r="N337" t="s">
        <v>66</v>
      </c>
      <c r="O337" t="s">
        <v>73</v>
      </c>
      <c r="P337" t="s">
        <v>66</v>
      </c>
      <c r="Q337" t="s">
        <v>979</v>
      </c>
      <c r="R337" t="s">
        <v>73</v>
      </c>
      <c r="S337" t="s">
        <v>979</v>
      </c>
      <c r="T337" t="s">
        <v>2012</v>
      </c>
      <c r="U337" t="s">
        <v>2013</v>
      </c>
      <c r="V337" t="s">
        <v>982</v>
      </c>
      <c r="W337" t="s">
        <v>66</v>
      </c>
      <c r="X337" t="s">
        <v>78</v>
      </c>
      <c r="Y337" t="s">
        <v>2014</v>
      </c>
      <c r="Z337" t="s">
        <v>182</v>
      </c>
      <c r="AA337" t="s">
        <v>984</v>
      </c>
      <c r="AB337" t="s">
        <v>984</v>
      </c>
      <c r="AC337" t="s">
        <v>82</v>
      </c>
      <c r="AD337" t="s">
        <v>83</v>
      </c>
      <c r="AE337" t="s">
        <v>66</v>
      </c>
      <c r="AF337" t="s">
        <v>876</v>
      </c>
    </row>
    <row r="338" spans="1:32">
      <c r="A338" t="s">
        <v>2015</v>
      </c>
      <c r="B338" t="s">
        <v>107</v>
      </c>
      <c r="C338" t="s">
        <v>2016</v>
      </c>
      <c r="D338" t="s">
        <v>2016</v>
      </c>
      <c r="E338" t="s">
        <v>109</v>
      </c>
      <c r="F338" t="s">
        <v>110</v>
      </c>
      <c r="G338" t="s">
        <v>111</v>
      </c>
      <c r="H338" t="s">
        <v>66</v>
      </c>
      <c r="I338" t="s">
        <v>66</v>
      </c>
      <c r="J338" t="s">
        <v>67</v>
      </c>
      <c r="K338" t="s">
        <v>71</v>
      </c>
      <c r="L338" t="s">
        <v>72</v>
      </c>
      <c r="M338" t="s">
        <v>73</v>
      </c>
      <c r="N338" t="s">
        <v>66</v>
      </c>
      <c r="O338" t="s">
        <v>73</v>
      </c>
      <c r="P338" t="s">
        <v>66</v>
      </c>
      <c r="Q338" t="s">
        <v>979</v>
      </c>
      <c r="R338" t="s">
        <v>73</v>
      </c>
      <c r="S338" t="s">
        <v>979</v>
      </c>
      <c r="T338" t="s">
        <v>2017</v>
      </c>
      <c r="U338" t="s">
        <v>2018</v>
      </c>
      <c r="V338" t="s">
        <v>982</v>
      </c>
      <c r="W338" t="s">
        <v>66</v>
      </c>
      <c r="X338" t="s">
        <v>78</v>
      </c>
      <c r="Y338" t="s">
        <v>2019</v>
      </c>
      <c r="Z338" t="s">
        <v>182</v>
      </c>
      <c r="AA338" t="s">
        <v>984</v>
      </c>
      <c r="AB338" t="s">
        <v>984</v>
      </c>
      <c r="AC338" t="s">
        <v>82</v>
      </c>
      <c r="AD338" t="s">
        <v>83</v>
      </c>
      <c r="AE338" t="s">
        <v>66</v>
      </c>
      <c r="AF338" t="s">
        <v>876</v>
      </c>
    </row>
    <row r="339" spans="1:32">
      <c r="A339" t="s">
        <v>2020</v>
      </c>
      <c r="B339" t="s">
        <v>86</v>
      </c>
      <c r="C339" t="s">
        <v>2021</v>
      </c>
      <c r="D339" t="s">
        <v>66</v>
      </c>
      <c r="E339" t="s">
        <v>67</v>
      </c>
      <c r="F339" t="s">
        <v>68</v>
      </c>
      <c r="G339" t="s">
        <v>69</v>
      </c>
      <c r="H339" t="s">
        <v>66</v>
      </c>
      <c r="I339" t="s">
        <v>66</v>
      </c>
      <c r="J339" t="s">
        <v>67</v>
      </c>
      <c r="K339" t="s">
        <v>71</v>
      </c>
      <c r="L339" t="s">
        <v>72</v>
      </c>
      <c r="M339" t="s">
        <v>73</v>
      </c>
      <c r="N339" t="s">
        <v>66</v>
      </c>
      <c r="O339" t="s">
        <v>73</v>
      </c>
      <c r="P339" t="s">
        <v>66</v>
      </c>
      <c r="Q339" t="s">
        <v>979</v>
      </c>
      <c r="R339" t="s">
        <v>73</v>
      </c>
      <c r="S339" t="s">
        <v>979</v>
      </c>
      <c r="T339" t="s">
        <v>2022</v>
      </c>
      <c r="U339" t="s">
        <v>2023</v>
      </c>
      <c r="V339" t="s">
        <v>982</v>
      </c>
      <c r="W339" t="s">
        <v>66</v>
      </c>
      <c r="X339" t="s">
        <v>78</v>
      </c>
      <c r="Y339" t="s">
        <v>2024</v>
      </c>
      <c r="Z339" t="s">
        <v>182</v>
      </c>
      <c r="AA339" t="s">
        <v>984</v>
      </c>
      <c r="AB339" t="s">
        <v>984</v>
      </c>
      <c r="AC339" t="s">
        <v>82</v>
      </c>
      <c r="AD339" t="s">
        <v>83</v>
      </c>
      <c r="AE339" t="s">
        <v>66</v>
      </c>
      <c r="AF339" t="s">
        <v>876</v>
      </c>
    </row>
    <row r="340" spans="1:32">
      <c r="A340" t="s">
        <v>2025</v>
      </c>
      <c r="B340" t="s">
        <v>173</v>
      </c>
      <c r="C340" t="s">
        <v>2026</v>
      </c>
      <c r="D340" t="s">
        <v>66</v>
      </c>
      <c r="E340" t="s">
        <v>67</v>
      </c>
      <c r="F340" t="s">
        <v>175</v>
      </c>
      <c r="G340" t="s">
        <v>176</v>
      </c>
      <c r="H340" t="s">
        <v>66</v>
      </c>
      <c r="I340" t="s">
        <v>66</v>
      </c>
      <c r="J340" t="s">
        <v>67</v>
      </c>
      <c r="K340" t="s">
        <v>71</v>
      </c>
      <c r="L340" t="s">
        <v>72</v>
      </c>
      <c r="M340" t="s">
        <v>73</v>
      </c>
      <c r="N340" t="s">
        <v>66</v>
      </c>
      <c r="O340" t="s">
        <v>73</v>
      </c>
      <c r="P340" t="s">
        <v>66</v>
      </c>
      <c r="Q340" t="s">
        <v>979</v>
      </c>
      <c r="R340" t="s">
        <v>73</v>
      </c>
      <c r="S340" t="s">
        <v>979</v>
      </c>
      <c r="T340" t="s">
        <v>2027</v>
      </c>
      <c r="U340" t="s">
        <v>2028</v>
      </c>
      <c r="V340" t="s">
        <v>982</v>
      </c>
      <c r="W340" t="s">
        <v>66</v>
      </c>
      <c r="X340" t="s">
        <v>78</v>
      </c>
      <c r="Y340" t="s">
        <v>2029</v>
      </c>
      <c r="Z340" t="s">
        <v>182</v>
      </c>
      <c r="AA340" t="s">
        <v>984</v>
      </c>
      <c r="AB340" t="s">
        <v>984</v>
      </c>
      <c r="AC340" t="s">
        <v>82</v>
      </c>
      <c r="AD340" t="s">
        <v>83</v>
      </c>
      <c r="AE340" t="s">
        <v>66</v>
      </c>
      <c r="AF340" t="s">
        <v>876</v>
      </c>
    </row>
    <row r="341" spans="1:32">
      <c r="A341" t="s">
        <v>2030</v>
      </c>
      <c r="B341" t="s">
        <v>151</v>
      </c>
      <c r="C341" t="s">
        <v>2031</v>
      </c>
      <c r="D341" t="s">
        <v>66</v>
      </c>
      <c r="E341" t="s">
        <v>67</v>
      </c>
      <c r="F341" t="s">
        <v>68</v>
      </c>
      <c r="G341" t="s">
        <v>69</v>
      </c>
      <c r="H341" t="s">
        <v>66</v>
      </c>
      <c r="I341" t="s">
        <v>66</v>
      </c>
      <c r="J341" t="s">
        <v>67</v>
      </c>
      <c r="K341" t="s">
        <v>71</v>
      </c>
      <c r="L341" t="s">
        <v>72</v>
      </c>
      <c r="M341" t="s">
        <v>73</v>
      </c>
      <c r="N341" t="s">
        <v>66</v>
      </c>
      <c r="O341" t="s">
        <v>73</v>
      </c>
      <c r="P341" t="s">
        <v>66</v>
      </c>
      <c r="Q341" t="s">
        <v>979</v>
      </c>
      <c r="R341" t="s">
        <v>73</v>
      </c>
      <c r="S341" t="s">
        <v>979</v>
      </c>
      <c r="T341" t="s">
        <v>2032</v>
      </c>
      <c r="U341" t="s">
        <v>2033</v>
      </c>
      <c r="V341" t="s">
        <v>982</v>
      </c>
      <c r="W341" t="s">
        <v>66</v>
      </c>
      <c r="X341" t="s">
        <v>78</v>
      </c>
      <c r="Y341" t="s">
        <v>2034</v>
      </c>
      <c r="Z341" t="s">
        <v>182</v>
      </c>
      <c r="AA341" t="s">
        <v>984</v>
      </c>
      <c r="AB341" t="s">
        <v>984</v>
      </c>
      <c r="AC341" t="s">
        <v>82</v>
      </c>
      <c r="AD341" t="s">
        <v>83</v>
      </c>
      <c r="AE341" t="s">
        <v>66</v>
      </c>
      <c r="AF341" t="s">
        <v>876</v>
      </c>
    </row>
    <row r="342" spans="1:32">
      <c r="A342" t="s">
        <v>2035</v>
      </c>
      <c r="B342" t="s">
        <v>1004</v>
      </c>
      <c r="C342" t="s">
        <v>2036</v>
      </c>
      <c r="D342" t="s">
        <v>66</v>
      </c>
      <c r="E342" t="s">
        <v>67</v>
      </c>
      <c r="F342" t="s">
        <v>68</v>
      </c>
      <c r="G342" t="s">
        <v>69</v>
      </c>
      <c r="H342" t="s">
        <v>66</v>
      </c>
      <c r="I342" t="s">
        <v>66</v>
      </c>
      <c r="J342" t="s">
        <v>67</v>
      </c>
      <c r="K342" t="s">
        <v>71</v>
      </c>
      <c r="L342" t="s">
        <v>72</v>
      </c>
      <c r="M342" t="s">
        <v>73</v>
      </c>
      <c r="N342" t="s">
        <v>66</v>
      </c>
      <c r="O342" t="s">
        <v>73</v>
      </c>
      <c r="P342" t="s">
        <v>66</v>
      </c>
      <c r="Q342" t="s">
        <v>979</v>
      </c>
      <c r="R342" t="s">
        <v>73</v>
      </c>
      <c r="S342" t="s">
        <v>979</v>
      </c>
      <c r="T342" t="s">
        <v>2037</v>
      </c>
      <c r="U342" t="s">
        <v>2038</v>
      </c>
      <c r="V342" t="s">
        <v>982</v>
      </c>
      <c r="W342" t="s">
        <v>66</v>
      </c>
      <c r="X342" t="s">
        <v>78</v>
      </c>
      <c r="Y342" t="s">
        <v>2039</v>
      </c>
      <c r="Z342" t="s">
        <v>182</v>
      </c>
      <c r="AA342" t="s">
        <v>984</v>
      </c>
      <c r="AB342" t="s">
        <v>984</v>
      </c>
      <c r="AC342" t="s">
        <v>82</v>
      </c>
      <c r="AD342" t="s">
        <v>83</v>
      </c>
      <c r="AE342" t="s">
        <v>66</v>
      </c>
      <c r="AF342" t="s">
        <v>876</v>
      </c>
    </row>
    <row r="343" spans="1:32">
      <c r="A343" t="s">
        <v>2040</v>
      </c>
      <c r="B343" t="s">
        <v>162</v>
      </c>
      <c r="C343" t="s">
        <v>2041</v>
      </c>
      <c r="D343" t="s">
        <v>66</v>
      </c>
      <c r="E343" t="s">
        <v>67</v>
      </c>
      <c r="F343" t="s">
        <v>164</v>
      </c>
      <c r="G343" t="s">
        <v>165</v>
      </c>
      <c r="H343" t="s">
        <v>66</v>
      </c>
      <c r="I343" t="s">
        <v>66</v>
      </c>
      <c r="J343" t="s">
        <v>67</v>
      </c>
      <c r="K343" t="s">
        <v>71</v>
      </c>
      <c r="L343" t="s">
        <v>72</v>
      </c>
      <c r="M343" t="s">
        <v>73</v>
      </c>
      <c r="N343" t="s">
        <v>66</v>
      </c>
      <c r="O343" t="s">
        <v>73</v>
      </c>
      <c r="P343" t="s">
        <v>66</v>
      </c>
      <c r="Q343" t="s">
        <v>979</v>
      </c>
      <c r="R343" t="s">
        <v>73</v>
      </c>
      <c r="S343" t="s">
        <v>979</v>
      </c>
      <c r="T343" t="s">
        <v>2042</v>
      </c>
      <c r="U343" t="s">
        <v>2043</v>
      </c>
      <c r="V343" t="s">
        <v>982</v>
      </c>
      <c r="W343" t="s">
        <v>66</v>
      </c>
      <c r="X343" t="s">
        <v>78</v>
      </c>
      <c r="Y343" t="s">
        <v>2044</v>
      </c>
      <c r="Z343" t="s">
        <v>182</v>
      </c>
      <c r="AA343" t="s">
        <v>984</v>
      </c>
      <c r="AB343" t="s">
        <v>984</v>
      </c>
      <c r="AC343" t="s">
        <v>82</v>
      </c>
      <c r="AD343" t="s">
        <v>83</v>
      </c>
      <c r="AE343" t="s">
        <v>66</v>
      </c>
      <c r="AF343" t="s">
        <v>876</v>
      </c>
    </row>
    <row r="344" spans="1:32">
      <c r="A344" t="s">
        <v>2045</v>
      </c>
      <c r="B344" t="s">
        <v>841</v>
      </c>
      <c r="C344" t="s">
        <v>2046</v>
      </c>
      <c r="D344" t="s">
        <v>2046</v>
      </c>
      <c r="E344" t="s">
        <v>109</v>
      </c>
      <c r="F344" t="s">
        <v>110</v>
      </c>
      <c r="G344" t="s">
        <v>111</v>
      </c>
      <c r="H344" t="s">
        <v>66</v>
      </c>
      <c r="I344" t="s">
        <v>66</v>
      </c>
      <c r="J344" t="s">
        <v>67</v>
      </c>
      <c r="K344" t="s">
        <v>71</v>
      </c>
      <c r="L344" t="s">
        <v>72</v>
      </c>
      <c r="M344" t="s">
        <v>73</v>
      </c>
      <c r="N344" t="s">
        <v>66</v>
      </c>
      <c r="O344" t="s">
        <v>73</v>
      </c>
      <c r="P344" t="s">
        <v>66</v>
      </c>
      <c r="Q344" t="s">
        <v>979</v>
      </c>
      <c r="R344" t="s">
        <v>73</v>
      </c>
      <c r="S344" t="s">
        <v>979</v>
      </c>
      <c r="T344" t="s">
        <v>2047</v>
      </c>
      <c r="U344" t="s">
        <v>2048</v>
      </c>
      <c r="V344" t="s">
        <v>982</v>
      </c>
      <c r="W344" t="s">
        <v>66</v>
      </c>
      <c r="X344" t="s">
        <v>78</v>
      </c>
      <c r="Y344" t="s">
        <v>2049</v>
      </c>
      <c r="Z344" t="s">
        <v>182</v>
      </c>
      <c r="AA344" t="s">
        <v>984</v>
      </c>
      <c r="AB344" t="s">
        <v>984</v>
      </c>
      <c r="AC344" t="s">
        <v>82</v>
      </c>
      <c r="AD344" t="s">
        <v>83</v>
      </c>
      <c r="AE344" t="s">
        <v>66</v>
      </c>
      <c r="AF344" t="s">
        <v>876</v>
      </c>
    </row>
    <row r="345" spans="1:32">
      <c r="A345" t="s">
        <v>2050</v>
      </c>
      <c r="B345" t="s">
        <v>162</v>
      </c>
      <c r="C345" t="s">
        <v>2051</v>
      </c>
      <c r="D345" t="s">
        <v>66</v>
      </c>
      <c r="E345" t="s">
        <v>67</v>
      </c>
      <c r="F345" t="s">
        <v>164</v>
      </c>
      <c r="G345" t="s">
        <v>165</v>
      </c>
      <c r="H345" t="s">
        <v>66</v>
      </c>
      <c r="I345" t="s">
        <v>66</v>
      </c>
      <c r="J345" t="s">
        <v>67</v>
      </c>
      <c r="K345" t="s">
        <v>71</v>
      </c>
      <c r="L345" t="s">
        <v>72</v>
      </c>
      <c r="M345" t="s">
        <v>73</v>
      </c>
      <c r="N345" t="s">
        <v>66</v>
      </c>
      <c r="O345" t="s">
        <v>73</v>
      </c>
      <c r="P345" t="s">
        <v>66</v>
      </c>
      <c r="Q345" t="s">
        <v>979</v>
      </c>
      <c r="R345" t="s">
        <v>73</v>
      </c>
      <c r="S345" t="s">
        <v>979</v>
      </c>
      <c r="T345" t="s">
        <v>2052</v>
      </c>
      <c r="U345" t="s">
        <v>2053</v>
      </c>
      <c r="V345" t="s">
        <v>982</v>
      </c>
      <c r="W345" t="s">
        <v>66</v>
      </c>
      <c r="X345" t="s">
        <v>78</v>
      </c>
      <c r="Y345" t="s">
        <v>2054</v>
      </c>
      <c r="Z345" t="s">
        <v>182</v>
      </c>
      <c r="AA345" t="s">
        <v>984</v>
      </c>
      <c r="AB345" t="s">
        <v>984</v>
      </c>
      <c r="AC345" t="s">
        <v>82</v>
      </c>
      <c r="AD345" t="s">
        <v>83</v>
      </c>
      <c r="AE345" t="s">
        <v>66</v>
      </c>
      <c r="AF345" t="s">
        <v>876</v>
      </c>
    </row>
    <row r="346" spans="1:32">
      <c r="A346" t="s">
        <v>2055</v>
      </c>
      <c r="B346" t="s">
        <v>173</v>
      </c>
      <c r="C346" t="s">
        <v>2056</v>
      </c>
      <c r="D346" t="s">
        <v>2056</v>
      </c>
      <c r="E346" t="s">
        <v>67</v>
      </c>
      <c r="F346" t="s">
        <v>175</v>
      </c>
      <c r="G346" t="s">
        <v>176</v>
      </c>
      <c r="H346" t="s">
        <v>66</v>
      </c>
      <c r="I346" t="s">
        <v>66</v>
      </c>
      <c r="J346" t="s">
        <v>67</v>
      </c>
      <c r="K346" t="s">
        <v>71</v>
      </c>
      <c r="L346" t="s">
        <v>72</v>
      </c>
      <c r="M346" t="s">
        <v>73</v>
      </c>
      <c r="N346" t="s">
        <v>66</v>
      </c>
      <c r="O346" t="s">
        <v>73</v>
      </c>
      <c r="P346" t="s">
        <v>66</v>
      </c>
      <c r="Q346" t="s">
        <v>979</v>
      </c>
      <c r="R346" t="s">
        <v>73</v>
      </c>
      <c r="S346" t="s">
        <v>979</v>
      </c>
      <c r="T346" t="s">
        <v>2057</v>
      </c>
      <c r="U346" t="s">
        <v>2058</v>
      </c>
      <c r="V346" t="s">
        <v>982</v>
      </c>
      <c r="W346" t="s">
        <v>66</v>
      </c>
      <c r="X346" t="s">
        <v>78</v>
      </c>
      <c r="Y346" t="s">
        <v>2059</v>
      </c>
      <c r="Z346" t="s">
        <v>182</v>
      </c>
      <c r="AA346" t="s">
        <v>984</v>
      </c>
      <c r="AB346" t="s">
        <v>984</v>
      </c>
      <c r="AC346" t="s">
        <v>82</v>
      </c>
      <c r="AD346" t="s">
        <v>83</v>
      </c>
      <c r="AE346" t="s">
        <v>66</v>
      </c>
      <c r="AF346" t="s">
        <v>876</v>
      </c>
    </row>
    <row r="347" spans="1:32">
      <c r="A347" t="s">
        <v>2060</v>
      </c>
      <c r="B347" t="s">
        <v>308</v>
      </c>
      <c r="C347" t="s">
        <v>2061</v>
      </c>
      <c r="D347" t="s">
        <v>2061</v>
      </c>
      <c r="E347" t="s">
        <v>109</v>
      </c>
      <c r="F347" t="s">
        <v>68</v>
      </c>
      <c r="G347" t="s">
        <v>69</v>
      </c>
      <c r="H347" t="s">
        <v>66</v>
      </c>
      <c r="I347" t="s">
        <v>66</v>
      </c>
      <c r="J347" t="s">
        <v>67</v>
      </c>
      <c r="K347" t="s">
        <v>71</v>
      </c>
      <c r="L347" t="s">
        <v>72</v>
      </c>
      <c r="M347" t="s">
        <v>73</v>
      </c>
      <c r="N347" t="s">
        <v>66</v>
      </c>
      <c r="O347" t="s">
        <v>73</v>
      </c>
      <c r="P347" t="s">
        <v>66</v>
      </c>
      <c r="Q347" t="s">
        <v>979</v>
      </c>
      <c r="R347" t="s">
        <v>73</v>
      </c>
      <c r="S347" t="s">
        <v>979</v>
      </c>
      <c r="T347" t="s">
        <v>2062</v>
      </c>
      <c r="U347" t="s">
        <v>2063</v>
      </c>
      <c r="V347" t="s">
        <v>982</v>
      </c>
      <c r="W347" t="s">
        <v>66</v>
      </c>
      <c r="X347" t="s">
        <v>78</v>
      </c>
      <c r="Y347" t="s">
        <v>2064</v>
      </c>
      <c r="Z347" t="s">
        <v>182</v>
      </c>
      <c r="AA347" t="s">
        <v>984</v>
      </c>
      <c r="AB347" t="s">
        <v>984</v>
      </c>
      <c r="AC347" t="s">
        <v>82</v>
      </c>
      <c r="AD347" t="s">
        <v>83</v>
      </c>
      <c r="AE347" t="s">
        <v>66</v>
      </c>
      <c r="AF347" t="s">
        <v>876</v>
      </c>
    </row>
    <row r="348" spans="1:32">
      <c r="A348" t="s">
        <v>2065</v>
      </c>
      <c r="B348" t="s">
        <v>130</v>
      </c>
      <c r="C348" t="s">
        <v>2066</v>
      </c>
      <c r="D348" t="s">
        <v>2066</v>
      </c>
      <c r="E348" t="s">
        <v>109</v>
      </c>
      <c r="F348" t="s">
        <v>110</v>
      </c>
      <c r="G348" t="s">
        <v>111</v>
      </c>
      <c r="H348" t="s">
        <v>66</v>
      </c>
      <c r="I348" t="s">
        <v>66</v>
      </c>
      <c r="J348" t="s">
        <v>67</v>
      </c>
      <c r="K348" t="s">
        <v>71</v>
      </c>
      <c r="L348" t="s">
        <v>72</v>
      </c>
      <c r="M348" t="s">
        <v>73</v>
      </c>
      <c r="N348" t="s">
        <v>66</v>
      </c>
      <c r="O348" t="s">
        <v>73</v>
      </c>
      <c r="P348" t="s">
        <v>66</v>
      </c>
      <c r="Q348" t="s">
        <v>979</v>
      </c>
      <c r="R348" t="s">
        <v>73</v>
      </c>
      <c r="S348" t="s">
        <v>979</v>
      </c>
      <c r="T348" t="s">
        <v>2067</v>
      </c>
      <c r="U348" t="s">
        <v>2068</v>
      </c>
      <c r="V348" t="s">
        <v>982</v>
      </c>
      <c r="W348" t="s">
        <v>66</v>
      </c>
      <c r="X348" t="s">
        <v>78</v>
      </c>
      <c r="Y348" t="s">
        <v>2069</v>
      </c>
      <c r="Z348" t="s">
        <v>182</v>
      </c>
      <c r="AA348" t="s">
        <v>984</v>
      </c>
      <c r="AB348" t="s">
        <v>984</v>
      </c>
      <c r="AC348" t="s">
        <v>82</v>
      </c>
      <c r="AD348" t="s">
        <v>83</v>
      </c>
      <c r="AE348" t="s">
        <v>66</v>
      </c>
      <c r="AF348" t="s">
        <v>876</v>
      </c>
    </row>
    <row r="349" spans="1:32">
      <c r="A349" t="s">
        <v>2070</v>
      </c>
      <c r="B349" t="s">
        <v>841</v>
      </c>
      <c r="C349" t="s">
        <v>2071</v>
      </c>
      <c r="D349" t="s">
        <v>2071</v>
      </c>
      <c r="E349" t="s">
        <v>109</v>
      </c>
      <c r="F349" t="s">
        <v>110</v>
      </c>
      <c r="G349" t="s">
        <v>111</v>
      </c>
      <c r="H349" t="s">
        <v>66</v>
      </c>
      <c r="I349" t="s">
        <v>66</v>
      </c>
      <c r="J349" t="s">
        <v>67</v>
      </c>
      <c r="K349" t="s">
        <v>71</v>
      </c>
      <c r="L349" t="s">
        <v>72</v>
      </c>
      <c r="M349" t="s">
        <v>73</v>
      </c>
      <c r="N349" t="s">
        <v>66</v>
      </c>
      <c r="O349" t="s">
        <v>73</v>
      </c>
      <c r="P349" t="s">
        <v>66</v>
      </c>
      <c r="Q349" t="s">
        <v>979</v>
      </c>
      <c r="R349" t="s">
        <v>73</v>
      </c>
      <c r="S349" t="s">
        <v>979</v>
      </c>
      <c r="T349" t="s">
        <v>2072</v>
      </c>
      <c r="U349" t="s">
        <v>2073</v>
      </c>
      <c r="V349" t="s">
        <v>982</v>
      </c>
      <c r="W349" t="s">
        <v>66</v>
      </c>
      <c r="X349" t="s">
        <v>78</v>
      </c>
      <c r="Y349" t="s">
        <v>2074</v>
      </c>
      <c r="Z349" t="s">
        <v>182</v>
      </c>
      <c r="AA349" t="s">
        <v>984</v>
      </c>
      <c r="AB349" t="s">
        <v>984</v>
      </c>
      <c r="AC349" t="s">
        <v>82</v>
      </c>
      <c r="AD349" t="s">
        <v>83</v>
      </c>
      <c r="AE349" t="s">
        <v>66</v>
      </c>
      <c r="AF349" t="s">
        <v>876</v>
      </c>
    </row>
    <row r="350" spans="1:32">
      <c r="A350" t="s">
        <v>2075</v>
      </c>
      <c r="B350" t="s">
        <v>308</v>
      </c>
      <c r="C350" t="s">
        <v>2076</v>
      </c>
      <c r="D350" t="s">
        <v>2076</v>
      </c>
      <c r="E350" t="s">
        <v>109</v>
      </c>
      <c r="F350" t="s">
        <v>110</v>
      </c>
      <c r="G350" t="s">
        <v>111</v>
      </c>
      <c r="H350" t="s">
        <v>66</v>
      </c>
      <c r="I350" t="s">
        <v>66</v>
      </c>
      <c r="J350" t="s">
        <v>67</v>
      </c>
      <c r="K350" t="s">
        <v>71</v>
      </c>
      <c r="L350" t="s">
        <v>72</v>
      </c>
      <c r="M350" t="s">
        <v>73</v>
      </c>
      <c r="N350" t="s">
        <v>66</v>
      </c>
      <c r="O350" t="s">
        <v>73</v>
      </c>
      <c r="P350" t="s">
        <v>66</v>
      </c>
      <c r="Q350" t="s">
        <v>979</v>
      </c>
      <c r="R350" t="s">
        <v>73</v>
      </c>
      <c r="S350" t="s">
        <v>979</v>
      </c>
      <c r="T350" t="s">
        <v>2077</v>
      </c>
      <c r="U350" t="s">
        <v>2078</v>
      </c>
      <c r="V350" t="s">
        <v>982</v>
      </c>
      <c r="W350" t="s">
        <v>66</v>
      </c>
      <c r="X350" t="s">
        <v>78</v>
      </c>
      <c r="Y350" t="s">
        <v>2079</v>
      </c>
      <c r="Z350" t="s">
        <v>182</v>
      </c>
      <c r="AA350" t="s">
        <v>984</v>
      </c>
      <c r="AB350" t="s">
        <v>984</v>
      </c>
      <c r="AC350" t="s">
        <v>82</v>
      </c>
      <c r="AD350" t="s">
        <v>83</v>
      </c>
      <c r="AE350" t="s">
        <v>66</v>
      </c>
      <c r="AF350" t="s">
        <v>876</v>
      </c>
    </row>
    <row r="351" spans="1:32">
      <c r="A351" t="s">
        <v>2080</v>
      </c>
      <c r="B351" t="s">
        <v>359</v>
      </c>
      <c r="C351" t="s">
        <v>2081</v>
      </c>
      <c r="D351" t="s">
        <v>2081</v>
      </c>
      <c r="E351" t="s">
        <v>109</v>
      </c>
      <c r="F351" t="s">
        <v>110</v>
      </c>
      <c r="G351" t="s">
        <v>111</v>
      </c>
      <c r="H351" t="s">
        <v>66</v>
      </c>
      <c r="I351" t="s">
        <v>66</v>
      </c>
      <c r="J351" t="s">
        <v>67</v>
      </c>
      <c r="K351" t="s">
        <v>71</v>
      </c>
      <c r="L351" t="s">
        <v>72</v>
      </c>
      <c r="M351" t="s">
        <v>73</v>
      </c>
      <c r="N351" t="s">
        <v>66</v>
      </c>
      <c r="O351" t="s">
        <v>73</v>
      </c>
      <c r="P351" t="s">
        <v>66</v>
      </c>
      <c r="Q351" t="s">
        <v>979</v>
      </c>
      <c r="R351" t="s">
        <v>73</v>
      </c>
      <c r="S351" t="s">
        <v>979</v>
      </c>
      <c r="T351" t="s">
        <v>2082</v>
      </c>
      <c r="U351" t="s">
        <v>2083</v>
      </c>
      <c r="V351" t="s">
        <v>982</v>
      </c>
      <c r="W351" t="s">
        <v>66</v>
      </c>
      <c r="X351" t="s">
        <v>78</v>
      </c>
      <c r="Y351" t="s">
        <v>2084</v>
      </c>
      <c r="Z351" t="s">
        <v>182</v>
      </c>
      <c r="AA351" t="s">
        <v>984</v>
      </c>
      <c r="AB351" t="s">
        <v>984</v>
      </c>
      <c r="AC351" t="s">
        <v>82</v>
      </c>
      <c r="AD351" t="s">
        <v>83</v>
      </c>
      <c r="AE351" t="s">
        <v>66</v>
      </c>
      <c r="AF351" t="s">
        <v>876</v>
      </c>
    </row>
    <row r="352" spans="1:32">
      <c r="A352" t="s">
        <v>2085</v>
      </c>
      <c r="B352" t="s">
        <v>1186</v>
      </c>
      <c r="C352" t="s">
        <v>2086</v>
      </c>
      <c r="D352" t="s">
        <v>66</v>
      </c>
      <c r="E352" t="s">
        <v>67</v>
      </c>
      <c r="F352" t="s">
        <v>68</v>
      </c>
      <c r="G352" t="s">
        <v>69</v>
      </c>
      <c r="H352" t="s">
        <v>66</v>
      </c>
      <c r="I352" t="s">
        <v>66</v>
      </c>
      <c r="J352" t="s">
        <v>67</v>
      </c>
      <c r="K352" t="s">
        <v>71</v>
      </c>
      <c r="L352" t="s">
        <v>72</v>
      </c>
      <c r="M352" t="s">
        <v>73</v>
      </c>
      <c r="N352" t="s">
        <v>66</v>
      </c>
      <c r="O352" t="s">
        <v>73</v>
      </c>
      <c r="P352" t="s">
        <v>66</v>
      </c>
      <c r="Q352" t="s">
        <v>979</v>
      </c>
      <c r="R352" t="s">
        <v>73</v>
      </c>
      <c r="S352" t="s">
        <v>979</v>
      </c>
      <c r="T352" t="s">
        <v>2087</v>
      </c>
      <c r="U352" t="s">
        <v>2088</v>
      </c>
      <c r="V352" t="s">
        <v>982</v>
      </c>
      <c r="W352" t="s">
        <v>66</v>
      </c>
      <c r="X352" t="s">
        <v>78</v>
      </c>
      <c r="Y352" t="s">
        <v>2089</v>
      </c>
      <c r="Z352" t="s">
        <v>182</v>
      </c>
      <c r="AA352" t="s">
        <v>984</v>
      </c>
      <c r="AB352" t="s">
        <v>984</v>
      </c>
      <c r="AC352" t="s">
        <v>82</v>
      </c>
      <c r="AD352" t="s">
        <v>83</v>
      </c>
      <c r="AE352" t="s">
        <v>66</v>
      </c>
      <c r="AF352" t="s">
        <v>876</v>
      </c>
    </row>
    <row r="353" spans="1:32">
      <c r="A353" t="s">
        <v>2090</v>
      </c>
      <c r="B353" t="s">
        <v>162</v>
      </c>
      <c r="C353" t="s">
        <v>2091</v>
      </c>
      <c r="D353" t="s">
        <v>66</v>
      </c>
      <c r="E353" t="s">
        <v>67</v>
      </c>
      <c r="F353" t="s">
        <v>164</v>
      </c>
      <c r="G353" t="s">
        <v>165</v>
      </c>
      <c r="H353" t="s">
        <v>66</v>
      </c>
      <c r="I353" t="s">
        <v>66</v>
      </c>
      <c r="J353" t="s">
        <v>67</v>
      </c>
      <c r="K353" t="s">
        <v>71</v>
      </c>
      <c r="L353" t="s">
        <v>72</v>
      </c>
      <c r="M353" t="s">
        <v>73</v>
      </c>
      <c r="N353" t="s">
        <v>66</v>
      </c>
      <c r="O353" t="s">
        <v>73</v>
      </c>
      <c r="P353" t="s">
        <v>66</v>
      </c>
      <c r="Q353" t="s">
        <v>979</v>
      </c>
      <c r="R353" t="s">
        <v>73</v>
      </c>
      <c r="S353" t="s">
        <v>979</v>
      </c>
      <c r="T353" t="s">
        <v>2092</v>
      </c>
      <c r="U353" t="s">
        <v>2093</v>
      </c>
      <c r="V353" t="s">
        <v>982</v>
      </c>
      <c r="W353" t="s">
        <v>66</v>
      </c>
      <c r="X353" t="s">
        <v>78</v>
      </c>
      <c r="Y353" t="s">
        <v>2094</v>
      </c>
      <c r="Z353" t="s">
        <v>182</v>
      </c>
      <c r="AA353" t="s">
        <v>984</v>
      </c>
      <c r="AB353" t="s">
        <v>984</v>
      </c>
      <c r="AC353" t="s">
        <v>82</v>
      </c>
      <c r="AD353" t="s">
        <v>83</v>
      </c>
      <c r="AE353" t="s">
        <v>66</v>
      </c>
      <c r="AF353" t="s">
        <v>876</v>
      </c>
    </row>
    <row r="354" spans="1:32">
      <c r="A354" t="s">
        <v>2095</v>
      </c>
      <c r="B354" t="s">
        <v>841</v>
      </c>
      <c r="C354" t="s">
        <v>2096</v>
      </c>
      <c r="D354" t="s">
        <v>2096</v>
      </c>
      <c r="E354" t="s">
        <v>109</v>
      </c>
      <c r="F354" t="s">
        <v>110</v>
      </c>
      <c r="G354" t="s">
        <v>111</v>
      </c>
      <c r="H354" t="s">
        <v>66</v>
      </c>
      <c r="I354" t="s">
        <v>66</v>
      </c>
      <c r="J354" t="s">
        <v>67</v>
      </c>
      <c r="K354" t="s">
        <v>71</v>
      </c>
      <c r="L354" t="s">
        <v>72</v>
      </c>
      <c r="M354" t="s">
        <v>73</v>
      </c>
      <c r="N354" t="s">
        <v>66</v>
      </c>
      <c r="O354" t="s">
        <v>73</v>
      </c>
      <c r="P354" t="s">
        <v>66</v>
      </c>
      <c r="Q354" t="s">
        <v>979</v>
      </c>
      <c r="R354" t="s">
        <v>73</v>
      </c>
      <c r="S354" t="s">
        <v>979</v>
      </c>
      <c r="T354" t="s">
        <v>2097</v>
      </c>
      <c r="U354" t="s">
        <v>2098</v>
      </c>
      <c r="V354" t="s">
        <v>982</v>
      </c>
      <c r="W354" t="s">
        <v>66</v>
      </c>
      <c r="X354" t="s">
        <v>78</v>
      </c>
      <c r="Y354" t="s">
        <v>2099</v>
      </c>
      <c r="Z354" t="s">
        <v>182</v>
      </c>
      <c r="AA354" t="s">
        <v>984</v>
      </c>
      <c r="AB354" t="s">
        <v>984</v>
      </c>
      <c r="AC354" t="s">
        <v>82</v>
      </c>
      <c r="AD354" t="s">
        <v>83</v>
      </c>
      <c r="AE354" t="s">
        <v>66</v>
      </c>
      <c r="AF354" t="s">
        <v>876</v>
      </c>
    </row>
    <row r="355" spans="1:32">
      <c r="A355" t="s">
        <v>2100</v>
      </c>
      <c r="B355" t="s">
        <v>308</v>
      </c>
      <c r="C355" t="s">
        <v>2101</v>
      </c>
      <c r="D355" t="s">
        <v>2101</v>
      </c>
      <c r="E355" t="s">
        <v>109</v>
      </c>
      <c r="F355" t="s">
        <v>110</v>
      </c>
      <c r="G355" t="s">
        <v>111</v>
      </c>
      <c r="H355" t="s">
        <v>66</v>
      </c>
      <c r="I355" t="s">
        <v>66</v>
      </c>
      <c r="J355" t="s">
        <v>67</v>
      </c>
      <c r="K355" t="s">
        <v>71</v>
      </c>
      <c r="L355" t="s">
        <v>72</v>
      </c>
      <c r="M355" t="s">
        <v>73</v>
      </c>
      <c r="N355" t="s">
        <v>66</v>
      </c>
      <c r="O355" t="s">
        <v>73</v>
      </c>
      <c r="P355" t="s">
        <v>66</v>
      </c>
      <c r="Q355" t="s">
        <v>979</v>
      </c>
      <c r="R355" t="s">
        <v>73</v>
      </c>
      <c r="S355" t="s">
        <v>979</v>
      </c>
      <c r="T355" t="s">
        <v>2102</v>
      </c>
      <c r="U355" t="s">
        <v>2103</v>
      </c>
      <c r="V355" t="s">
        <v>982</v>
      </c>
      <c r="W355" t="s">
        <v>66</v>
      </c>
      <c r="X355" t="s">
        <v>78</v>
      </c>
      <c r="Y355" t="s">
        <v>2104</v>
      </c>
      <c r="Z355" t="s">
        <v>182</v>
      </c>
      <c r="AA355" t="s">
        <v>984</v>
      </c>
      <c r="AB355" t="s">
        <v>984</v>
      </c>
      <c r="AC355" t="s">
        <v>82</v>
      </c>
      <c r="AD355" t="s">
        <v>83</v>
      </c>
      <c r="AE355" t="s">
        <v>66</v>
      </c>
      <c r="AF355" t="s">
        <v>876</v>
      </c>
    </row>
    <row r="356" spans="1:32">
      <c r="A356" t="s">
        <v>2105</v>
      </c>
      <c r="B356" t="s">
        <v>251</v>
      </c>
      <c r="C356" t="s">
        <v>2106</v>
      </c>
      <c r="D356" t="s">
        <v>66</v>
      </c>
      <c r="E356" t="s">
        <v>67</v>
      </c>
      <c r="F356" t="s">
        <v>68</v>
      </c>
      <c r="G356" t="s">
        <v>69</v>
      </c>
      <c r="H356" t="s">
        <v>66</v>
      </c>
      <c r="I356" t="s">
        <v>66</v>
      </c>
      <c r="J356" t="s">
        <v>67</v>
      </c>
      <c r="K356" t="s">
        <v>71</v>
      </c>
      <c r="L356" t="s">
        <v>72</v>
      </c>
      <c r="M356" t="s">
        <v>73</v>
      </c>
      <c r="N356" t="s">
        <v>66</v>
      </c>
      <c r="O356" t="s">
        <v>73</v>
      </c>
      <c r="P356" t="s">
        <v>66</v>
      </c>
      <c r="Q356" t="s">
        <v>979</v>
      </c>
      <c r="R356" t="s">
        <v>73</v>
      </c>
      <c r="S356" t="s">
        <v>979</v>
      </c>
      <c r="T356" t="s">
        <v>2107</v>
      </c>
      <c r="U356" t="s">
        <v>2108</v>
      </c>
      <c r="V356" t="s">
        <v>982</v>
      </c>
      <c r="W356" t="s">
        <v>66</v>
      </c>
      <c r="X356" t="s">
        <v>78</v>
      </c>
      <c r="Y356" t="s">
        <v>2109</v>
      </c>
      <c r="Z356" t="s">
        <v>182</v>
      </c>
      <c r="AA356" t="s">
        <v>984</v>
      </c>
      <c r="AB356" t="s">
        <v>984</v>
      </c>
      <c r="AC356" t="s">
        <v>82</v>
      </c>
      <c r="AD356" t="s">
        <v>83</v>
      </c>
      <c r="AE356" t="s">
        <v>66</v>
      </c>
      <c r="AF356" t="s">
        <v>876</v>
      </c>
    </row>
    <row r="357" spans="1:32">
      <c r="A357" t="s">
        <v>2110</v>
      </c>
      <c r="B357" t="s">
        <v>162</v>
      </c>
      <c r="C357" t="s">
        <v>2111</v>
      </c>
      <c r="D357" t="s">
        <v>66</v>
      </c>
      <c r="E357" t="s">
        <v>67</v>
      </c>
      <c r="F357" t="s">
        <v>164</v>
      </c>
      <c r="G357" t="s">
        <v>165</v>
      </c>
      <c r="H357" t="s">
        <v>66</v>
      </c>
      <c r="I357" t="s">
        <v>66</v>
      </c>
      <c r="J357" t="s">
        <v>67</v>
      </c>
      <c r="K357" t="s">
        <v>71</v>
      </c>
      <c r="L357" t="s">
        <v>72</v>
      </c>
      <c r="M357" t="s">
        <v>73</v>
      </c>
      <c r="N357" t="s">
        <v>66</v>
      </c>
      <c r="O357" t="s">
        <v>73</v>
      </c>
      <c r="P357" t="s">
        <v>66</v>
      </c>
      <c r="Q357" t="s">
        <v>979</v>
      </c>
      <c r="R357" t="s">
        <v>73</v>
      </c>
      <c r="S357" t="s">
        <v>979</v>
      </c>
      <c r="T357" t="s">
        <v>2112</v>
      </c>
      <c r="U357" t="s">
        <v>2113</v>
      </c>
      <c r="V357" t="s">
        <v>982</v>
      </c>
      <c r="W357" t="s">
        <v>66</v>
      </c>
      <c r="X357" t="s">
        <v>78</v>
      </c>
      <c r="Y357" t="s">
        <v>2114</v>
      </c>
      <c r="Z357" t="s">
        <v>182</v>
      </c>
      <c r="AA357" t="s">
        <v>984</v>
      </c>
      <c r="AB357" t="s">
        <v>984</v>
      </c>
      <c r="AC357" t="s">
        <v>82</v>
      </c>
      <c r="AD357" t="s">
        <v>83</v>
      </c>
      <c r="AE357" t="s">
        <v>66</v>
      </c>
      <c r="AF357" t="s">
        <v>876</v>
      </c>
    </row>
    <row r="358" spans="1:32">
      <c r="A358" t="s">
        <v>2115</v>
      </c>
      <c r="B358" t="s">
        <v>308</v>
      </c>
      <c r="C358" t="s">
        <v>2116</v>
      </c>
      <c r="D358" t="s">
        <v>2116</v>
      </c>
      <c r="E358" t="s">
        <v>109</v>
      </c>
      <c r="F358" t="s">
        <v>110</v>
      </c>
      <c r="G358" t="s">
        <v>111</v>
      </c>
      <c r="H358" t="s">
        <v>66</v>
      </c>
      <c r="I358" t="s">
        <v>66</v>
      </c>
      <c r="J358" t="s">
        <v>67</v>
      </c>
      <c r="K358" t="s">
        <v>71</v>
      </c>
      <c r="L358" t="s">
        <v>72</v>
      </c>
      <c r="M358" t="s">
        <v>73</v>
      </c>
      <c r="N358" t="s">
        <v>66</v>
      </c>
      <c r="O358" t="s">
        <v>73</v>
      </c>
      <c r="P358" t="s">
        <v>66</v>
      </c>
      <c r="Q358" t="s">
        <v>979</v>
      </c>
      <c r="R358" t="s">
        <v>73</v>
      </c>
      <c r="S358" t="s">
        <v>979</v>
      </c>
      <c r="T358" t="s">
        <v>2117</v>
      </c>
      <c r="U358" t="s">
        <v>2118</v>
      </c>
      <c r="V358" t="s">
        <v>982</v>
      </c>
      <c r="W358" t="s">
        <v>66</v>
      </c>
      <c r="X358" t="s">
        <v>78</v>
      </c>
      <c r="Y358" t="s">
        <v>2119</v>
      </c>
      <c r="Z358" t="s">
        <v>182</v>
      </c>
      <c r="AA358" t="s">
        <v>984</v>
      </c>
      <c r="AB358" t="s">
        <v>984</v>
      </c>
      <c r="AC358" t="s">
        <v>82</v>
      </c>
      <c r="AD358" t="s">
        <v>83</v>
      </c>
      <c r="AE358" t="s">
        <v>66</v>
      </c>
      <c r="AF358" t="s">
        <v>876</v>
      </c>
    </row>
    <row r="359" spans="1:32">
      <c r="A359" t="s">
        <v>2120</v>
      </c>
      <c r="B359" t="s">
        <v>308</v>
      </c>
      <c r="C359" t="s">
        <v>2121</v>
      </c>
      <c r="D359" t="s">
        <v>2121</v>
      </c>
      <c r="E359" t="s">
        <v>109</v>
      </c>
      <c r="F359" t="s">
        <v>110</v>
      </c>
      <c r="G359" t="s">
        <v>111</v>
      </c>
      <c r="H359" t="s">
        <v>66</v>
      </c>
      <c r="I359" t="s">
        <v>66</v>
      </c>
      <c r="J359" t="s">
        <v>67</v>
      </c>
      <c r="K359" t="s">
        <v>71</v>
      </c>
      <c r="L359" t="s">
        <v>72</v>
      </c>
      <c r="M359" t="s">
        <v>73</v>
      </c>
      <c r="N359" t="s">
        <v>66</v>
      </c>
      <c r="O359" t="s">
        <v>73</v>
      </c>
      <c r="P359" t="s">
        <v>66</v>
      </c>
      <c r="Q359" t="s">
        <v>979</v>
      </c>
      <c r="R359" t="s">
        <v>73</v>
      </c>
      <c r="S359" t="s">
        <v>979</v>
      </c>
      <c r="T359" t="s">
        <v>2122</v>
      </c>
      <c r="U359" t="s">
        <v>2123</v>
      </c>
      <c r="V359" t="s">
        <v>982</v>
      </c>
      <c r="W359" t="s">
        <v>66</v>
      </c>
      <c r="X359" t="s">
        <v>78</v>
      </c>
      <c r="Y359" t="s">
        <v>2124</v>
      </c>
      <c r="Z359" t="s">
        <v>182</v>
      </c>
      <c r="AA359" t="s">
        <v>984</v>
      </c>
      <c r="AB359" t="s">
        <v>984</v>
      </c>
      <c r="AC359" t="s">
        <v>82</v>
      </c>
      <c r="AD359" t="s">
        <v>83</v>
      </c>
      <c r="AE359" t="s">
        <v>66</v>
      </c>
      <c r="AF359" t="s">
        <v>876</v>
      </c>
    </row>
    <row r="360" spans="1:32">
      <c r="A360" t="s">
        <v>2125</v>
      </c>
      <c r="B360" t="s">
        <v>308</v>
      </c>
      <c r="C360" t="s">
        <v>2126</v>
      </c>
      <c r="D360" t="s">
        <v>2126</v>
      </c>
      <c r="E360" t="s">
        <v>109</v>
      </c>
      <c r="F360" t="s">
        <v>110</v>
      </c>
      <c r="G360" t="s">
        <v>111</v>
      </c>
      <c r="H360" t="s">
        <v>66</v>
      </c>
      <c r="I360" t="s">
        <v>66</v>
      </c>
      <c r="J360" t="s">
        <v>67</v>
      </c>
      <c r="K360" t="s">
        <v>71</v>
      </c>
      <c r="L360" t="s">
        <v>72</v>
      </c>
      <c r="M360" t="s">
        <v>73</v>
      </c>
      <c r="N360" t="s">
        <v>66</v>
      </c>
      <c r="O360" t="s">
        <v>73</v>
      </c>
      <c r="P360" t="s">
        <v>66</v>
      </c>
      <c r="Q360" t="s">
        <v>979</v>
      </c>
      <c r="R360" t="s">
        <v>73</v>
      </c>
      <c r="S360" t="s">
        <v>979</v>
      </c>
      <c r="T360" t="s">
        <v>2127</v>
      </c>
      <c r="U360" t="s">
        <v>2128</v>
      </c>
      <c r="V360" t="s">
        <v>982</v>
      </c>
      <c r="W360" t="s">
        <v>66</v>
      </c>
      <c r="X360" t="s">
        <v>78</v>
      </c>
      <c r="Y360" t="s">
        <v>2129</v>
      </c>
      <c r="Z360" t="s">
        <v>182</v>
      </c>
      <c r="AA360" t="s">
        <v>984</v>
      </c>
      <c r="AB360" t="s">
        <v>984</v>
      </c>
      <c r="AC360" t="s">
        <v>82</v>
      </c>
      <c r="AD360" t="s">
        <v>83</v>
      </c>
      <c r="AE360" t="s">
        <v>66</v>
      </c>
      <c r="AF360" t="s">
        <v>876</v>
      </c>
    </row>
    <row r="361" spans="1:32">
      <c r="A361" t="s">
        <v>2130</v>
      </c>
      <c r="B361" t="s">
        <v>2131</v>
      </c>
      <c r="C361" t="s">
        <v>2132</v>
      </c>
      <c r="D361" t="s">
        <v>66</v>
      </c>
      <c r="E361" t="s">
        <v>67</v>
      </c>
      <c r="F361" t="s">
        <v>68</v>
      </c>
      <c r="G361" t="s">
        <v>69</v>
      </c>
      <c r="H361" t="s">
        <v>66</v>
      </c>
      <c r="I361" t="s">
        <v>66</v>
      </c>
      <c r="J361" t="s">
        <v>67</v>
      </c>
      <c r="K361" t="s">
        <v>71</v>
      </c>
      <c r="L361" t="s">
        <v>72</v>
      </c>
      <c r="M361" t="s">
        <v>73</v>
      </c>
      <c r="N361" t="s">
        <v>66</v>
      </c>
      <c r="O361" t="s">
        <v>73</v>
      </c>
      <c r="P361" t="s">
        <v>66</v>
      </c>
      <c r="Q361" t="s">
        <v>979</v>
      </c>
      <c r="R361" t="s">
        <v>73</v>
      </c>
      <c r="S361" t="s">
        <v>979</v>
      </c>
      <c r="T361" t="s">
        <v>2133</v>
      </c>
      <c r="U361" t="s">
        <v>2134</v>
      </c>
      <c r="V361" t="s">
        <v>982</v>
      </c>
      <c r="W361" t="s">
        <v>66</v>
      </c>
      <c r="X361" t="s">
        <v>78</v>
      </c>
      <c r="Y361" t="s">
        <v>2135</v>
      </c>
      <c r="Z361" t="s">
        <v>182</v>
      </c>
      <c r="AA361" t="s">
        <v>984</v>
      </c>
      <c r="AB361" t="s">
        <v>984</v>
      </c>
      <c r="AC361" t="s">
        <v>82</v>
      </c>
      <c r="AD361" t="s">
        <v>83</v>
      </c>
      <c r="AE361" t="s">
        <v>66</v>
      </c>
      <c r="AF361" t="s">
        <v>876</v>
      </c>
    </row>
    <row r="362" spans="1:32">
      <c r="A362" t="s">
        <v>2136</v>
      </c>
      <c r="B362" t="s">
        <v>121</v>
      </c>
      <c r="C362" t="s">
        <v>2137</v>
      </c>
      <c r="D362" t="s">
        <v>2137</v>
      </c>
      <c r="E362" t="s">
        <v>109</v>
      </c>
      <c r="F362" t="s">
        <v>110</v>
      </c>
      <c r="G362" t="s">
        <v>111</v>
      </c>
      <c r="H362" t="s">
        <v>66</v>
      </c>
      <c r="I362" t="s">
        <v>66</v>
      </c>
      <c r="J362" t="s">
        <v>67</v>
      </c>
      <c r="K362" t="s">
        <v>71</v>
      </c>
      <c r="L362" t="s">
        <v>72</v>
      </c>
      <c r="M362" t="s">
        <v>73</v>
      </c>
      <c r="N362" t="s">
        <v>66</v>
      </c>
      <c r="O362" t="s">
        <v>73</v>
      </c>
      <c r="P362" t="s">
        <v>66</v>
      </c>
      <c r="Q362" t="s">
        <v>979</v>
      </c>
      <c r="R362" t="s">
        <v>73</v>
      </c>
      <c r="S362" t="s">
        <v>979</v>
      </c>
      <c r="T362" t="s">
        <v>2138</v>
      </c>
      <c r="U362" t="s">
        <v>2139</v>
      </c>
      <c r="V362" t="s">
        <v>982</v>
      </c>
      <c r="W362" t="s">
        <v>66</v>
      </c>
      <c r="X362" t="s">
        <v>78</v>
      </c>
      <c r="Y362" t="s">
        <v>2140</v>
      </c>
      <c r="Z362" t="s">
        <v>182</v>
      </c>
      <c r="AA362" t="s">
        <v>984</v>
      </c>
      <c r="AB362" t="s">
        <v>984</v>
      </c>
      <c r="AC362" t="s">
        <v>82</v>
      </c>
      <c r="AD362" t="s">
        <v>83</v>
      </c>
      <c r="AE362" t="s">
        <v>66</v>
      </c>
      <c r="AF362" t="s">
        <v>876</v>
      </c>
    </row>
    <row r="363" spans="1:32">
      <c r="A363" t="s">
        <v>2141</v>
      </c>
      <c r="B363" t="s">
        <v>1004</v>
      </c>
      <c r="C363" t="s">
        <v>2142</v>
      </c>
      <c r="D363" t="s">
        <v>66</v>
      </c>
      <c r="E363" t="s">
        <v>67</v>
      </c>
      <c r="F363" t="s">
        <v>68</v>
      </c>
      <c r="G363" t="s">
        <v>69</v>
      </c>
      <c r="H363" t="s">
        <v>66</v>
      </c>
      <c r="I363" t="s">
        <v>66</v>
      </c>
      <c r="J363" t="s">
        <v>67</v>
      </c>
      <c r="K363" t="s">
        <v>71</v>
      </c>
      <c r="L363" t="s">
        <v>72</v>
      </c>
      <c r="M363" t="s">
        <v>73</v>
      </c>
      <c r="N363" t="s">
        <v>66</v>
      </c>
      <c r="O363" t="s">
        <v>73</v>
      </c>
      <c r="P363" t="s">
        <v>66</v>
      </c>
      <c r="Q363" t="s">
        <v>979</v>
      </c>
      <c r="R363" t="s">
        <v>73</v>
      </c>
      <c r="S363" t="s">
        <v>979</v>
      </c>
      <c r="T363" t="s">
        <v>2143</v>
      </c>
      <c r="U363" t="s">
        <v>2144</v>
      </c>
      <c r="V363" t="s">
        <v>982</v>
      </c>
      <c r="W363" t="s">
        <v>66</v>
      </c>
      <c r="X363" t="s">
        <v>78</v>
      </c>
      <c r="Y363" t="s">
        <v>2145</v>
      </c>
      <c r="Z363" t="s">
        <v>182</v>
      </c>
      <c r="AA363" t="s">
        <v>984</v>
      </c>
      <c r="AB363" t="s">
        <v>984</v>
      </c>
      <c r="AC363" t="s">
        <v>82</v>
      </c>
      <c r="AD363" t="s">
        <v>83</v>
      </c>
      <c r="AE363" t="s">
        <v>66</v>
      </c>
      <c r="AF363" t="s">
        <v>876</v>
      </c>
    </row>
    <row r="364" spans="1:32">
      <c r="A364" t="s">
        <v>2146</v>
      </c>
      <c r="B364" t="s">
        <v>841</v>
      </c>
      <c r="C364" t="s">
        <v>2147</v>
      </c>
      <c r="D364" t="s">
        <v>2147</v>
      </c>
      <c r="E364" t="s">
        <v>109</v>
      </c>
      <c r="F364" t="s">
        <v>110</v>
      </c>
      <c r="G364" t="s">
        <v>111</v>
      </c>
      <c r="H364" t="s">
        <v>66</v>
      </c>
      <c r="I364" t="s">
        <v>66</v>
      </c>
      <c r="J364" t="s">
        <v>67</v>
      </c>
      <c r="K364" t="s">
        <v>71</v>
      </c>
      <c r="L364" t="s">
        <v>72</v>
      </c>
      <c r="M364" t="s">
        <v>73</v>
      </c>
      <c r="N364" t="s">
        <v>66</v>
      </c>
      <c r="O364" t="s">
        <v>73</v>
      </c>
      <c r="P364" t="s">
        <v>66</v>
      </c>
      <c r="Q364" t="s">
        <v>979</v>
      </c>
      <c r="R364" t="s">
        <v>73</v>
      </c>
      <c r="S364" t="s">
        <v>979</v>
      </c>
      <c r="T364" t="s">
        <v>2148</v>
      </c>
      <c r="U364" t="s">
        <v>2149</v>
      </c>
      <c r="V364" t="s">
        <v>982</v>
      </c>
      <c r="W364" t="s">
        <v>66</v>
      </c>
      <c r="X364" t="s">
        <v>78</v>
      </c>
      <c r="Y364" t="s">
        <v>2150</v>
      </c>
      <c r="Z364" t="s">
        <v>182</v>
      </c>
      <c r="AA364" t="s">
        <v>984</v>
      </c>
      <c r="AB364" t="s">
        <v>984</v>
      </c>
      <c r="AC364" t="s">
        <v>82</v>
      </c>
      <c r="AD364" t="s">
        <v>83</v>
      </c>
      <c r="AE364" t="s">
        <v>66</v>
      </c>
      <c r="AF364" t="s">
        <v>876</v>
      </c>
    </row>
    <row r="365" spans="1:32">
      <c r="A365" t="s">
        <v>2151</v>
      </c>
      <c r="B365" t="s">
        <v>1457</v>
      </c>
      <c r="C365" t="s">
        <v>2152</v>
      </c>
      <c r="D365" t="s">
        <v>66</v>
      </c>
      <c r="E365" t="s">
        <v>67</v>
      </c>
      <c r="F365" t="s">
        <v>68</v>
      </c>
      <c r="G365" t="s">
        <v>69</v>
      </c>
      <c r="H365" t="s">
        <v>66</v>
      </c>
      <c r="I365" t="s">
        <v>66</v>
      </c>
      <c r="J365" t="s">
        <v>67</v>
      </c>
      <c r="K365" t="s">
        <v>71</v>
      </c>
      <c r="L365" t="s">
        <v>72</v>
      </c>
      <c r="M365" t="s">
        <v>73</v>
      </c>
      <c r="N365" t="s">
        <v>66</v>
      </c>
      <c r="O365" t="s">
        <v>73</v>
      </c>
      <c r="P365" t="s">
        <v>66</v>
      </c>
      <c r="Q365" t="s">
        <v>979</v>
      </c>
      <c r="R365" t="s">
        <v>73</v>
      </c>
      <c r="S365" t="s">
        <v>979</v>
      </c>
      <c r="T365" t="s">
        <v>2153</v>
      </c>
      <c r="U365" t="s">
        <v>2154</v>
      </c>
      <c r="V365" t="s">
        <v>982</v>
      </c>
      <c r="W365" t="s">
        <v>66</v>
      </c>
      <c r="X365" t="s">
        <v>78</v>
      </c>
      <c r="Y365" t="s">
        <v>2155</v>
      </c>
      <c r="Z365" t="s">
        <v>182</v>
      </c>
      <c r="AA365" t="s">
        <v>984</v>
      </c>
      <c r="AB365" t="s">
        <v>984</v>
      </c>
      <c r="AC365" t="s">
        <v>82</v>
      </c>
      <c r="AD365" t="s">
        <v>83</v>
      </c>
      <c r="AE365" t="s">
        <v>66</v>
      </c>
      <c r="AF365" t="s">
        <v>876</v>
      </c>
    </row>
    <row r="366" spans="1:32">
      <c r="A366" t="s">
        <v>2156</v>
      </c>
      <c r="B366" t="s">
        <v>2157</v>
      </c>
      <c r="C366" t="s">
        <v>2158</v>
      </c>
      <c r="D366" t="s">
        <v>66</v>
      </c>
      <c r="E366" t="s">
        <v>67</v>
      </c>
      <c r="F366" t="s">
        <v>110</v>
      </c>
      <c r="G366" t="s">
        <v>111</v>
      </c>
      <c r="H366" t="s">
        <v>66</v>
      </c>
      <c r="I366" t="s">
        <v>66</v>
      </c>
      <c r="J366" t="s">
        <v>67</v>
      </c>
      <c r="K366" t="s">
        <v>71</v>
      </c>
      <c r="L366" t="s">
        <v>72</v>
      </c>
      <c r="M366" t="s">
        <v>73</v>
      </c>
      <c r="N366" t="s">
        <v>66</v>
      </c>
      <c r="O366" t="s">
        <v>73</v>
      </c>
      <c r="P366" t="s">
        <v>66</v>
      </c>
      <c r="Q366" t="s">
        <v>979</v>
      </c>
      <c r="R366" t="s">
        <v>73</v>
      </c>
      <c r="S366" t="s">
        <v>979</v>
      </c>
      <c r="T366" t="s">
        <v>2159</v>
      </c>
      <c r="U366" t="s">
        <v>2160</v>
      </c>
      <c r="V366" t="s">
        <v>982</v>
      </c>
      <c r="W366" t="s">
        <v>66</v>
      </c>
      <c r="X366" t="s">
        <v>78</v>
      </c>
      <c r="Y366" t="s">
        <v>2161</v>
      </c>
      <c r="Z366" t="s">
        <v>182</v>
      </c>
      <c r="AA366" t="s">
        <v>984</v>
      </c>
      <c r="AB366" t="s">
        <v>984</v>
      </c>
      <c r="AC366" t="s">
        <v>82</v>
      </c>
      <c r="AD366" t="s">
        <v>83</v>
      </c>
      <c r="AE366" t="s">
        <v>66</v>
      </c>
      <c r="AF366" t="s">
        <v>876</v>
      </c>
    </row>
    <row r="367" spans="1:32">
      <c r="A367" t="s">
        <v>2162</v>
      </c>
      <c r="B367" t="s">
        <v>1041</v>
      </c>
      <c r="C367" t="s">
        <v>2163</v>
      </c>
      <c r="D367" t="s">
        <v>2163</v>
      </c>
      <c r="E367" t="s">
        <v>109</v>
      </c>
      <c r="F367" t="s">
        <v>68</v>
      </c>
      <c r="G367" t="s">
        <v>69</v>
      </c>
      <c r="H367" t="s">
        <v>66</v>
      </c>
      <c r="I367" t="s">
        <v>66</v>
      </c>
      <c r="J367" t="s">
        <v>67</v>
      </c>
      <c r="K367" t="s">
        <v>71</v>
      </c>
      <c r="L367" t="s">
        <v>72</v>
      </c>
      <c r="M367" t="s">
        <v>73</v>
      </c>
      <c r="N367" t="s">
        <v>66</v>
      </c>
      <c r="O367" t="s">
        <v>73</v>
      </c>
      <c r="P367" t="s">
        <v>66</v>
      </c>
      <c r="Q367" t="s">
        <v>979</v>
      </c>
      <c r="R367" t="s">
        <v>73</v>
      </c>
      <c r="S367" t="s">
        <v>979</v>
      </c>
      <c r="T367" t="s">
        <v>2164</v>
      </c>
      <c r="U367" t="s">
        <v>2165</v>
      </c>
      <c r="V367" t="s">
        <v>982</v>
      </c>
      <c r="W367" t="s">
        <v>66</v>
      </c>
      <c r="X367" t="s">
        <v>78</v>
      </c>
      <c r="Y367" t="s">
        <v>2166</v>
      </c>
      <c r="Z367" t="s">
        <v>182</v>
      </c>
      <c r="AA367" t="s">
        <v>984</v>
      </c>
      <c r="AB367" t="s">
        <v>984</v>
      </c>
      <c r="AC367" t="s">
        <v>82</v>
      </c>
      <c r="AD367" t="s">
        <v>83</v>
      </c>
      <c r="AE367" t="s">
        <v>66</v>
      </c>
      <c r="AF367" t="s">
        <v>876</v>
      </c>
    </row>
    <row r="368" spans="1:32">
      <c r="A368" t="s">
        <v>2167</v>
      </c>
      <c r="B368" t="s">
        <v>1058</v>
      </c>
      <c r="C368" t="s">
        <v>2168</v>
      </c>
      <c r="D368" t="s">
        <v>2168</v>
      </c>
      <c r="E368" t="s">
        <v>109</v>
      </c>
      <c r="F368" t="s">
        <v>110</v>
      </c>
      <c r="G368" t="s">
        <v>111</v>
      </c>
      <c r="H368" t="s">
        <v>66</v>
      </c>
      <c r="I368" t="s">
        <v>66</v>
      </c>
      <c r="J368" t="s">
        <v>67</v>
      </c>
      <c r="K368" t="s">
        <v>71</v>
      </c>
      <c r="L368" t="s">
        <v>72</v>
      </c>
      <c r="M368" t="s">
        <v>73</v>
      </c>
      <c r="N368" t="s">
        <v>66</v>
      </c>
      <c r="O368" t="s">
        <v>73</v>
      </c>
      <c r="P368" t="s">
        <v>66</v>
      </c>
      <c r="Q368" t="s">
        <v>979</v>
      </c>
      <c r="R368" t="s">
        <v>73</v>
      </c>
      <c r="S368" t="s">
        <v>979</v>
      </c>
      <c r="T368" t="s">
        <v>2169</v>
      </c>
      <c r="U368" t="s">
        <v>2170</v>
      </c>
      <c r="V368" t="s">
        <v>982</v>
      </c>
      <c r="W368" t="s">
        <v>66</v>
      </c>
      <c r="X368" t="s">
        <v>78</v>
      </c>
      <c r="Y368" t="s">
        <v>2171</v>
      </c>
      <c r="Z368" t="s">
        <v>182</v>
      </c>
      <c r="AA368" t="s">
        <v>984</v>
      </c>
      <c r="AB368" t="s">
        <v>984</v>
      </c>
      <c r="AC368" t="s">
        <v>82</v>
      </c>
      <c r="AD368" t="s">
        <v>83</v>
      </c>
      <c r="AE368" t="s">
        <v>66</v>
      </c>
      <c r="AF368" t="s">
        <v>876</v>
      </c>
    </row>
    <row r="369" spans="1:32">
      <c r="A369" t="s">
        <v>2172</v>
      </c>
      <c r="B369" t="s">
        <v>841</v>
      </c>
      <c r="C369" t="s">
        <v>2173</v>
      </c>
      <c r="D369" t="s">
        <v>2173</v>
      </c>
      <c r="E369" t="s">
        <v>109</v>
      </c>
      <c r="F369" t="s">
        <v>110</v>
      </c>
      <c r="G369" t="s">
        <v>111</v>
      </c>
      <c r="H369" t="s">
        <v>66</v>
      </c>
      <c r="I369" t="s">
        <v>66</v>
      </c>
      <c r="J369" t="s">
        <v>67</v>
      </c>
      <c r="K369" t="s">
        <v>71</v>
      </c>
      <c r="L369" t="s">
        <v>72</v>
      </c>
      <c r="M369" t="s">
        <v>73</v>
      </c>
      <c r="N369" t="s">
        <v>66</v>
      </c>
      <c r="O369" t="s">
        <v>73</v>
      </c>
      <c r="P369" t="s">
        <v>66</v>
      </c>
      <c r="Q369" t="s">
        <v>979</v>
      </c>
      <c r="R369" t="s">
        <v>73</v>
      </c>
      <c r="S369" t="s">
        <v>979</v>
      </c>
      <c r="T369" t="s">
        <v>2174</v>
      </c>
      <c r="U369" t="s">
        <v>2175</v>
      </c>
      <c r="V369" t="s">
        <v>982</v>
      </c>
      <c r="W369" t="s">
        <v>66</v>
      </c>
      <c r="X369" t="s">
        <v>78</v>
      </c>
      <c r="Y369" t="s">
        <v>2176</v>
      </c>
      <c r="Z369" t="s">
        <v>182</v>
      </c>
      <c r="AA369" t="s">
        <v>984</v>
      </c>
      <c r="AB369" t="s">
        <v>984</v>
      </c>
      <c r="AC369" t="s">
        <v>82</v>
      </c>
      <c r="AD369" t="s">
        <v>83</v>
      </c>
      <c r="AE369" t="s">
        <v>66</v>
      </c>
      <c r="AF369" t="s">
        <v>876</v>
      </c>
    </row>
    <row r="370" spans="1:32">
      <c r="A370" t="s">
        <v>2177</v>
      </c>
      <c r="B370" t="s">
        <v>162</v>
      </c>
      <c r="C370" t="s">
        <v>2178</v>
      </c>
      <c r="D370" t="s">
        <v>66</v>
      </c>
      <c r="E370" t="s">
        <v>67</v>
      </c>
      <c r="F370" t="s">
        <v>164</v>
      </c>
      <c r="G370" t="s">
        <v>165</v>
      </c>
      <c r="H370" t="s">
        <v>66</v>
      </c>
      <c r="I370" t="s">
        <v>66</v>
      </c>
      <c r="J370" t="s">
        <v>67</v>
      </c>
      <c r="K370" t="s">
        <v>71</v>
      </c>
      <c r="L370" t="s">
        <v>72</v>
      </c>
      <c r="M370" t="s">
        <v>73</v>
      </c>
      <c r="N370" t="s">
        <v>66</v>
      </c>
      <c r="O370" t="s">
        <v>73</v>
      </c>
      <c r="P370" t="s">
        <v>66</v>
      </c>
      <c r="Q370" t="s">
        <v>979</v>
      </c>
      <c r="R370" t="s">
        <v>73</v>
      </c>
      <c r="S370" t="s">
        <v>979</v>
      </c>
      <c r="T370" t="s">
        <v>2179</v>
      </c>
      <c r="U370" t="s">
        <v>2180</v>
      </c>
      <c r="V370" t="s">
        <v>982</v>
      </c>
      <c r="W370" t="s">
        <v>66</v>
      </c>
      <c r="X370" t="s">
        <v>78</v>
      </c>
      <c r="Y370" t="s">
        <v>2181</v>
      </c>
      <c r="Z370" t="s">
        <v>182</v>
      </c>
      <c r="AA370" t="s">
        <v>984</v>
      </c>
      <c r="AB370" t="s">
        <v>984</v>
      </c>
      <c r="AC370" t="s">
        <v>82</v>
      </c>
      <c r="AD370" t="s">
        <v>83</v>
      </c>
      <c r="AE370" t="s">
        <v>66</v>
      </c>
      <c r="AF370" t="s">
        <v>876</v>
      </c>
    </row>
    <row r="371" spans="1:32">
      <c r="A371" t="s">
        <v>2182</v>
      </c>
      <c r="B371" t="s">
        <v>162</v>
      </c>
      <c r="C371" t="s">
        <v>2183</v>
      </c>
      <c r="D371" t="s">
        <v>66</v>
      </c>
      <c r="E371" t="s">
        <v>67</v>
      </c>
      <c r="F371" t="s">
        <v>164</v>
      </c>
      <c r="G371" t="s">
        <v>165</v>
      </c>
      <c r="H371" t="s">
        <v>66</v>
      </c>
      <c r="I371" t="s">
        <v>66</v>
      </c>
      <c r="J371" t="s">
        <v>67</v>
      </c>
      <c r="K371" t="s">
        <v>71</v>
      </c>
      <c r="L371" t="s">
        <v>72</v>
      </c>
      <c r="M371" t="s">
        <v>73</v>
      </c>
      <c r="N371" t="s">
        <v>66</v>
      </c>
      <c r="O371" t="s">
        <v>73</v>
      </c>
      <c r="P371" t="s">
        <v>66</v>
      </c>
      <c r="Q371" t="s">
        <v>979</v>
      </c>
      <c r="R371" t="s">
        <v>73</v>
      </c>
      <c r="S371" t="s">
        <v>979</v>
      </c>
      <c r="T371" t="s">
        <v>2184</v>
      </c>
      <c r="U371" t="s">
        <v>2185</v>
      </c>
      <c r="V371" t="s">
        <v>982</v>
      </c>
      <c r="W371" t="s">
        <v>66</v>
      </c>
      <c r="X371" t="s">
        <v>78</v>
      </c>
      <c r="Y371" t="s">
        <v>2186</v>
      </c>
      <c r="Z371" t="s">
        <v>182</v>
      </c>
      <c r="AA371" t="s">
        <v>984</v>
      </c>
      <c r="AB371" t="s">
        <v>984</v>
      </c>
      <c r="AC371" t="s">
        <v>82</v>
      </c>
      <c r="AD371" t="s">
        <v>83</v>
      </c>
      <c r="AE371" t="s">
        <v>66</v>
      </c>
      <c r="AF371" t="s">
        <v>876</v>
      </c>
    </row>
    <row r="372" spans="1:32">
      <c r="A372" t="s">
        <v>2187</v>
      </c>
      <c r="B372" t="s">
        <v>841</v>
      </c>
      <c r="C372" t="s">
        <v>2188</v>
      </c>
      <c r="D372" t="s">
        <v>2188</v>
      </c>
      <c r="E372" t="s">
        <v>109</v>
      </c>
      <c r="F372" t="s">
        <v>110</v>
      </c>
      <c r="G372" t="s">
        <v>111</v>
      </c>
      <c r="H372" t="s">
        <v>66</v>
      </c>
      <c r="I372" t="s">
        <v>66</v>
      </c>
      <c r="J372" t="s">
        <v>67</v>
      </c>
      <c r="K372" t="s">
        <v>71</v>
      </c>
      <c r="L372" t="s">
        <v>72</v>
      </c>
      <c r="M372" t="s">
        <v>73</v>
      </c>
      <c r="N372" t="s">
        <v>66</v>
      </c>
      <c r="O372" t="s">
        <v>73</v>
      </c>
      <c r="P372" t="s">
        <v>66</v>
      </c>
      <c r="Q372" t="s">
        <v>979</v>
      </c>
      <c r="R372" t="s">
        <v>73</v>
      </c>
      <c r="S372" t="s">
        <v>979</v>
      </c>
      <c r="T372" t="s">
        <v>2189</v>
      </c>
      <c r="U372" t="s">
        <v>2190</v>
      </c>
      <c r="V372" t="s">
        <v>982</v>
      </c>
      <c r="W372" t="s">
        <v>66</v>
      </c>
      <c r="X372" t="s">
        <v>78</v>
      </c>
      <c r="Y372" t="s">
        <v>2191</v>
      </c>
      <c r="Z372" t="s">
        <v>182</v>
      </c>
      <c r="AA372" t="s">
        <v>984</v>
      </c>
      <c r="AB372" t="s">
        <v>984</v>
      </c>
      <c r="AC372" t="s">
        <v>82</v>
      </c>
      <c r="AD372" t="s">
        <v>83</v>
      </c>
      <c r="AE372" t="s">
        <v>66</v>
      </c>
      <c r="AF372" t="s">
        <v>876</v>
      </c>
    </row>
    <row r="373" spans="1:32">
      <c r="A373" t="s">
        <v>2192</v>
      </c>
      <c r="B373" t="s">
        <v>1064</v>
      </c>
      <c r="C373" t="s">
        <v>2193</v>
      </c>
      <c r="D373" t="s">
        <v>66</v>
      </c>
      <c r="E373" t="s">
        <v>67</v>
      </c>
      <c r="F373" t="s">
        <v>110</v>
      </c>
      <c r="G373" t="s">
        <v>111</v>
      </c>
      <c r="H373" t="s">
        <v>66</v>
      </c>
      <c r="I373" t="s">
        <v>66</v>
      </c>
      <c r="J373" t="s">
        <v>67</v>
      </c>
      <c r="K373" t="s">
        <v>71</v>
      </c>
      <c r="L373" t="s">
        <v>72</v>
      </c>
      <c r="M373" t="s">
        <v>73</v>
      </c>
      <c r="N373" t="s">
        <v>66</v>
      </c>
      <c r="O373" t="s">
        <v>73</v>
      </c>
      <c r="P373" t="s">
        <v>66</v>
      </c>
      <c r="Q373" t="s">
        <v>979</v>
      </c>
      <c r="R373" t="s">
        <v>73</v>
      </c>
      <c r="S373" t="s">
        <v>979</v>
      </c>
      <c r="T373" t="s">
        <v>2194</v>
      </c>
      <c r="U373" t="s">
        <v>2195</v>
      </c>
      <c r="V373" t="s">
        <v>982</v>
      </c>
      <c r="W373" t="s">
        <v>66</v>
      </c>
      <c r="X373" t="s">
        <v>78</v>
      </c>
      <c r="Y373" t="s">
        <v>2196</v>
      </c>
      <c r="Z373" t="s">
        <v>182</v>
      </c>
      <c r="AA373" t="s">
        <v>984</v>
      </c>
      <c r="AB373" t="s">
        <v>984</v>
      </c>
      <c r="AC373" t="s">
        <v>82</v>
      </c>
      <c r="AD373" t="s">
        <v>83</v>
      </c>
      <c r="AE373" t="s">
        <v>66</v>
      </c>
      <c r="AF373" t="s">
        <v>876</v>
      </c>
    </row>
    <row r="374" spans="1:32">
      <c r="A374" t="s">
        <v>2197</v>
      </c>
      <c r="B374" t="s">
        <v>841</v>
      </c>
      <c r="C374" t="s">
        <v>2198</v>
      </c>
      <c r="D374" t="s">
        <v>2198</v>
      </c>
      <c r="E374" t="s">
        <v>109</v>
      </c>
      <c r="F374" t="s">
        <v>110</v>
      </c>
      <c r="G374" t="s">
        <v>111</v>
      </c>
      <c r="H374" t="s">
        <v>66</v>
      </c>
      <c r="I374" t="s">
        <v>66</v>
      </c>
      <c r="J374" t="s">
        <v>67</v>
      </c>
      <c r="K374" t="s">
        <v>71</v>
      </c>
      <c r="L374" t="s">
        <v>72</v>
      </c>
      <c r="M374" t="s">
        <v>73</v>
      </c>
      <c r="N374" t="s">
        <v>66</v>
      </c>
      <c r="O374" t="s">
        <v>73</v>
      </c>
      <c r="P374" t="s">
        <v>66</v>
      </c>
      <c r="Q374" t="s">
        <v>979</v>
      </c>
      <c r="R374" t="s">
        <v>73</v>
      </c>
      <c r="S374" t="s">
        <v>979</v>
      </c>
      <c r="T374" t="s">
        <v>2199</v>
      </c>
      <c r="U374" t="s">
        <v>2200</v>
      </c>
      <c r="V374" t="s">
        <v>982</v>
      </c>
      <c r="W374" t="s">
        <v>66</v>
      </c>
      <c r="X374" t="s">
        <v>78</v>
      </c>
      <c r="Y374" t="s">
        <v>2201</v>
      </c>
      <c r="Z374" t="s">
        <v>182</v>
      </c>
      <c r="AA374" t="s">
        <v>984</v>
      </c>
      <c r="AB374" t="s">
        <v>984</v>
      </c>
      <c r="AC374" t="s">
        <v>82</v>
      </c>
      <c r="AD374" t="s">
        <v>83</v>
      </c>
      <c r="AE374" t="s">
        <v>66</v>
      </c>
      <c r="AF374" t="s">
        <v>876</v>
      </c>
    </row>
    <row r="375" spans="1:32">
      <c r="A375" t="s">
        <v>2202</v>
      </c>
      <c r="B375" t="s">
        <v>1064</v>
      </c>
      <c r="C375" t="s">
        <v>2203</v>
      </c>
      <c r="D375" t="s">
        <v>66</v>
      </c>
      <c r="E375" t="s">
        <v>67</v>
      </c>
      <c r="F375" t="s">
        <v>110</v>
      </c>
      <c r="G375" t="s">
        <v>111</v>
      </c>
      <c r="H375" t="s">
        <v>66</v>
      </c>
      <c r="I375" t="s">
        <v>66</v>
      </c>
      <c r="J375" t="s">
        <v>67</v>
      </c>
      <c r="K375" t="s">
        <v>71</v>
      </c>
      <c r="L375" t="s">
        <v>72</v>
      </c>
      <c r="M375" t="s">
        <v>73</v>
      </c>
      <c r="N375" t="s">
        <v>66</v>
      </c>
      <c r="O375" t="s">
        <v>73</v>
      </c>
      <c r="P375" t="s">
        <v>66</v>
      </c>
      <c r="Q375" t="s">
        <v>979</v>
      </c>
      <c r="R375" t="s">
        <v>73</v>
      </c>
      <c r="S375" t="s">
        <v>979</v>
      </c>
      <c r="T375" t="s">
        <v>2204</v>
      </c>
      <c r="U375" t="s">
        <v>2205</v>
      </c>
      <c r="V375" t="s">
        <v>982</v>
      </c>
      <c r="W375" t="s">
        <v>66</v>
      </c>
      <c r="X375" t="s">
        <v>78</v>
      </c>
      <c r="Y375" t="s">
        <v>2206</v>
      </c>
      <c r="Z375" t="s">
        <v>182</v>
      </c>
      <c r="AA375" t="s">
        <v>984</v>
      </c>
      <c r="AB375" t="s">
        <v>984</v>
      </c>
      <c r="AC375" t="s">
        <v>82</v>
      </c>
      <c r="AD375" t="s">
        <v>83</v>
      </c>
      <c r="AE375" t="s">
        <v>66</v>
      </c>
      <c r="AF375" t="s">
        <v>876</v>
      </c>
    </row>
    <row r="376" spans="1:32">
      <c r="A376" t="s">
        <v>2207</v>
      </c>
      <c r="B376" t="s">
        <v>130</v>
      </c>
      <c r="C376" t="s">
        <v>2208</v>
      </c>
      <c r="D376" t="s">
        <v>2208</v>
      </c>
      <c r="E376" t="s">
        <v>109</v>
      </c>
      <c r="F376" t="s">
        <v>110</v>
      </c>
      <c r="G376" t="s">
        <v>111</v>
      </c>
      <c r="H376" t="s">
        <v>66</v>
      </c>
      <c r="I376" t="s">
        <v>66</v>
      </c>
      <c r="J376" t="s">
        <v>67</v>
      </c>
      <c r="K376" t="s">
        <v>71</v>
      </c>
      <c r="L376" t="s">
        <v>72</v>
      </c>
      <c r="M376" t="s">
        <v>73</v>
      </c>
      <c r="N376" t="s">
        <v>66</v>
      </c>
      <c r="O376" t="s">
        <v>73</v>
      </c>
      <c r="P376" t="s">
        <v>66</v>
      </c>
      <c r="Q376" t="s">
        <v>979</v>
      </c>
      <c r="R376" t="s">
        <v>73</v>
      </c>
      <c r="S376" t="s">
        <v>979</v>
      </c>
      <c r="T376" t="s">
        <v>2209</v>
      </c>
      <c r="U376" t="s">
        <v>2210</v>
      </c>
      <c r="V376" t="s">
        <v>982</v>
      </c>
      <c r="W376" t="s">
        <v>66</v>
      </c>
      <c r="X376" t="s">
        <v>78</v>
      </c>
      <c r="Y376" t="s">
        <v>2211</v>
      </c>
      <c r="Z376" t="s">
        <v>182</v>
      </c>
      <c r="AA376" t="s">
        <v>984</v>
      </c>
      <c r="AB376" t="s">
        <v>984</v>
      </c>
      <c r="AC376" t="s">
        <v>82</v>
      </c>
      <c r="AD376" t="s">
        <v>83</v>
      </c>
      <c r="AE376" t="s">
        <v>66</v>
      </c>
      <c r="AF376" t="s">
        <v>876</v>
      </c>
    </row>
    <row r="377" spans="1:32">
      <c r="A377" t="s">
        <v>2212</v>
      </c>
      <c r="B377" t="s">
        <v>162</v>
      </c>
      <c r="C377" t="s">
        <v>2213</v>
      </c>
      <c r="D377" t="s">
        <v>66</v>
      </c>
      <c r="E377" t="s">
        <v>67</v>
      </c>
      <c r="F377" t="s">
        <v>164</v>
      </c>
      <c r="G377" t="s">
        <v>165</v>
      </c>
      <c r="H377" t="s">
        <v>66</v>
      </c>
      <c r="I377" t="s">
        <v>66</v>
      </c>
      <c r="J377" t="s">
        <v>67</v>
      </c>
      <c r="K377" t="s">
        <v>71</v>
      </c>
      <c r="L377" t="s">
        <v>72</v>
      </c>
      <c r="M377" t="s">
        <v>73</v>
      </c>
      <c r="N377" t="s">
        <v>66</v>
      </c>
      <c r="O377" t="s">
        <v>73</v>
      </c>
      <c r="P377" t="s">
        <v>66</v>
      </c>
      <c r="Q377" t="s">
        <v>979</v>
      </c>
      <c r="R377" t="s">
        <v>73</v>
      </c>
      <c r="S377" t="s">
        <v>979</v>
      </c>
      <c r="T377" t="s">
        <v>2214</v>
      </c>
      <c r="U377" t="s">
        <v>2215</v>
      </c>
      <c r="V377" t="s">
        <v>982</v>
      </c>
      <c r="W377" t="s">
        <v>66</v>
      </c>
      <c r="X377" t="s">
        <v>78</v>
      </c>
      <c r="Y377" t="s">
        <v>2216</v>
      </c>
      <c r="Z377" t="s">
        <v>182</v>
      </c>
      <c r="AA377" t="s">
        <v>984</v>
      </c>
      <c r="AB377" t="s">
        <v>984</v>
      </c>
      <c r="AC377" t="s">
        <v>82</v>
      </c>
      <c r="AD377" t="s">
        <v>83</v>
      </c>
      <c r="AE377" t="s">
        <v>66</v>
      </c>
      <c r="AF377" t="s">
        <v>876</v>
      </c>
    </row>
    <row r="378" spans="1:32">
      <c r="A378" t="s">
        <v>2217</v>
      </c>
      <c r="B378" t="s">
        <v>1058</v>
      </c>
      <c r="C378" t="s">
        <v>2218</v>
      </c>
      <c r="D378" t="s">
        <v>2218</v>
      </c>
      <c r="E378" t="s">
        <v>109</v>
      </c>
      <c r="F378" t="s">
        <v>110</v>
      </c>
      <c r="G378" t="s">
        <v>111</v>
      </c>
      <c r="H378" t="s">
        <v>66</v>
      </c>
      <c r="I378" t="s">
        <v>66</v>
      </c>
      <c r="J378" t="s">
        <v>67</v>
      </c>
      <c r="K378" t="s">
        <v>71</v>
      </c>
      <c r="L378" t="s">
        <v>72</v>
      </c>
      <c r="M378" t="s">
        <v>73</v>
      </c>
      <c r="N378" t="s">
        <v>66</v>
      </c>
      <c r="O378" t="s">
        <v>73</v>
      </c>
      <c r="P378" t="s">
        <v>66</v>
      </c>
      <c r="Q378" t="s">
        <v>979</v>
      </c>
      <c r="R378" t="s">
        <v>73</v>
      </c>
      <c r="S378" t="s">
        <v>979</v>
      </c>
      <c r="T378" t="s">
        <v>2219</v>
      </c>
      <c r="U378" t="s">
        <v>2220</v>
      </c>
      <c r="V378" t="s">
        <v>982</v>
      </c>
      <c r="W378" t="s">
        <v>66</v>
      </c>
      <c r="X378" t="s">
        <v>78</v>
      </c>
      <c r="Y378" t="s">
        <v>2221</v>
      </c>
      <c r="Z378" t="s">
        <v>182</v>
      </c>
      <c r="AA378" t="s">
        <v>984</v>
      </c>
      <c r="AB378" t="s">
        <v>984</v>
      </c>
      <c r="AC378" t="s">
        <v>82</v>
      </c>
      <c r="AD378" t="s">
        <v>83</v>
      </c>
      <c r="AE378" t="s">
        <v>66</v>
      </c>
      <c r="AF378" t="s">
        <v>876</v>
      </c>
    </row>
    <row r="379" spans="1:32">
      <c r="A379" t="s">
        <v>2222</v>
      </c>
      <c r="B379" t="s">
        <v>1319</v>
      </c>
      <c r="C379" t="s">
        <v>2223</v>
      </c>
      <c r="D379" t="s">
        <v>66</v>
      </c>
      <c r="E379" t="s">
        <v>67</v>
      </c>
      <c r="F379" t="s">
        <v>1321</v>
      </c>
      <c r="G379" t="s">
        <v>1322</v>
      </c>
      <c r="H379" t="s">
        <v>66</v>
      </c>
      <c r="I379" t="s">
        <v>66</v>
      </c>
      <c r="J379" t="s">
        <v>67</v>
      </c>
      <c r="K379" t="s">
        <v>71</v>
      </c>
      <c r="L379" t="s">
        <v>72</v>
      </c>
      <c r="M379" t="s">
        <v>73</v>
      </c>
      <c r="N379" t="s">
        <v>66</v>
      </c>
      <c r="O379" t="s">
        <v>73</v>
      </c>
      <c r="P379" t="s">
        <v>66</v>
      </c>
      <c r="Q379" t="s">
        <v>979</v>
      </c>
      <c r="R379" t="s">
        <v>73</v>
      </c>
      <c r="S379" t="s">
        <v>979</v>
      </c>
      <c r="T379" t="s">
        <v>2224</v>
      </c>
      <c r="U379" t="s">
        <v>2225</v>
      </c>
      <c r="V379" t="s">
        <v>982</v>
      </c>
      <c r="W379" t="s">
        <v>66</v>
      </c>
      <c r="X379" t="s">
        <v>78</v>
      </c>
      <c r="Y379" t="s">
        <v>2226</v>
      </c>
      <c r="Z379" t="s">
        <v>182</v>
      </c>
      <c r="AA379" t="s">
        <v>984</v>
      </c>
      <c r="AB379" t="s">
        <v>984</v>
      </c>
      <c r="AC379" t="s">
        <v>82</v>
      </c>
      <c r="AD379" t="s">
        <v>83</v>
      </c>
      <c r="AE379" t="s">
        <v>66</v>
      </c>
      <c r="AF379" t="s">
        <v>876</v>
      </c>
    </row>
    <row r="380" spans="1:32">
      <c r="A380" t="s">
        <v>2227</v>
      </c>
      <c r="B380" t="s">
        <v>1948</v>
      </c>
      <c r="C380" t="s">
        <v>2228</v>
      </c>
      <c r="D380" t="s">
        <v>2228</v>
      </c>
      <c r="E380" t="s">
        <v>109</v>
      </c>
      <c r="F380" t="s">
        <v>68</v>
      </c>
      <c r="G380" t="s">
        <v>69</v>
      </c>
      <c r="H380" t="s">
        <v>66</v>
      </c>
      <c r="I380" t="s">
        <v>66</v>
      </c>
      <c r="J380" t="s">
        <v>67</v>
      </c>
      <c r="K380" t="s">
        <v>71</v>
      </c>
      <c r="L380" t="s">
        <v>72</v>
      </c>
      <c r="M380" t="s">
        <v>73</v>
      </c>
      <c r="N380" t="s">
        <v>66</v>
      </c>
      <c r="O380" t="s">
        <v>73</v>
      </c>
      <c r="P380" t="s">
        <v>66</v>
      </c>
      <c r="Q380" t="s">
        <v>979</v>
      </c>
      <c r="R380" t="s">
        <v>73</v>
      </c>
      <c r="S380" t="s">
        <v>979</v>
      </c>
      <c r="T380" t="s">
        <v>2229</v>
      </c>
      <c r="U380" t="s">
        <v>2230</v>
      </c>
      <c r="V380" t="s">
        <v>982</v>
      </c>
      <c r="W380" t="s">
        <v>66</v>
      </c>
      <c r="X380" t="s">
        <v>78</v>
      </c>
      <c r="Y380" t="s">
        <v>2231</v>
      </c>
      <c r="Z380" t="s">
        <v>182</v>
      </c>
      <c r="AA380" t="s">
        <v>984</v>
      </c>
      <c r="AB380" t="s">
        <v>984</v>
      </c>
      <c r="AC380" t="s">
        <v>82</v>
      </c>
      <c r="AD380" t="s">
        <v>83</v>
      </c>
      <c r="AE380" t="s">
        <v>66</v>
      </c>
      <c r="AF380" t="s">
        <v>876</v>
      </c>
    </row>
    <row r="381" spans="1:32">
      <c r="A381" t="s">
        <v>2232</v>
      </c>
      <c r="B381" t="s">
        <v>1860</v>
      </c>
      <c r="C381" t="s">
        <v>2233</v>
      </c>
      <c r="D381" t="s">
        <v>66</v>
      </c>
      <c r="E381" t="s">
        <v>67</v>
      </c>
      <c r="F381" t="s">
        <v>110</v>
      </c>
      <c r="G381" t="s">
        <v>111</v>
      </c>
      <c r="H381" t="s">
        <v>66</v>
      </c>
      <c r="I381" t="s">
        <v>66</v>
      </c>
      <c r="J381" t="s">
        <v>67</v>
      </c>
      <c r="K381" t="s">
        <v>71</v>
      </c>
      <c r="L381" t="s">
        <v>72</v>
      </c>
      <c r="M381" t="s">
        <v>73</v>
      </c>
      <c r="N381" t="s">
        <v>66</v>
      </c>
      <c r="O381" t="s">
        <v>73</v>
      </c>
      <c r="P381" t="s">
        <v>66</v>
      </c>
      <c r="Q381" t="s">
        <v>979</v>
      </c>
      <c r="R381" t="s">
        <v>73</v>
      </c>
      <c r="S381" t="s">
        <v>979</v>
      </c>
      <c r="T381" t="s">
        <v>2234</v>
      </c>
      <c r="U381" t="s">
        <v>2235</v>
      </c>
      <c r="V381" t="s">
        <v>982</v>
      </c>
      <c r="W381" t="s">
        <v>66</v>
      </c>
      <c r="X381" t="s">
        <v>78</v>
      </c>
      <c r="Y381" t="s">
        <v>2236</v>
      </c>
      <c r="Z381" t="s">
        <v>182</v>
      </c>
      <c r="AA381" t="s">
        <v>984</v>
      </c>
      <c r="AB381" t="s">
        <v>984</v>
      </c>
      <c r="AC381" t="s">
        <v>82</v>
      </c>
      <c r="AD381" t="s">
        <v>83</v>
      </c>
      <c r="AE381" t="s">
        <v>66</v>
      </c>
      <c r="AF381" t="s">
        <v>876</v>
      </c>
    </row>
    <row r="382" spans="1:32">
      <c r="A382" t="s">
        <v>2237</v>
      </c>
      <c r="B382" t="s">
        <v>308</v>
      </c>
      <c r="C382" t="s">
        <v>2238</v>
      </c>
      <c r="D382" t="s">
        <v>2238</v>
      </c>
      <c r="E382" t="s">
        <v>109</v>
      </c>
      <c r="F382" t="s">
        <v>110</v>
      </c>
      <c r="G382" t="s">
        <v>111</v>
      </c>
      <c r="H382" t="s">
        <v>66</v>
      </c>
      <c r="I382" t="s">
        <v>66</v>
      </c>
      <c r="J382" t="s">
        <v>67</v>
      </c>
      <c r="K382" t="s">
        <v>71</v>
      </c>
      <c r="L382" t="s">
        <v>72</v>
      </c>
      <c r="M382" t="s">
        <v>73</v>
      </c>
      <c r="N382" t="s">
        <v>66</v>
      </c>
      <c r="O382" t="s">
        <v>73</v>
      </c>
      <c r="P382" t="s">
        <v>66</v>
      </c>
      <c r="Q382" t="s">
        <v>979</v>
      </c>
      <c r="R382" t="s">
        <v>73</v>
      </c>
      <c r="S382" t="s">
        <v>979</v>
      </c>
      <c r="T382" t="s">
        <v>2239</v>
      </c>
      <c r="U382" t="s">
        <v>2240</v>
      </c>
      <c r="V382" t="s">
        <v>982</v>
      </c>
      <c r="W382" t="s">
        <v>66</v>
      </c>
      <c r="X382" t="s">
        <v>78</v>
      </c>
      <c r="Y382" t="s">
        <v>2241</v>
      </c>
      <c r="Z382" t="s">
        <v>182</v>
      </c>
      <c r="AA382" t="s">
        <v>984</v>
      </c>
      <c r="AB382" t="s">
        <v>984</v>
      </c>
      <c r="AC382" t="s">
        <v>82</v>
      </c>
      <c r="AD382" t="s">
        <v>83</v>
      </c>
      <c r="AE382" t="s">
        <v>66</v>
      </c>
      <c r="AF382" t="s">
        <v>876</v>
      </c>
    </row>
    <row r="383" spans="1:32">
      <c r="A383" t="s">
        <v>2242</v>
      </c>
      <c r="B383" t="s">
        <v>162</v>
      </c>
      <c r="C383" t="s">
        <v>2243</v>
      </c>
      <c r="D383" t="s">
        <v>66</v>
      </c>
      <c r="E383" t="s">
        <v>67</v>
      </c>
      <c r="F383" t="s">
        <v>164</v>
      </c>
      <c r="G383" t="s">
        <v>165</v>
      </c>
      <c r="H383" t="s">
        <v>66</v>
      </c>
      <c r="I383" t="s">
        <v>66</v>
      </c>
      <c r="J383" t="s">
        <v>67</v>
      </c>
      <c r="K383" t="s">
        <v>71</v>
      </c>
      <c r="L383" t="s">
        <v>72</v>
      </c>
      <c r="M383" t="s">
        <v>73</v>
      </c>
      <c r="N383" t="s">
        <v>66</v>
      </c>
      <c r="O383" t="s">
        <v>73</v>
      </c>
      <c r="P383" t="s">
        <v>66</v>
      </c>
      <c r="Q383" t="s">
        <v>979</v>
      </c>
      <c r="R383" t="s">
        <v>73</v>
      </c>
      <c r="S383" t="s">
        <v>979</v>
      </c>
      <c r="T383" t="s">
        <v>2244</v>
      </c>
      <c r="U383" t="s">
        <v>2245</v>
      </c>
      <c r="V383" t="s">
        <v>982</v>
      </c>
      <c r="W383" t="s">
        <v>66</v>
      </c>
      <c r="X383" t="s">
        <v>78</v>
      </c>
      <c r="Y383" t="s">
        <v>2246</v>
      </c>
      <c r="Z383" t="s">
        <v>182</v>
      </c>
      <c r="AA383" t="s">
        <v>984</v>
      </c>
      <c r="AB383" t="s">
        <v>984</v>
      </c>
      <c r="AC383" t="s">
        <v>82</v>
      </c>
      <c r="AD383" t="s">
        <v>83</v>
      </c>
      <c r="AE383" t="s">
        <v>66</v>
      </c>
      <c r="AF383" t="s">
        <v>876</v>
      </c>
    </row>
    <row r="384" spans="1:32">
      <c r="A384" t="s">
        <v>2247</v>
      </c>
      <c r="B384" t="s">
        <v>162</v>
      </c>
      <c r="C384" t="s">
        <v>2248</v>
      </c>
      <c r="D384" t="s">
        <v>66</v>
      </c>
      <c r="E384" t="s">
        <v>67</v>
      </c>
      <c r="F384" t="s">
        <v>164</v>
      </c>
      <c r="G384" t="s">
        <v>165</v>
      </c>
      <c r="H384" t="s">
        <v>66</v>
      </c>
      <c r="I384" t="s">
        <v>66</v>
      </c>
      <c r="J384" t="s">
        <v>67</v>
      </c>
      <c r="K384" t="s">
        <v>71</v>
      </c>
      <c r="L384" t="s">
        <v>72</v>
      </c>
      <c r="M384" t="s">
        <v>73</v>
      </c>
      <c r="N384" t="s">
        <v>66</v>
      </c>
      <c r="O384" t="s">
        <v>73</v>
      </c>
      <c r="P384" t="s">
        <v>66</v>
      </c>
      <c r="Q384" t="s">
        <v>979</v>
      </c>
      <c r="R384" t="s">
        <v>73</v>
      </c>
      <c r="S384" t="s">
        <v>979</v>
      </c>
      <c r="T384" t="s">
        <v>2249</v>
      </c>
      <c r="U384" t="s">
        <v>2250</v>
      </c>
      <c r="V384" t="s">
        <v>982</v>
      </c>
      <c r="W384" t="s">
        <v>66</v>
      </c>
      <c r="X384" t="s">
        <v>78</v>
      </c>
      <c r="Y384" t="s">
        <v>2251</v>
      </c>
      <c r="Z384" t="s">
        <v>182</v>
      </c>
      <c r="AA384" t="s">
        <v>984</v>
      </c>
      <c r="AB384" t="s">
        <v>984</v>
      </c>
      <c r="AC384" t="s">
        <v>82</v>
      </c>
      <c r="AD384" t="s">
        <v>83</v>
      </c>
      <c r="AE384" t="s">
        <v>66</v>
      </c>
      <c r="AF384" t="s">
        <v>876</v>
      </c>
    </row>
    <row r="385" spans="1:32">
      <c r="A385" t="s">
        <v>2252</v>
      </c>
      <c r="B385" t="s">
        <v>308</v>
      </c>
      <c r="C385" t="s">
        <v>2253</v>
      </c>
      <c r="D385" t="s">
        <v>2253</v>
      </c>
      <c r="E385" t="s">
        <v>109</v>
      </c>
      <c r="F385" t="s">
        <v>110</v>
      </c>
      <c r="G385" t="s">
        <v>111</v>
      </c>
      <c r="H385" t="s">
        <v>66</v>
      </c>
      <c r="I385" t="s">
        <v>66</v>
      </c>
      <c r="J385" t="s">
        <v>67</v>
      </c>
      <c r="K385" t="s">
        <v>71</v>
      </c>
      <c r="L385" t="s">
        <v>72</v>
      </c>
      <c r="M385" t="s">
        <v>73</v>
      </c>
      <c r="N385" t="s">
        <v>66</v>
      </c>
      <c r="O385" t="s">
        <v>73</v>
      </c>
      <c r="P385" t="s">
        <v>66</v>
      </c>
      <c r="Q385" t="s">
        <v>979</v>
      </c>
      <c r="R385" t="s">
        <v>73</v>
      </c>
      <c r="S385" t="s">
        <v>979</v>
      </c>
      <c r="T385" t="s">
        <v>2254</v>
      </c>
      <c r="U385" t="s">
        <v>2255</v>
      </c>
      <c r="V385" t="s">
        <v>982</v>
      </c>
      <c r="W385" t="s">
        <v>66</v>
      </c>
      <c r="X385" t="s">
        <v>78</v>
      </c>
      <c r="Y385" t="s">
        <v>2256</v>
      </c>
      <c r="Z385" t="s">
        <v>182</v>
      </c>
      <c r="AA385" t="s">
        <v>984</v>
      </c>
      <c r="AB385" t="s">
        <v>984</v>
      </c>
      <c r="AC385" t="s">
        <v>82</v>
      </c>
      <c r="AD385" t="s">
        <v>83</v>
      </c>
      <c r="AE385" t="s">
        <v>66</v>
      </c>
      <c r="AF385" t="s">
        <v>876</v>
      </c>
    </row>
    <row r="386" spans="1:32">
      <c r="A386" t="s">
        <v>2257</v>
      </c>
      <c r="B386" t="s">
        <v>162</v>
      </c>
      <c r="C386" t="s">
        <v>2258</v>
      </c>
      <c r="D386" t="s">
        <v>66</v>
      </c>
      <c r="E386" t="s">
        <v>67</v>
      </c>
      <c r="F386" t="s">
        <v>164</v>
      </c>
      <c r="G386" t="s">
        <v>165</v>
      </c>
      <c r="H386" t="s">
        <v>66</v>
      </c>
      <c r="I386" t="s">
        <v>66</v>
      </c>
      <c r="J386" t="s">
        <v>67</v>
      </c>
      <c r="K386" t="s">
        <v>71</v>
      </c>
      <c r="L386" t="s">
        <v>72</v>
      </c>
      <c r="M386" t="s">
        <v>73</v>
      </c>
      <c r="N386" t="s">
        <v>66</v>
      </c>
      <c r="O386" t="s">
        <v>73</v>
      </c>
      <c r="P386" t="s">
        <v>66</v>
      </c>
      <c r="Q386" t="s">
        <v>979</v>
      </c>
      <c r="R386" t="s">
        <v>73</v>
      </c>
      <c r="S386" t="s">
        <v>979</v>
      </c>
      <c r="T386" t="s">
        <v>2259</v>
      </c>
      <c r="U386" t="s">
        <v>2260</v>
      </c>
      <c r="V386" t="s">
        <v>982</v>
      </c>
      <c r="W386" t="s">
        <v>66</v>
      </c>
      <c r="X386" t="s">
        <v>78</v>
      </c>
      <c r="Y386" t="s">
        <v>2261</v>
      </c>
      <c r="Z386" t="s">
        <v>182</v>
      </c>
      <c r="AA386" t="s">
        <v>984</v>
      </c>
      <c r="AB386" t="s">
        <v>984</v>
      </c>
      <c r="AC386" t="s">
        <v>82</v>
      </c>
      <c r="AD386" t="s">
        <v>83</v>
      </c>
      <c r="AE386" t="s">
        <v>66</v>
      </c>
      <c r="AF386" t="s">
        <v>876</v>
      </c>
    </row>
    <row r="387" spans="1:32">
      <c r="A387" t="s">
        <v>2262</v>
      </c>
      <c r="B387" t="s">
        <v>162</v>
      </c>
      <c r="C387" t="s">
        <v>2263</v>
      </c>
      <c r="D387" t="s">
        <v>66</v>
      </c>
      <c r="E387" t="s">
        <v>67</v>
      </c>
      <c r="F387" t="s">
        <v>164</v>
      </c>
      <c r="G387" t="s">
        <v>165</v>
      </c>
      <c r="H387" t="s">
        <v>66</v>
      </c>
      <c r="I387" t="s">
        <v>66</v>
      </c>
      <c r="J387" t="s">
        <v>67</v>
      </c>
      <c r="K387" t="s">
        <v>71</v>
      </c>
      <c r="L387" t="s">
        <v>72</v>
      </c>
      <c r="M387" t="s">
        <v>73</v>
      </c>
      <c r="N387" t="s">
        <v>66</v>
      </c>
      <c r="O387" t="s">
        <v>73</v>
      </c>
      <c r="P387" t="s">
        <v>66</v>
      </c>
      <c r="Q387" t="s">
        <v>979</v>
      </c>
      <c r="R387" t="s">
        <v>73</v>
      </c>
      <c r="S387" t="s">
        <v>979</v>
      </c>
      <c r="T387" t="s">
        <v>2264</v>
      </c>
      <c r="U387" t="s">
        <v>2265</v>
      </c>
      <c r="V387" t="s">
        <v>982</v>
      </c>
      <c r="W387" t="s">
        <v>66</v>
      </c>
      <c r="X387" t="s">
        <v>78</v>
      </c>
      <c r="Y387" t="s">
        <v>2266</v>
      </c>
      <c r="Z387" t="s">
        <v>182</v>
      </c>
      <c r="AA387" t="s">
        <v>984</v>
      </c>
      <c r="AB387" t="s">
        <v>984</v>
      </c>
      <c r="AC387" t="s">
        <v>82</v>
      </c>
      <c r="AD387" t="s">
        <v>83</v>
      </c>
      <c r="AE387" t="s">
        <v>66</v>
      </c>
      <c r="AF387" t="s">
        <v>876</v>
      </c>
    </row>
    <row r="388" spans="1:32">
      <c r="A388" t="s">
        <v>2267</v>
      </c>
      <c r="B388" t="s">
        <v>308</v>
      </c>
      <c r="C388" t="s">
        <v>2268</v>
      </c>
      <c r="D388" t="s">
        <v>2268</v>
      </c>
      <c r="E388" t="s">
        <v>109</v>
      </c>
      <c r="F388" t="s">
        <v>110</v>
      </c>
      <c r="G388" t="s">
        <v>111</v>
      </c>
      <c r="H388" t="s">
        <v>66</v>
      </c>
      <c r="I388" t="s">
        <v>66</v>
      </c>
      <c r="J388" t="s">
        <v>67</v>
      </c>
      <c r="K388" t="s">
        <v>71</v>
      </c>
      <c r="L388" t="s">
        <v>72</v>
      </c>
      <c r="M388" t="s">
        <v>73</v>
      </c>
      <c r="N388" t="s">
        <v>66</v>
      </c>
      <c r="O388" t="s">
        <v>73</v>
      </c>
      <c r="P388" t="s">
        <v>66</v>
      </c>
      <c r="Q388" t="s">
        <v>979</v>
      </c>
      <c r="R388" t="s">
        <v>73</v>
      </c>
      <c r="S388" t="s">
        <v>979</v>
      </c>
      <c r="T388" t="s">
        <v>2269</v>
      </c>
      <c r="U388" t="s">
        <v>2270</v>
      </c>
      <c r="V388" t="s">
        <v>982</v>
      </c>
      <c r="W388" t="s">
        <v>66</v>
      </c>
      <c r="X388" t="s">
        <v>78</v>
      </c>
      <c r="Y388" t="s">
        <v>2271</v>
      </c>
      <c r="Z388" t="s">
        <v>182</v>
      </c>
      <c r="AA388" t="s">
        <v>984</v>
      </c>
      <c r="AB388" t="s">
        <v>984</v>
      </c>
      <c r="AC388" t="s">
        <v>82</v>
      </c>
      <c r="AD388" t="s">
        <v>83</v>
      </c>
      <c r="AE388" t="s">
        <v>66</v>
      </c>
      <c r="AF388" t="s">
        <v>876</v>
      </c>
    </row>
    <row r="389" spans="1:32">
      <c r="A389" t="s">
        <v>2272</v>
      </c>
      <c r="B389" t="s">
        <v>1101</v>
      </c>
      <c r="C389" t="s">
        <v>2273</v>
      </c>
      <c r="D389" t="s">
        <v>66</v>
      </c>
      <c r="E389" t="s">
        <v>67</v>
      </c>
      <c r="F389" t="s">
        <v>110</v>
      </c>
      <c r="G389" t="s">
        <v>111</v>
      </c>
      <c r="H389" t="s">
        <v>66</v>
      </c>
      <c r="I389" t="s">
        <v>66</v>
      </c>
      <c r="J389" t="s">
        <v>67</v>
      </c>
      <c r="K389" t="s">
        <v>71</v>
      </c>
      <c r="L389" t="s">
        <v>72</v>
      </c>
      <c r="M389" t="s">
        <v>73</v>
      </c>
      <c r="N389" t="s">
        <v>66</v>
      </c>
      <c r="O389" t="s">
        <v>73</v>
      </c>
      <c r="P389" t="s">
        <v>66</v>
      </c>
      <c r="Q389" t="s">
        <v>979</v>
      </c>
      <c r="R389" t="s">
        <v>73</v>
      </c>
      <c r="S389" t="s">
        <v>979</v>
      </c>
      <c r="T389" t="s">
        <v>2274</v>
      </c>
      <c r="U389" t="s">
        <v>2275</v>
      </c>
      <c r="V389" t="s">
        <v>982</v>
      </c>
      <c r="W389" t="s">
        <v>66</v>
      </c>
      <c r="X389" t="s">
        <v>78</v>
      </c>
      <c r="Y389" t="s">
        <v>2276</v>
      </c>
      <c r="Z389" t="s">
        <v>182</v>
      </c>
      <c r="AA389" t="s">
        <v>984</v>
      </c>
      <c r="AB389" t="s">
        <v>984</v>
      </c>
      <c r="AC389" t="s">
        <v>82</v>
      </c>
      <c r="AD389" t="s">
        <v>83</v>
      </c>
      <c r="AE389" t="s">
        <v>66</v>
      </c>
      <c r="AF389" t="s">
        <v>876</v>
      </c>
    </row>
    <row r="390" spans="1:32">
      <c r="A390" t="s">
        <v>2277</v>
      </c>
      <c r="B390" t="s">
        <v>1101</v>
      </c>
      <c r="C390" t="s">
        <v>2278</v>
      </c>
      <c r="D390" t="s">
        <v>66</v>
      </c>
      <c r="E390" t="s">
        <v>67</v>
      </c>
      <c r="F390" t="s">
        <v>110</v>
      </c>
      <c r="G390" t="s">
        <v>111</v>
      </c>
      <c r="H390" t="s">
        <v>66</v>
      </c>
      <c r="I390" t="s">
        <v>66</v>
      </c>
      <c r="J390" t="s">
        <v>67</v>
      </c>
      <c r="K390" t="s">
        <v>71</v>
      </c>
      <c r="L390" t="s">
        <v>72</v>
      </c>
      <c r="M390" t="s">
        <v>73</v>
      </c>
      <c r="N390" t="s">
        <v>66</v>
      </c>
      <c r="O390" t="s">
        <v>73</v>
      </c>
      <c r="P390" t="s">
        <v>66</v>
      </c>
      <c r="Q390" t="s">
        <v>979</v>
      </c>
      <c r="R390" t="s">
        <v>73</v>
      </c>
      <c r="S390" t="s">
        <v>979</v>
      </c>
      <c r="T390" t="s">
        <v>2279</v>
      </c>
      <c r="U390" t="s">
        <v>2280</v>
      </c>
      <c r="V390" t="s">
        <v>982</v>
      </c>
      <c r="W390" t="s">
        <v>66</v>
      </c>
      <c r="X390" t="s">
        <v>78</v>
      </c>
      <c r="Y390" t="s">
        <v>2281</v>
      </c>
      <c r="Z390" t="s">
        <v>182</v>
      </c>
      <c r="AA390" t="s">
        <v>984</v>
      </c>
      <c r="AB390" t="s">
        <v>984</v>
      </c>
      <c r="AC390" t="s">
        <v>82</v>
      </c>
      <c r="AD390" t="s">
        <v>83</v>
      </c>
      <c r="AE390" t="s">
        <v>66</v>
      </c>
      <c r="AF390" t="s">
        <v>876</v>
      </c>
    </row>
    <row r="391" spans="1:32">
      <c r="A391" t="s">
        <v>2282</v>
      </c>
      <c r="B391" t="s">
        <v>1064</v>
      </c>
      <c r="C391" t="s">
        <v>2283</v>
      </c>
      <c r="D391" t="s">
        <v>66</v>
      </c>
      <c r="E391" t="s">
        <v>67</v>
      </c>
      <c r="F391" t="s">
        <v>110</v>
      </c>
      <c r="G391" t="s">
        <v>111</v>
      </c>
      <c r="H391" t="s">
        <v>66</v>
      </c>
      <c r="I391" t="s">
        <v>66</v>
      </c>
      <c r="J391" t="s">
        <v>67</v>
      </c>
      <c r="K391" t="s">
        <v>71</v>
      </c>
      <c r="L391" t="s">
        <v>72</v>
      </c>
      <c r="M391" t="s">
        <v>73</v>
      </c>
      <c r="N391" t="s">
        <v>66</v>
      </c>
      <c r="O391" t="s">
        <v>73</v>
      </c>
      <c r="P391" t="s">
        <v>66</v>
      </c>
      <c r="Q391" t="s">
        <v>979</v>
      </c>
      <c r="R391" t="s">
        <v>73</v>
      </c>
      <c r="S391" t="s">
        <v>979</v>
      </c>
      <c r="T391" t="s">
        <v>2284</v>
      </c>
      <c r="U391" t="s">
        <v>2285</v>
      </c>
      <c r="V391" t="s">
        <v>982</v>
      </c>
      <c r="W391" t="s">
        <v>66</v>
      </c>
      <c r="X391" t="s">
        <v>78</v>
      </c>
      <c r="Y391" t="s">
        <v>2286</v>
      </c>
      <c r="Z391" t="s">
        <v>182</v>
      </c>
      <c r="AA391" t="s">
        <v>984</v>
      </c>
      <c r="AB391" t="s">
        <v>984</v>
      </c>
      <c r="AC391" t="s">
        <v>82</v>
      </c>
      <c r="AD391" t="s">
        <v>83</v>
      </c>
      <c r="AE391" t="s">
        <v>66</v>
      </c>
      <c r="AF391" t="s">
        <v>876</v>
      </c>
    </row>
    <row r="392" spans="1:32">
      <c r="A392" t="s">
        <v>2287</v>
      </c>
      <c r="B392" t="s">
        <v>841</v>
      </c>
      <c r="C392" t="s">
        <v>2288</v>
      </c>
      <c r="D392" t="s">
        <v>2288</v>
      </c>
      <c r="E392" t="s">
        <v>109</v>
      </c>
      <c r="F392" t="s">
        <v>110</v>
      </c>
      <c r="G392" t="s">
        <v>111</v>
      </c>
      <c r="H392" t="s">
        <v>66</v>
      </c>
      <c r="I392" t="s">
        <v>66</v>
      </c>
      <c r="J392" t="s">
        <v>67</v>
      </c>
      <c r="K392" t="s">
        <v>71</v>
      </c>
      <c r="L392" t="s">
        <v>72</v>
      </c>
      <c r="M392" t="s">
        <v>73</v>
      </c>
      <c r="N392" t="s">
        <v>66</v>
      </c>
      <c r="O392" t="s">
        <v>73</v>
      </c>
      <c r="P392" t="s">
        <v>66</v>
      </c>
      <c r="Q392" t="s">
        <v>979</v>
      </c>
      <c r="R392" t="s">
        <v>73</v>
      </c>
      <c r="S392" t="s">
        <v>979</v>
      </c>
      <c r="T392" t="s">
        <v>2289</v>
      </c>
      <c r="U392" t="s">
        <v>2290</v>
      </c>
      <c r="V392" t="s">
        <v>982</v>
      </c>
      <c r="W392" t="s">
        <v>66</v>
      </c>
      <c r="X392" t="s">
        <v>78</v>
      </c>
      <c r="Y392" t="s">
        <v>2291</v>
      </c>
      <c r="Z392" t="s">
        <v>182</v>
      </c>
      <c r="AA392" t="s">
        <v>984</v>
      </c>
      <c r="AB392" t="s">
        <v>984</v>
      </c>
      <c r="AC392" t="s">
        <v>82</v>
      </c>
      <c r="AD392" t="s">
        <v>83</v>
      </c>
      <c r="AE392" t="s">
        <v>66</v>
      </c>
      <c r="AF392" t="s">
        <v>876</v>
      </c>
    </row>
    <row r="393" spans="1:32">
      <c r="A393" t="s">
        <v>2292</v>
      </c>
      <c r="B393" t="s">
        <v>162</v>
      </c>
      <c r="C393" t="s">
        <v>2293</v>
      </c>
      <c r="D393" t="s">
        <v>66</v>
      </c>
      <c r="E393" t="s">
        <v>67</v>
      </c>
      <c r="F393" t="s">
        <v>164</v>
      </c>
      <c r="G393" t="s">
        <v>165</v>
      </c>
      <c r="H393" t="s">
        <v>66</v>
      </c>
      <c r="I393" t="s">
        <v>66</v>
      </c>
      <c r="J393" t="s">
        <v>67</v>
      </c>
      <c r="K393" t="s">
        <v>71</v>
      </c>
      <c r="L393" t="s">
        <v>72</v>
      </c>
      <c r="M393" t="s">
        <v>73</v>
      </c>
      <c r="N393" t="s">
        <v>66</v>
      </c>
      <c r="O393" t="s">
        <v>73</v>
      </c>
      <c r="P393" t="s">
        <v>66</v>
      </c>
      <c r="Q393" t="s">
        <v>979</v>
      </c>
      <c r="R393" t="s">
        <v>73</v>
      </c>
      <c r="S393" t="s">
        <v>979</v>
      </c>
      <c r="T393" t="s">
        <v>2294</v>
      </c>
      <c r="U393" t="s">
        <v>2295</v>
      </c>
      <c r="V393" t="s">
        <v>982</v>
      </c>
      <c r="W393" t="s">
        <v>66</v>
      </c>
      <c r="X393" t="s">
        <v>78</v>
      </c>
      <c r="Y393" t="s">
        <v>2296</v>
      </c>
      <c r="Z393" t="s">
        <v>182</v>
      </c>
      <c r="AA393" t="s">
        <v>984</v>
      </c>
      <c r="AB393" t="s">
        <v>984</v>
      </c>
      <c r="AC393" t="s">
        <v>82</v>
      </c>
      <c r="AD393" t="s">
        <v>83</v>
      </c>
      <c r="AE393" t="s">
        <v>66</v>
      </c>
      <c r="AF393" t="s">
        <v>876</v>
      </c>
    </row>
    <row r="394" spans="1:32">
      <c r="A394" t="s">
        <v>2297</v>
      </c>
      <c r="B394" t="s">
        <v>1064</v>
      </c>
      <c r="C394" t="s">
        <v>2298</v>
      </c>
      <c r="D394" t="s">
        <v>66</v>
      </c>
      <c r="E394" t="s">
        <v>67</v>
      </c>
      <c r="F394" t="s">
        <v>110</v>
      </c>
      <c r="G394" t="s">
        <v>111</v>
      </c>
      <c r="H394" t="s">
        <v>66</v>
      </c>
      <c r="I394" t="s">
        <v>66</v>
      </c>
      <c r="J394" t="s">
        <v>67</v>
      </c>
      <c r="K394" t="s">
        <v>71</v>
      </c>
      <c r="L394" t="s">
        <v>72</v>
      </c>
      <c r="M394" t="s">
        <v>73</v>
      </c>
      <c r="N394" t="s">
        <v>66</v>
      </c>
      <c r="O394" t="s">
        <v>73</v>
      </c>
      <c r="P394" t="s">
        <v>66</v>
      </c>
      <c r="Q394" t="s">
        <v>979</v>
      </c>
      <c r="R394" t="s">
        <v>73</v>
      </c>
      <c r="S394" t="s">
        <v>979</v>
      </c>
      <c r="T394" t="s">
        <v>2299</v>
      </c>
      <c r="U394" t="s">
        <v>2300</v>
      </c>
      <c r="V394" t="s">
        <v>982</v>
      </c>
      <c r="W394" t="s">
        <v>66</v>
      </c>
      <c r="X394" t="s">
        <v>78</v>
      </c>
      <c r="Y394" t="s">
        <v>2301</v>
      </c>
      <c r="Z394" t="s">
        <v>182</v>
      </c>
      <c r="AA394" t="s">
        <v>984</v>
      </c>
      <c r="AB394" t="s">
        <v>984</v>
      </c>
      <c r="AC394" t="s">
        <v>82</v>
      </c>
      <c r="AD394" t="s">
        <v>83</v>
      </c>
      <c r="AE394" t="s">
        <v>66</v>
      </c>
      <c r="AF394" t="s">
        <v>876</v>
      </c>
    </row>
    <row r="395" spans="1:32">
      <c r="A395" t="s">
        <v>2302</v>
      </c>
      <c r="B395" t="s">
        <v>162</v>
      </c>
      <c r="C395" t="s">
        <v>2303</v>
      </c>
      <c r="D395" t="s">
        <v>66</v>
      </c>
      <c r="E395" t="s">
        <v>67</v>
      </c>
      <c r="F395" t="s">
        <v>164</v>
      </c>
      <c r="G395" t="s">
        <v>165</v>
      </c>
      <c r="H395" t="s">
        <v>66</v>
      </c>
      <c r="I395" t="s">
        <v>66</v>
      </c>
      <c r="J395" t="s">
        <v>67</v>
      </c>
      <c r="K395" t="s">
        <v>71</v>
      </c>
      <c r="L395" t="s">
        <v>72</v>
      </c>
      <c r="M395" t="s">
        <v>73</v>
      </c>
      <c r="N395" t="s">
        <v>66</v>
      </c>
      <c r="O395" t="s">
        <v>73</v>
      </c>
      <c r="P395" t="s">
        <v>66</v>
      </c>
      <c r="Q395" t="s">
        <v>979</v>
      </c>
      <c r="R395" t="s">
        <v>73</v>
      </c>
      <c r="S395" t="s">
        <v>979</v>
      </c>
      <c r="T395" t="s">
        <v>2304</v>
      </c>
      <c r="U395" t="s">
        <v>2305</v>
      </c>
      <c r="V395" t="s">
        <v>982</v>
      </c>
      <c r="W395" t="s">
        <v>66</v>
      </c>
      <c r="X395" t="s">
        <v>78</v>
      </c>
      <c r="Y395" t="s">
        <v>2306</v>
      </c>
      <c r="Z395" t="s">
        <v>182</v>
      </c>
      <c r="AA395" t="s">
        <v>984</v>
      </c>
      <c r="AB395" t="s">
        <v>984</v>
      </c>
      <c r="AC395" t="s">
        <v>82</v>
      </c>
      <c r="AD395" t="s">
        <v>83</v>
      </c>
      <c r="AE395" t="s">
        <v>66</v>
      </c>
      <c r="AF395" t="s">
        <v>876</v>
      </c>
    </row>
    <row r="396" spans="1:32">
      <c r="A396" t="s">
        <v>2307</v>
      </c>
      <c r="B396" t="s">
        <v>162</v>
      </c>
      <c r="C396" t="s">
        <v>2308</v>
      </c>
      <c r="D396" t="s">
        <v>66</v>
      </c>
      <c r="E396" t="s">
        <v>67</v>
      </c>
      <c r="F396" t="s">
        <v>164</v>
      </c>
      <c r="G396" t="s">
        <v>165</v>
      </c>
      <c r="H396" t="s">
        <v>66</v>
      </c>
      <c r="I396" t="s">
        <v>66</v>
      </c>
      <c r="J396" t="s">
        <v>67</v>
      </c>
      <c r="K396" t="s">
        <v>71</v>
      </c>
      <c r="L396" t="s">
        <v>72</v>
      </c>
      <c r="M396" t="s">
        <v>73</v>
      </c>
      <c r="N396" t="s">
        <v>66</v>
      </c>
      <c r="O396" t="s">
        <v>73</v>
      </c>
      <c r="P396" t="s">
        <v>66</v>
      </c>
      <c r="Q396" t="s">
        <v>979</v>
      </c>
      <c r="R396" t="s">
        <v>73</v>
      </c>
      <c r="S396" t="s">
        <v>979</v>
      </c>
      <c r="T396" t="s">
        <v>2309</v>
      </c>
      <c r="U396" t="s">
        <v>2310</v>
      </c>
      <c r="V396" t="s">
        <v>982</v>
      </c>
      <c r="W396" t="s">
        <v>66</v>
      </c>
      <c r="X396" t="s">
        <v>78</v>
      </c>
      <c r="Y396" t="s">
        <v>2311</v>
      </c>
      <c r="Z396" t="s">
        <v>182</v>
      </c>
      <c r="AA396" t="s">
        <v>984</v>
      </c>
      <c r="AB396" t="s">
        <v>984</v>
      </c>
      <c r="AC396" t="s">
        <v>82</v>
      </c>
      <c r="AD396" t="s">
        <v>83</v>
      </c>
      <c r="AE396" t="s">
        <v>66</v>
      </c>
      <c r="AF396" t="s">
        <v>876</v>
      </c>
    </row>
    <row r="397" spans="1:32">
      <c r="A397" t="s">
        <v>2312</v>
      </c>
      <c r="B397" t="s">
        <v>841</v>
      </c>
      <c r="C397" t="s">
        <v>2313</v>
      </c>
      <c r="D397" t="s">
        <v>2313</v>
      </c>
      <c r="E397" t="s">
        <v>109</v>
      </c>
      <c r="F397" t="s">
        <v>110</v>
      </c>
      <c r="G397" t="s">
        <v>111</v>
      </c>
      <c r="H397" t="s">
        <v>66</v>
      </c>
      <c r="I397" t="s">
        <v>66</v>
      </c>
      <c r="J397" t="s">
        <v>67</v>
      </c>
      <c r="K397" t="s">
        <v>71</v>
      </c>
      <c r="L397" t="s">
        <v>72</v>
      </c>
      <c r="M397" t="s">
        <v>73</v>
      </c>
      <c r="N397" t="s">
        <v>66</v>
      </c>
      <c r="O397" t="s">
        <v>73</v>
      </c>
      <c r="P397" t="s">
        <v>66</v>
      </c>
      <c r="Q397" t="s">
        <v>979</v>
      </c>
      <c r="R397" t="s">
        <v>73</v>
      </c>
      <c r="S397" t="s">
        <v>979</v>
      </c>
      <c r="T397" t="s">
        <v>2314</v>
      </c>
      <c r="U397" t="s">
        <v>2315</v>
      </c>
      <c r="V397" t="s">
        <v>982</v>
      </c>
      <c r="W397" t="s">
        <v>66</v>
      </c>
      <c r="X397" t="s">
        <v>78</v>
      </c>
      <c r="Y397" t="s">
        <v>2316</v>
      </c>
      <c r="Z397" t="s">
        <v>182</v>
      </c>
      <c r="AA397" t="s">
        <v>984</v>
      </c>
      <c r="AB397" t="s">
        <v>984</v>
      </c>
      <c r="AC397" t="s">
        <v>82</v>
      </c>
      <c r="AD397" t="s">
        <v>83</v>
      </c>
      <c r="AE397" t="s">
        <v>66</v>
      </c>
      <c r="AF397" t="s">
        <v>876</v>
      </c>
    </row>
    <row r="398" spans="1:32">
      <c r="A398" t="s">
        <v>2317</v>
      </c>
      <c r="B398" t="s">
        <v>841</v>
      </c>
      <c r="C398" t="s">
        <v>2318</v>
      </c>
      <c r="D398" t="s">
        <v>2318</v>
      </c>
      <c r="E398" t="s">
        <v>109</v>
      </c>
      <c r="F398" t="s">
        <v>110</v>
      </c>
      <c r="G398" t="s">
        <v>111</v>
      </c>
      <c r="H398" t="s">
        <v>66</v>
      </c>
      <c r="I398" t="s">
        <v>66</v>
      </c>
      <c r="J398" t="s">
        <v>67</v>
      </c>
      <c r="K398" t="s">
        <v>71</v>
      </c>
      <c r="L398" t="s">
        <v>72</v>
      </c>
      <c r="M398" t="s">
        <v>73</v>
      </c>
      <c r="N398" t="s">
        <v>66</v>
      </c>
      <c r="O398" t="s">
        <v>73</v>
      </c>
      <c r="P398" t="s">
        <v>66</v>
      </c>
      <c r="Q398" t="s">
        <v>979</v>
      </c>
      <c r="R398" t="s">
        <v>73</v>
      </c>
      <c r="S398" t="s">
        <v>979</v>
      </c>
      <c r="T398" t="s">
        <v>2319</v>
      </c>
      <c r="U398" t="s">
        <v>2320</v>
      </c>
      <c r="V398" t="s">
        <v>982</v>
      </c>
      <c r="W398" t="s">
        <v>66</v>
      </c>
      <c r="X398" t="s">
        <v>78</v>
      </c>
      <c r="Y398" t="s">
        <v>2321</v>
      </c>
      <c r="Z398" t="s">
        <v>182</v>
      </c>
      <c r="AA398" t="s">
        <v>984</v>
      </c>
      <c r="AB398" t="s">
        <v>984</v>
      </c>
      <c r="AC398" t="s">
        <v>82</v>
      </c>
      <c r="AD398" t="s">
        <v>83</v>
      </c>
      <c r="AE398" t="s">
        <v>66</v>
      </c>
      <c r="AF398" t="s">
        <v>876</v>
      </c>
    </row>
    <row r="399" spans="1:32">
      <c r="A399" t="s">
        <v>2322</v>
      </c>
      <c r="B399" t="s">
        <v>1101</v>
      </c>
      <c r="C399" t="s">
        <v>2323</v>
      </c>
      <c r="D399" t="s">
        <v>66</v>
      </c>
      <c r="E399" t="s">
        <v>67</v>
      </c>
      <c r="F399" t="s">
        <v>110</v>
      </c>
      <c r="G399" t="s">
        <v>111</v>
      </c>
      <c r="H399" t="s">
        <v>66</v>
      </c>
      <c r="I399" t="s">
        <v>66</v>
      </c>
      <c r="J399" t="s">
        <v>67</v>
      </c>
      <c r="K399" t="s">
        <v>71</v>
      </c>
      <c r="L399" t="s">
        <v>72</v>
      </c>
      <c r="M399" t="s">
        <v>73</v>
      </c>
      <c r="N399" t="s">
        <v>66</v>
      </c>
      <c r="O399" t="s">
        <v>73</v>
      </c>
      <c r="P399" t="s">
        <v>66</v>
      </c>
      <c r="Q399" t="s">
        <v>979</v>
      </c>
      <c r="R399" t="s">
        <v>73</v>
      </c>
      <c r="S399" t="s">
        <v>979</v>
      </c>
      <c r="T399" t="s">
        <v>2324</v>
      </c>
      <c r="U399" t="s">
        <v>2325</v>
      </c>
      <c r="V399" t="s">
        <v>982</v>
      </c>
      <c r="W399" t="s">
        <v>66</v>
      </c>
      <c r="X399" t="s">
        <v>78</v>
      </c>
      <c r="Y399" t="s">
        <v>2326</v>
      </c>
      <c r="Z399" t="s">
        <v>182</v>
      </c>
      <c r="AA399" t="s">
        <v>984</v>
      </c>
      <c r="AB399" t="s">
        <v>984</v>
      </c>
      <c r="AC399" t="s">
        <v>82</v>
      </c>
      <c r="AD399" t="s">
        <v>83</v>
      </c>
      <c r="AE399" t="s">
        <v>66</v>
      </c>
      <c r="AF399" t="s">
        <v>876</v>
      </c>
    </row>
    <row r="400" spans="1:32">
      <c r="A400" t="s">
        <v>2327</v>
      </c>
      <c r="B400" t="s">
        <v>162</v>
      </c>
      <c r="C400" t="s">
        <v>2328</v>
      </c>
      <c r="D400" t="s">
        <v>66</v>
      </c>
      <c r="E400" t="s">
        <v>67</v>
      </c>
      <c r="F400" t="s">
        <v>164</v>
      </c>
      <c r="G400" t="s">
        <v>165</v>
      </c>
      <c r="H400" t="s">
        <v>66</v>
      </c>
      <c r="I400" t="s">
        <v>66</v>
      </c>
      <c r="J400" t="s">
        <v>67</v>
      </c>
      <c r="K400" t="s">
        <v>71</v>
      </c>
      <c r="L400" t="s">
        <v>72</v>
      </c>
      <c r="M400" t="s">
        <v>73</v>
      </c>
      <c r="N400" t="s">
        <v>66</v>
      </c>
      <c r="O400" t="s">
        <v>73</v>
      </c>
      <c r="P400" t="s">
        <v>66</v>
      </c>
      <c r="Q400" t="s">
        <v>979</v>
      </c>
      <c r="R400" t="s">
        <v>73</v>
      </c>
      <c r="S400" t="s">
        <v>979</v>
      </c>
      <c r="T400" t="s">
        <v>2329</v>
      </c>
      <c r="U400" t="s">
        <v>2330</v>
      </c>
      <c r="V400" t="s">
        <v>982</v>
      </c>
      <c r="W400" t="s">
        <v>66</v>
      </c>
      <c r="X400" t="s">
        <v>78</v>
      </c>
      <c r="Y400" t="s">
        <v>2331</v>
      </c>
      <c r="Z400" t="s">
        <v>182</v>
      </c>
      <c r="AA400" t="s">
        <v>984</v>
      </c>
      <c r="AB400" t="s">
        <v>984</v>
      </c>
      <c r="AC400" t="s">
        <v>82</v>
      </c>
      <c r="AD400" t="s">
        <v>83</v>
      </c>
      <c r="AE400" t="s">
        <v>66</v>
      </c>
      <c r="AF400" t="s">
        <v>876</v>
      </c>
    </row>
    <row r="401" spans="1:32">
      <c r="A401" t="s">
        <v>2332</v>
      </c>
      <c r="B401" t="s">
        <v>1064</v>
      </c>
      <c r="C401" t="s">
        <v>2333</v>
      </c>
      <c r="D401" t="s">
        <v>66</v>
      </c>
      <c r="E401" t="s">
        <v>67</v>
      </c>
      <c r="F401" t="s">
        <v>110</v>
      </c>
      <c r="G401" t="s">
        <v>111</v>
      </c>
      <c r="H401" t="s">
        <v>66</v>
      </c>
      <c r="I401" t="s">
        <v>66</v>
      </c>
      <c r="J401" t="s">
        <v>67</v>
      </c>
      <c r="K401" t="s">
        <v>71</v>
      </c>
      <c r="L401" t="s">
        <v>72</v>
      </c>
      <c r="M401" t="s">
        <v>73</v>
      </c>
      <c r="N401" t="s">
        <v>66</v>
      </c>
      <c r="O401" t="s">
        <v>73</v>
      </c>
      <c r="P401" t="s">
        <v>66</v>
      </c>
      <c r="Q401" t="s">
        <v>979</v>
      </c>
      <c r="R401" t="s">
        <v>73</v>
      </c>
      <c r="S401" t="s">
        <v>979</v>
      </c>
      <c r="T401" t="s">
        <v>2334</v>
      </c>
      <c r="U401" t="s">
        <v>2335</v>
      </c>
      <c r="V401" t="s">
        <v>982</v>
      </c>
      <c r="W401" t="s">
        <v>66</v>
      </c>
      <c r="X401" t="s">
        <v>78</v>
      </c>
      <c r="Y401" t="s">
        <v>2336</v>
      </c>
      <c r="Z401" t="s">
        <v>182</v>
      </c>
      <c r="AA401" t="s">
        <v>984</v>
      </c>
      <c r="AB401" t="s">
        <v>984</v>
      </c>
      <c r="AC401" t="s">
        <v>82</v>
      </c>
      <c r="AD401" t="s">
        <v>83</v>
      </c>
      <c r="AE401" t="s">
        <v>66</v>
      </c>
      <c r="AF401" t="s">
        <v>876</v>
      </c>
    </row>
    <row r="402" spans="1:32">
      <c r="A402" t="s">
        <v>2337</v>
      </c>
      <c r="B402" t="s">
        <v>1064</v>
      </c>
      <c r="C402" t="s">
        <v>2338</v>
      </c>
      <c r="D402" t="s">
        <v>66</v>
      </c>
      <c r="E402" t="s">
        <v>67</v>
      </c>
      <c r="F402" t="s">
        <v>110</v>
      </c>
      <c r="G402" t="s">
        <v>111</v>
      </c>
      <c r="H402" t="s">
        <v>66</v>
      </c>
      <c r="I402" t="s">
        <v>66</v>
      </c>
      <c r="J402" t="s">
        <v>67</v>
      </c>
      <c r="K402" t="s">
        <v>71</v>
      </c>
      <c r="L402" t="s">
        <v>72</v>
      </c>
      <c r="M402" t="s">
        <v>73</v>
      </c>
      <c r="N402" t="s">
        <v>66</v>
      </c>
      <c r="O402" t="s">
        <v>73</v>
      </c>
      <c r="P402" t="s">
        <v>66</v>
      </c>
      <c r="Q402" t="s">
        <v>979</v>
      </c>
      <c r="R402" t="s">
        <v>73</v>
      </c>
      <c r="S402" t="s">
        <v>979</v>
      </c>
      <c r="T402" t="s">
        <v>2339</v>
      </c>
      <c r="U402" t="s">
        <v>2340</v>
      </c>
      <c r="V402" t="s">
        <v>982</v>
      </c>
      <c r="W402" t="s">
        <v>66</v>
      </c>
      <c r="X402" t="s">
        <v>78</v>
      </c>
      <c r="Y402" t="s">
        <v>2341</v>
      </c>
      <c r="Z402" t="s">
        <v>182</v>
      </c>
      <c r="AA402" t="s">
        <v>984</v>
      </c>
      <c r="AB402" t="s">
        <v>984</v>
      </c>
      <c r="AC402" t="s">
        <v>82</v>
      </c>
      <c r="AD402" t="s">
        <v>83</v>
      </c>
      <c r="AE402" t="s">
        <v>66</v>
      </c>
      <c r="AF402" t="s">
        <v>876</v>
      </c>
    </row>
    <row r="403" spans="1:32">
      <c r="A403" t="s">
        <v>2342</v>
      </c>
      <c r="B403" t="s">
        <v>841</v>
      </c>
      <c r="C403" t="s">
        <v>2343</v>
      </c>
      <c r="D403" t="s">
        <v>2343</v>
      </c>
      <c r="E403" t="s">
        <v>109</v>
      </c>
      <c r="F403" t="s">
        <v>110</v>
      </c>
      <c r="G403" t="s">
        <v>111</v>
      </c>
      <c r="H403" t="s">
        <v>66</v>
      </c>
      <c r="I403" t="s">
        <v>66</v>
      </c>
      <c r="J403" t="s">
        <v>67</v>
      </c>
      <c r="K403" t="s">
        <v>71</v>
      </c>
      <c r="L403" t="s">
        <v>72</v>
      </c>
      <c r="M403" t="s">
        <v>73</v>
      </c>
      <c r="N403" t="s">
        <v>66</v>
      </c>
      <c r="O403" t="s">
        <v>73</v>
      </c>
      <c r="P403" t="s">
        <v>66</v>
      </c>
      <c r="Q403" t="s">
        <v>979</v>
      </c>
      <c r="R403" t="s">
        <v>73</v>
      </c>
      <c r="S403" t="s">
        <v>979</v>
      </c>
      <c r="T403" t="s">
        <v>2344</v>
      </c>
      <c r="U403" t="s">
        <v>2345</v>
      </c>
      <c r="V403" t="s">
        <v>982</v>
      </c>
      <c r="W403" t="s">
        <v>66</v>
      </c>
      <c r="X403" t="s">
        <v>78</v>
      </c>
      <c r="Y403" t="s">
        <v>2346</v>
      </c>
      <c r="Z403" t="s">
        <v>182</v>
      </c>
      <c r="AA403" t="s">
        <v>984</v>
      </c>
      <c r="AB403" t="s">
        <v>984</v>
      </c>
      <c r="AC403" t="s">
        <v>82</v>
      </c>
      <c r="AD403" t="s">
        <v>83</v>
      </c>
      <c r="AE403" t="s">
        <v>66</v>
      </c>
      <c r="AF403" t="s">
        <v>876</v>
      </c>
    </row>
    <row r="404" spans="1:32">
      <c r="A404" t="s">
        <v>2347</v>
      </c>
      <c r="B404" t="s">
        <v>841</v>
      </c>
      <c r="C404" t="s">
        <v>2348</v>
      </c>
      <c r="D404" t="s">
        <v>2348</v>
      </c>
      <c r="E404" t="s">
        <v>109</v>
      </c>
      <c r="F404" t="s">
        <v>110</v>
      </c>
      <c r="G404" t="s">
        <v>111</v>
      </c>
      <c r="H404" t="s">
        <v>66</v>
      </c>
      <c r="I404" t="s">
        <v>66</v>
      </c>
      <c r="J404" t="s">
        <v>67</v>
      </c>
      <c r="K404" t="s">
        <v>71</v>
      </c>
      <c r="L404" t="s">
        <v>72</v>
      </c>
      <c r="M404" t="s">
        <v>73</v>
      </c>
      <c r="N404" t="s">
        <v>66</v>
      </c>
      <c r="O404" t="s">
        <v>73</v>
      </c>
      <c r="P404" t="s">
        <v>66</v>
      </c>
      <c r="Q404" t="s">
        <v>979</v>
      </c>
      <c r="R404" t="s">
        <v>73</v>
      </c>
      <c r="S404" t="s">
        <v>979</v>
      </c>
      <c r="T404" t="s">
        <v>2349</v>
      </c>
      <c r="U404" t="s">
        <v>2350</v>
      </c>
      <c r="V404" t="s">
        <v>982</v>
      </c>
      <c r="W404" t="s">
        <v>66</v>
      </c>
      <c r="X404" t="s">
        <v>78</v>
      </c>
      <c r="Y404" t="s">
        <v>2351</v>
      </c>
      <c r="Z404" t="s">
        <v>182</v>
      </c>
      <c r="AA404" t="s">
        <v>984</v>
      </c>
      <c r="AB404" t="s">
        <v>984</v>
      </c>
      <c r="AC404" t="s">
        <v>82</v>
      </c>
      <c r="AD404" t="s">
        <v>83</v>
      </c>
      <c r="AE404" t="s">
        <v>66</v>
      </c>
      <c r="AF404" t="s">
        <v>876</v>
      </c>
    </row>
    <row r="405" spans="1:32">
      <c r="A405" t="s">
        <v>2352</v>
      </c>
      <c r="B405" t="s">
        <v>308</v>
      </c>
      <c r="C405" t="s">
        <v>2353</v>
      </c>
      <c r="D405" t="s">
        <v>2353</v>
      </c>
      <c r="E405" t="s">
        <v>109</v>
      </c>
      <c r="F405" t="s">
        <v>110</v>
      </c>
      <c r="G405" t="s">
        <v>111</v>
      </c>
      <c r="H405" t="s">
        <v>66</v>
      </c>
      <c r="I405" t="s">
        <v>66</v>
      </c>
      <c r="J405" t="s">
        <v>67</v>
      </c>
      <c r="K405" t="s">
        <v>71</v>
      </c>
      <c r="L405" t="s">
        <v>72</v>
      </c>
      <c r="M405" t="s">
        <v>73</v>
      </c>
      <c r="N405" t="s">
        <v>66</v>
      </c>
      <c r="O405" t="s">
        <v>73</v>
      </c>
      <c r="P405" t="s">
        <v>66</v>
      </c>
      <c r="Q405" t="s">
        <v>979</v>
      </c>
      <c r="R405" t="s">
        <v>73</v>
      </c>
      <c r="S405" t="s">
        <v>979</v>
      </c>
      <c r="T405" t="s">
        <v>2354</v>
      </c>
      <c r="U405" t="s">
        <v>2355</v>
      </c>
      <c r="V405" t="s">
        <v>982</v>
      </c>
      <c r="W405" t="s">
        <v>66</v>
      </c>
      <c r="X405" t="s">
        <v>78</v>
      </c>
      <c r="Y405" t="s">
        <v>2356</v>
      </c>
      <c r="Z405" t="s">
        <v>182</v>
      </c>
      <c r="AA405" t="s">
        <v>984</v>
      </c>
      <c r="AB405" t="s">
        <v>984</v>
      </c>
      <c r="AC405" t="s">
        <v>82</v>
      </c>
      <c r="AD405" t="s">
        <v>83</v>
      </c>
      <c r="AE405" t="s">
        <v>66</v>
      </c>
      <c r="AF405" t="s">
        <v>876</v>
      </c>
    </row>
    <row r="406" spans="1:32">
      <c r="A406" t="s">
        <v>2357</v>
      </c>
      <c r="B406" t="s">
        <v>107</v>
      </c>
      <c r="C406" t="s">
        <v>2358</v>
      </c>
      <c r="D406" t="s">
        <v>2358</v>
      </c>
      <c r="E406" t="s">
        <v>109</v>
      </c>
      <c r="F406" t="s">
        <v>110</v>
      </c>
      <c r="G406" t="s">
        <v>111</v>
      </c>
      <c r="H406" t="s">
        <v>66</v>
      </c>
      <c r="I406" t="s">
        <v>66</v>
      </c>
      <c r="J406" t="s">
        <v>67</v>
      </c>
      <c r="K406" t="s">
        <v>71</v>
      </c>
      <c r="L406" t="s">
        <v>72</v>
      </c>
      <c r="M406" t="s">
        <v>73</v>
      </c>
      <c r="N406" t="s">
        <v>66</v>
      </c>
      <c r="O406" t="s">
        <v>73</v>
      </c>
      <c r="P406" t="s">
        <v>66</v>
      </c>
      <c r="Q406" t="s">
        <v>979</v>
      </c>
      <c r="R406" t="s">
        <v>73</v>
      </c>
      <c r="S406" t="s">
        <v>979</v>
      </c>
      <c r="T406" t="s">
        <v>2359</v>
      </c>
      <c r="U406" t="s">
        <v>2360</v>
      </c>
      <c r="V406" t="s">
        <v>982</v>
      </c>
      <c r="W406" t="s">
        <v>66</v>
      </c>
      <c r="X406" t="s">
        <v>78</v>
      </c>
      <c r="Y406" t="s">
        <v>2361</v>
      </c>
      <c r="Z406" t="s">
        <v>182</v>
      </c>
      <c r="AA406" t="s">
        <v>984</v>
      </c>
      <c r="AB406" t="s">
        <v>984</v>
      </c>
      <c r="AC406" t="s">
        <v>82</v>
      </c>
      <c r="AD406" t="s">
        <v>83</v>
      </c>
      <c r="AE406" t="s">
        <v>66</v>
      </c>
      <c r="AF406" t="s">
        <v>876</v>
      </c>
    </row>
    <row r="407" spans="1:32">
      <c r="A407" t="s">
        <v>2362</v>
      </c>
      <c r="B407" t="s">
        <v>2363</v>
      </c>
      <c r="C407" t="s">
        <v>2364</v>
      </c>
      <c r="D407" t="s">
        <v>2364</v>
      </c>
      <c r="E407" t="s">
        <v>109</v>
      </c>
      <c r="F407" t="s">
        <v>68</v>
      </c>
      <c r="G407" t="s">
        <v>69</v>
      </c>
      <c r="H407" t="s">
        <v>66</v>
      </c>
      <c r="I407" t="s">
        <v>66</v>
      </c>
      <c r="J407" t="s">
        <v>67</v>
      </c>
      <c r="K407" t="s">
        <v>71</v>
      </c>
      <c r="L407" t="s">
        <v>72</v>
      </c>
      <c r="M407" t="s">
        <v>73</v>
      </c>
      <c r="N407" t="s">
        <v>66</v>
      </c>
      <c r="O407" t="s">
        <v>73</v>
      </c>
      <c r="P407" t="s">
        <v>66</v>
      </c>
      <c r="Q407" t="s">
        <v>979</v>
      </c>
      <c r="R407" t="s">
        <v>73</v>
      </c>
      <c r="S407" t="s">
        <v>979</v>
      </c>
      <c r="T407" t="s">
        <v>2365</v>
      </c>
      <c r="U407" t="s">
        <v>2366</v>
      </c>
      <c r="V407" t="s">
        <v>982</v>
      </c>
      <c r="W407" t="s">
        <v>66</v>
      </c>
      <c r="X407" t="s">
        <v>78</v>
      </c>
      <c r="Y407" t="s">
        <v>2367</v>
      </c>
      <c r="Z407" t="s">
        <v>182</v>
      </c>
      <c r="AA407" t="s">
        <v>984</v>
      </c>
      <c r="AB407" t="s">
        <v>984</v>
      </c>
      <c r="AC407" t="s">
        <v>82</v>
      </c>
      <c r="AD407" t="s">
        <v>83</v>
      </c>
      <c r="AE407" t="s">
        <v>66</v>
      </c>
      <c r="AF407" t="s">
        <v>876</v>
      </c>
    </row>
    <row r="408" spans="1:32">
      <c r="A408" t="s">
        <v>2368</v>
      </c>
      <c r="B408" t="s">
        <v>162</v>
      </c>
      <c r="C408" t="s">
        <v>2369</v>
      </c>
      <c r="D408" t="s">
        <v>66</v>
      </c>
      <c r="E408" t="s">
        <v>67</v>
      </c>
      <c r="F408" t="s">
        <v>164</v>
      </c>
      <c r="G408" t="s">
        <v>165</v>
      </c>
      <c r="H408" t="s">
        <v>66</v>
      </c>
      <c r="I408" t="s">
        <v>66</v>
      </c>
      <c r="J408" t="s">
        <v>67</v>
      </c>
      <c r="K408" t="s">
        <v>71</v>
      </c>
      <c r="L408" t="s">
        <v>72</v>
      </c>
      <c r="M408" t="s">
        <v>73</v>
      </c>
      <c r="N408" t="s">
        <v>66</v>
      </c>
      <c r="O408" t="s">
        <v>73</v>
      </c>
      <c r="P408" t="s">
        <v>66</v>
      </c>
      <c r="Q408" t="s">
        <v>979</v>
      </c>
      <c r="R408" t="s">
        <v>73</v>
      </c>
      <c r="S408" t="s">
        <v>979</v>
      </c>
      <c r="T408" t="s">
        <v>2370</v>
      </c>
      <c r="U408" t="s">
        <v>2371</v>
      </c>
      <c r="V408" t="s">
        <v>982</v>
      </c>
      <c r="W408" t="s">
        <v>66</v>
      </c>
      <c r="X408" t="s">
        <v>78</v>
      </c>
      <c r="Y408" t="s">
        <v>2372</v>
      </c>
      <c r="Z408" t="s">
        <v>182</v>
      </c>
      <c r="AA408" t="s">
        <v>984</v>
      </c>
      <c r="AB408" t="s">
        <v>984</v>
      </c>
      <c r="AC408" t="s">
        <v>82</v>
      </c>
      <c r="AD408" t="s">
        <v>83</v>
      </c>
      <c r="AE408" t="s">
        <v>66</v>
      </c>
      <c r="AF408" t="s">
        <v>876</v>
      </c>
    </row>
    <row r="409" spans="1:32">
      <c r="A409" t="s">
        <v>2373</v>
      </c>
      <c r="B409" t="s">
        <v>1004</v>
      </c>
      <c r="C409" t="s">
        <v>2374</v>
      </c>
      <c r="D409" t="s">
        <v>66</v>
      </c>
      <c r="E409" t="s">
        <v>67</v>
      </c>
      <c r="F409" t="s">
        <v>68</v>
      </c>
      <c r="G409" t="s">
        <v>69</v>
      </c>
      <c r="H409" t="s">
        <v>66</v>
      </c>
      <c r="I409" t="s">
        <v>66</v>
      </c>
      <c r="J409" t="s">
        <v>67</v>
      </c>
      <c r="K409" t="s">
        <v>71</v>
      </c>
      <c r="L409" t="s">
        <v>72</v>
      </c>
      <c r="M409" t="s">
        <v>73</v>
      </c>
      <c r="N409" t="s">
        <v>66</v>
      </c>
      <c r="O409" t="s">
        <v>73</v>
      </c>
      <c r="P409" t="s">
        <v>66</v>
      </c>
      <c r="Q409" t="s">
        <v>979</v>
      </c>
      <c r="R409" t="s">
        <v>73</v>
      </c>
      <c r="S409" t="s">
        <v>979</v>
      </c>
      <c r="T409" t="s">
        <v>2375</v>
      </c>
      <c r="U409" t="s">
        <v>2376</v>
      </c>
      <c r="V409" t="s">
        <v>982</v>
      </c>
      <c r="W409" t="s">
        <v>66</v>
      </c>
      <c r="X409" t="s">
        <v>78</v>
      </c>
      <c r="Y409" t="s">
        <v>2377</v>
      </c>
      <c r="Z409" t="s">
        <v>182</v>
      </c>
      <c r="AA409" t="s">
        <v>984</v>
      </c>
      <c r="AB409" t="s">
        <v>984</v>
      </c>
      <c r="AC409" t="s">
        <v>82</v>
      </c>
      <c r="AD409" t="s">
        <v>83</v>
      </c>
      <c r="AE409" t="s">
        <v>66</v>
      </c>
      <c r="AF409" t="s">
        <v>876</v>
      </c>
    </row>
    <row r="410" spans="1:32">
      <c r="A410" t="s">
        <v>2378</v>
      </c>
      <c r="B410" t="s">
        <v>107</v>
      </c>
      <c r="C410" t="s">
        <v>2379</v>
      </c>
      <c r="D410" t="s">
        <v>2379</v>
      </c>
      <c r="E410" t="s">
        <v>109</v>
      </c>
      <c r="F410" t="s">
        <v>110</v>
      </c>
      <c r="G410" t="s">
        <v>111</v>
      </c>
      <c r="H410" t="s">
        <v>66</v>
      </c>
      <c r="I410" t="s">
        <v>66</v>
      </c>
      <c r="J410" t="s">
        <v>67</v>
      </c>
      <c r="K410" t="s">
        <v>71</v>
      </c>
      <c r="L410" t="s">
        <v>72</v>
      </c>
      <c r="M410" t="s">
        <v>73</v>
      </c>
      <c r="N410" t="s">
        <v>66</v>
      </c>
      <c r="O410" t="s">
        <v>73</v>
      </c>
      <c r="P410" t="s">
        <v>66</v>
      </c>
      <c r="Q410" t="s">
        <v>979</v>
      </c>
      <c r="R410" t="s">
        <v>73</v>
      </c>
      <c r="S410" t="s">
        <v>979</v>
      </c>
      <c r="T410" t="s">
        <v>2380</v>
      </c>
      <c r="U410" t="s">
        <v>2381</v>
      </c>
      <c r="V410" t="s">
        <v>982</v>
      </c>
      <c r="W410" t="s">
        <v>66</v>
      </c>
      <c r="X410" t="s">
        <v>78</v>
      </c>
      <c r="Y410" t="s">
        <v>2382</v>
      </c>
      <c r="Z410" t="s">
        <v>182</v>
      </c>
      <c r="AA410" t="s">
        <v>984</v>
      </c>
      <c r="AB410" t="s">
        <v>984</v>
      </c>
      <c r="AC410" t="s">
        <v>82</v>
      </c>
      <c r="AD410" t="s">
        <v>83</v>
      </c>
      <c r="AE410" t="s">
        <v>66</v>
      </c>
      <c r="AF410" t="s">
        <v>876</v>
      </c>
    </row>
    <row r="411" spans="1:32">
      <c r="A411" t="s">
        <v>2383</v>
      </c>
      <c r="B411" t="s">
        <v>308</v>
      </c>
      <c r="C411" t="s">
        <v>2384</v>
      </c>
      <c r="D411" t="s">
        <v>2384</v>
      </c>
      <c r="E411" t="s">
        <v>109</v>
      </c>
      <c r="F411" t="s">
        <v>110</v>
      </c>
      <c r="G411" t="s">
        <v>111</v>
      </c>
      <c r="H411" t="s">
        <v>66</v>
      </c>
      <c r="I411" t="s">
        <v>66</v>
      </c>
      <c r="J411" t="s">
        <v>67</v>
      </c>
      <c r="K411" t="s">
        <v>71</v>
      </c>
      <c r="L411" t="s">
        <v>72</v>
      </c>
      <c r="M411" t="s">
        <v>73</v>
      </c>
      <c r="N411" t="s">
        <v>66</v>
      </c>
      <c r="O411" t="s">
        <v>73</v>
      </c>
      <c r="P411" t="s">
        <v>66</v>
      </c>
      <c r="Q411" t="s">
        <v>979</v>
      </c>
      <c r="R411" t="s">
        <v>73</v>
      </c>
      <c r="S411" t="s">
        <v>979</v>
      </c>
      <c r="T411" t="s">
        <v>2385</v>
      </c>
      <c r="U411" t="s">
        <v>2386</v>
      </c>
      <c r="V411" t="s">
        <v>982</v>
      </c>
      <c r="W411" t="s">
        <v>66</v>
      </c>
      <c r="X411" t="s">
        <v>78</v>
      </c>
      <c r="Y411" t="s">
        <v>2387</v>
      </c>
      <c r="Z411" t="s">
        <v>182</v>
      </c>
      <c r="AA411" t="s">
        <v>984</v>
      </c>
      <c r="AB411" t="s">
        <v>984</v>
      </c>
      <c r="AC411" t="s">
        <v>82</v>
      </c>
      <c r="AD411" t="s">
        <v>83</v>
      </c>
      <c r="AE411" t="s">
        <v>66</v>
      </c>
      <c r="AF411" t="s">
        <v>876</v>
      </c>
    </row>
    <row r="412" spans="1:32">
      <c r="A412" t="s">
        <v>2388</v>
      </c>
      <c r="B412" t="s">
        <v>2389</v>
      </c>
      <c r="C412" t="s">
        <v>2390</v>
      </c>
      <c r="D412" t="s">
        <v>66</v>
      </c>
      <c r="E412" t="s">
        <v>67</v>
      </c>
      <c r="F412" t="s">
        <v>68</v>
      </c>
      <c r="G412" t="s">
        <v>69</v>
      </c>
      <c r="H412" t="s">
        <v>66</v>
      </c>
      <c r="I412" t="s">
        <v>66</v>
      </c>
      <c r="J412" t="s">
        <v>67</v>
      </c>
      <c r="K412" t="s">
        <v>71</v>
      </c>
      <c r="L412" t="s">
        <v>72</v>
      </c>
      <c r="M412" t="s">
        <v>73</v>
      </c>
      <c r="N412" t="s">
        <v>66</v>
      </c>
      <c r="O412" t="s">
        <v>73</v>
      </c>
      <c r="P412" t="s">
        <v>66</v>
      </c>
      <c r="Q412" t="s">
        <v>979</v>
      </c>
      <c r="R412" t="s">
        <v>73</v>
      </c>
      <c r="S412" t="s">
        <v>979</v>
      </c>
      <c r="T412" t="s">
        <v>2391</v>
      </c>
      <c r="U412" t="s">
        <v>2392</v>
      </c>
      <c r="V412" t="s">
        <v>982</v>
      </c>
      <c r="W412" t="s">
        <v>66</v>
      </c>
      <c r="X412" t="s">
        <v>78</v>
      </c>
      <c r="Y412" t="s">
        <v>2393</v>
      </c>
      <c r="Z412" t="s">
        <v>182</v>
      </c>
      <c r="AA412" t="s">
        <v>984</v>
      </c>
      <c r="AB412" t="s">
        <v>984</v>
      </c>
      <c r="AC412" t="s">
        <v>82</v>
      </c>
      <c r="AD412" t="s">
        <v>83</v>
      </c>
      <c r="AE412" t="s">
        <v>66</v>
      </c>
      <c r="AF412" t="s">
        <v>876</v>
      </c>
    </row>
    <row r="413" spans="1:32">
      <c r="A413" t="s">
        <v>2394</v>
      </c>
      <c r="B413" t="s">
        <v>86</v>
      </c>
      <c r="C413" t="s">
        <v>2395</v>
      </c>
      <c r="D413" t="s">
        <v>66</v>
      </c>
      <c r="E413" t="s">
        <v>67</v>
      </c>
      <c r="F413" t="s">
        <v>68</v>
      </c>
      <c r="G413" t="s">
        <v>69</v>
      </c>
      <c r="H413" t="s">
        <v>66</v>
      </c>
      <c r="I413" t="s">
        <v>66</v>
      </c>
      <c r="J413" t="s">
        <v>67</v>
      </c>
      <c r="K413" t="s">
        <v>71</v>
      </c>
      <c r="L413" t="s">
        <v>72</v>
      </c>
      <c r="M413" t="s">
        <v>73</v>
      </c>
      <c r="N413" t="s">
        <v>66</v>
      </c>
      <c r="O413" t="s">
        <v>73</v>
      </c>
      <c r="P413" t="s">
        <v>66</v>
      </c>
      <c r="Q413" t="s">
        <v>979</v>
      </c>
      <c r="R413" t="s">
        <v>73</v>
      </c>
      <c r="S413" t="s">
        <v>979</v>
      </c>
      <c r="T413" t="s">
        <v>2396</v>
      </c>
      <c r="U413" t="s">
        <v>2397</v>
      </c>
      <c r="V413" t="s">
        <v>982</v>
      </c>
      <c r="W413" t="s">
        <v>66</v>
      </c>
      <c r="X413" t="s">
        <v>78</v>
      </c>
      <c r="Y413" t="s">
        <v>2398</v>
      </c>
      <c r="Z413" t="s">
        <v>182</v>
      </c>
      <c r="AA413" t="s">
        <v>984</v>
      </c>
      <c r="AB413" t="s">
        <v>984</v>
      </c>
      <c r="AC413" t="s">
        <v>82</v>
      </c>
      <c r="AD413" t="s">
        <v>83</v>
      </c>
      <c r="AE413" t="s">
        <v>66</v>
      </c>
      <c r="AF413" t="s">
        <v>876</v>
      </c>
    </row>
    <row r="414" spans="1:32">
      <c r="A414" t="s">
        <v>2399</v>
      </c>
      <c r="B414" t="s">
        <v>1004</v>
      </c>
      <c r="C414" t="s">
        <v>2400</v>
      </c>
      <c r="D414" t="s">
        <v>66</v>
      </c>
      <c r="E414" t="s">
        <v>67</v>
      </c>
      <c r="F414" t="s">
        <v>68</v>
      </c>
      <c r="G414" t="s">
        <v>69</v>
      </c>
      <c r="H414" t="s">
        <v>66</v>
      </c>
      <c r="I414" t="s">
        <v>66</v>
      </c>
      <c r="J414" t="s">
        <v>67</v>
      </c>
      <c r="K414" t="s">
        <v>71</v>
      </c>
      <c r="L414" t="s">
        <v>72</v>
      </c>
      <c r="M414" t="s">
        <v>73</v>
      </c>
      <c r="N414" t="s">
        <v>66</v>
      </c>
      <c r="O414" t="s">
        <v>73</v>
      </c>
      <c r="P414" t="s">
        <v>66</v>
      </c>
      <c r="Q414" t="s">
        <v>979</v>
      </c>
      <c r="R414" t="s">
        <v>73</v>
      </c>
      <c r="S414" t="s">
        <v>979</v>
      </c>
      <c r="T414" t="s">
        <v>2401</v>
      </c>
      <c r="U414" t="s">
        <v>2402</v>
      </c>
      <c r="V414" t="s">
        <v>982</v>
      </c>
      <c r="W414" t="s">
        <v>66</v>
      </c>
      <c r="X414" t="s">
        <v>78</v>
      </c>
      <c r="Y414" t="s">
        <v>2403</v>
      </c>
      <c r="Z414" t="s">
        <v>182</v>
      </c>
      <c r="AA414" t="s">
        <v>984</v>
      </c>
      <c r="AB414" t="s">
        <v>984</v>
      </c>
      <c r="AC414" t="s">
        <v>82</v>
      </c>
      <c r="AD414" t="s">
        <v>83</v>
      </c>
      <c r="AE414" t="s">
        <v>66</v>
      </c>
      <c r="AF414" t="s">
        <v>876</v>
      </c>
    </row>
    <row r="415" spans="1:32">
      <c r="A415" t="s">
        <v>2404</v>
      </c>
      <c r="B415" t="s">
        <v>841</v>
      </c>
      <c r="C415" t="s">
        <v>2405</v>
      </c>
      <c r="D415" t="s">
        <v>2405</v>
      </c>
      <c r="E415" t="s">
        <v>109</v>
      </c>
      <c r="F415" t="s">
        <v>110</v>
      </c>
      <c r="G415" t="s">
        <v>111</v>
      </c>
      <c r="H415" t="s">
        <v>66</v>
      </c>
      <c r="I415" t="s">
        <v>66</v>
      </c>
      <c r="J415" t="s">
        <v>67</v>
      </c>
      <c r="K415" t="s">
        <v>71</v>
      </c>
      <c r="L415" t="s">
        <v>72</v>
      </c>
      <c r="M415" t="s">
        <v>73</v>
      </c>
      <c r="N415" t="s">
        <v>66</v>
      </c>
      <c r="O415" t="s">
        <v>73</v>
      </c>
      <c r="P415" t="s">
        <v>66</v>
      </c>
      <c r="Q415" t="s">
        <v>979</v>
      </c>
      <c r="R415" t="s">
        <v>73</v>
      </c>
      <c r="S415" t="s">
        <v>979</v>
      </c>
      <c r="T415" t="s">
        <v>2406</v>
      </c>
      <c r="U415" t="s">
        <v>2407</v>
      </c>
      <c r="V415" t="s">
        <v>982</v>
      </c>
      <c r="W415" t="s">
        <v>66</v>
      </c>
      <c r="X415" t="s">
        <v>78</v>
      </c>
      <c r="Y415" t="s">
        <v>2408</v>
      </c>
      <c r="Z415" t="s">
        <v>182</v>
      </c>
      <c r="AA415" t="s">
        <v>984</v>
      </c>
      <c r="AB415" t="s">
        <v>984</v>
      </c>
      <c r="AC415" t="s">
        <v>82</v>
      </c>
      <c r="AD415" t="s">
        <v>83</v>
      </c>
      <c r="AE415" t="s">
        <v>66</v>
      </c>
      <c r="AF415" t="s">
        <v>876</v>
      </c>
    </row>
    <row r="416" spans="1:32">
      <c r="A416" t="s">
        <v>2409</v>
      </c>
      <c r="B416" t="s">
        <v>1004</v>
      </c>
      <c r="C416" t="s">
        <v>2410</v>
      </c>
      <c r="D416" t="s">
        <v>66</v>
      </c>
      <c r="E416" t="s">
        <v>67</v>
      </c>
      <c r="F416" t="s">
        <v>68</v>
      </c>
      <c r="G416" t="s">
        <v>69</v>
      </c>
      <c r="H416" t="s">
        <v>66</v>
      </c>
      <c r="I416" t="s">
        <v>66</v>
      </c>
      <c r="J416" t="s">
        <v>67</v>
      </c>
      <c r="K416" t="s">
        <v>71</v>
      </c>
      <c r="L416" t="s">
        <v>72</v>
      </c>
      <c r="M416" t="s">
        <v>73</v>
      </c>
      <c r="N416" t="s">
        <v>66</v>
      </c>
      <c r="O416" t="s">
        <v>73</v>
      </c>
      <c r="P416" t="s">
        <v>66</v>
      </c>
      <c r="Q416" t="s">
        <v>979</v>
      </c>
      <c r="R416" t="s">
        <v>73</v>
      </c>
      <c r="S416" t="s">
        <v>979</v>
      </c>
      <c r="T416" t="s">
        <v>2411</v>
      </c>
      <c r="U416" t="s">
        <v>2412</v>
      </c>
      <c r="V416" t="s">
        <v>982</v>
      </c>
      <c r="W416" t="s">
        <v>66</v>
      </c>
      <c r="X416" t="s">
        <v>78</v>
      </c>
      <c r="Y416" t="s">
        <v>2413</v>
      </c>
      <c r="Z416" t="s">
        <v>182</v>
      </c>
      <c r="AA416" t="s">
        <v>984</v>
      </c>
      <c r="AB416" t="s">
        <v>984</v>
      </c>
      <c r="AC416" t="s">
        <v>82</v>
      </c>
      <c r="AD416" t="s">
        <v>83</v>
      </c>
      <c r="AE416" t="s">
        <v>66</v>
      </c>
      <c r="AF416" t="s">
        <v>876</v>
      </c>
    </row>
    <row r="417" spans="1:32">
      <c r="A417" t="s">
        <v>2414</v>
      </c>
      <c r="B417" t="s">
        <v>1004</v>
      </c>
      <c r="C417" t="s">
        <v>2415</v>
      </c>
      <c r="D417" t="s">
        <v>66</v>
      </c>
      <c r="E417" t="s">
        <v>67</v>
      </c>
      <c r="F417" t="s">
        <v>68</v>
      </c>
      <c r="G417" t="s">
        <v>69</v>
      </c>
      <c r="H417" t="s">
        <v>66</v>
      </c>
      <c r="I417" t="s">
        <v>66</v>
      </c>
      <c r="J417" t="s">
        <v>67</v>
      </c>
      <c r="K417" t="s">
        <v>71</v>
      </c>
      <c r="L417" t="s">
        <v>72</v>
      </c>
      <c r="M417" t="s">
        <v>73</v>
      </c>
      <c r="N417" t="s">
        <v>66</v>
      </c>
      <c r="O417" t="s">
        <v>73</v>
      </c>
      <c r="P417" t="s">
        <v>66</v>
      </c>
      <c r="Q417" t="s">
        <v>979</v>
      </c>
      <c r="R417" t="s">
        <v>73</v>
      </c>
      <c r="S417" t="s">
        <v>979</v>
      </c>
      <c r="T417" t="s">
        <v>2416</v>
      </c>
      <c r="U417" t="s">
        <v>2417</v>
      </c>
      <c r="V417" t="s">
        <v>982</v>
      </c>
      <c r="W417" t="s">
        <v>66</v>
      </c>
      <c r="X417" t="s">
        <v>78</v>
      </c>
      <c r="Y417" t="s">
        <v>2418</v>
      </c>
      <c r="Z417" t="s">
        <v>182</v>
      </c>
      <c r="AA417" t="s">
        <v>984</v>
      </c>
      <c r="AB417" t="s">
        <v>984</v>
      </c>
      <c r="AC417" t="s">
        <v>82</v>
      </c>
      <c r="AD417" t="s">
        <v>83</v>
      </c>
      <c r="AE417" t="s">
        <v>66</v>
      </c>
      <c r="AF417" t="s">
        <v>876</v>
      </c>
    </row>
    <row r="418" spans="1:32">
      <c r="A418" t="s">
        <v>2419</v>
      </c>
      <c r="B418" t="s">
        <v>1101</v>
      </c>
      <c r="C418" t="s">
        <v>2420</v>
      </c>
      <c r="D418" t="s">
        <v>66</v>
      </c>
      <c r="E418" t="s">
        <v>67</v>
      </c>
      <c r="F418" t="s">
        <v>110</v>
      </c>
      <c r="G418" t="s">
        <v>111</v>
      </c>
      <c r="H418" t="s">
        <v>66</v>
      </c>
      <c r="I418" t="s">
        <v>66</v>
      </c>
      <c r="J418" t="s">
        <v>67</v>
      </c>
      <c r="K418" t="s">
        <v>71</v>
      </c>
      <c r="L418" t="s">
        <v>72</v>
      </c>
      <c r="M418" t="s">
        <v>73</v>
      </c>
      <c r="N418" t="s">
        <v>66</v>
      </c>
      <c r="O418" t="s">
        <v>73</v>
      </c>
      <c r="P418" t="s">
        <v>66</v>
      </c>
      <c r="Q418" t="s">
        <v>979</v>
      </c>
      <c r="R418" t="s">
        <v>73</v>
      </c>
      <c r="S418" t="s">
        <v>979</v>
      </c>
      <c r="T418" t="s">
        <v>2421</v>
      </c>
      <c r="U418" t="s">
        <v>2422</v>
      </c>
      <c r="V418" t="s">
        <v>982</v>
      </c>
      <c r="W418" t="s">
        <v>66</v>
      </c>
      <c r="X418" t="s">
        <v>78</v>
      </c>
      <c r="Y418" t="s">
        <v>2423</v>
      </c>
      <c r="Z418" t="s">
        <v>182</v>
      </c>
      <c r="AA418" t="s">
        <v>984</v>
      </c>
      <c r="AB418" t="s">
        <v>984</v>
      </c>
      <c r="AC418" t="s">
        <v>82</v>
      </c>
      <c r="AD418" t="s">
        <v>83</v>
      </c>
      <c r="AE418" t="s">
        <v>66</v>
      </c>
      <c r="AF418" t="s">
        <v>876</v>
      </c>
    </row>
    <row r="419" spans="1:32">
      <c r="A419" t="s">
        <v>2424</v>
      </c>
      <c r="B419" t="s">
        <v>86</v>
      </c>
      <c r="C419" t="s">
        <v>2425</v>
      </c>
      <c r="D419" t="s">
        <v>66</v>
      </c>
      <c r="E419" t="s">
        <v>67</v>
      </c>
      <c r="F419" t="s">
        <v>68</v>
      </c>
      <c r="G419" t="s">
        <v>69</v>
      </c>
      <c r="H419" t="s">
        <v>66</v>
      </c>
      <c r="I419" t="s">
        <v>66</v>
      </c>
      <c r="J419" t="s">
        <v>67</v>
      </c>
      <c r="K419" t="s">
        <v>71</v>
      </c>
      <c r="L419" t="s">
        <v>72</v>
      </c>
      <c r="M419" t="s">
        <v>73</v>
      </c>
      <c r="N419" t="s">
        <v>66</v>
      </c>
      <c r="O419" t="s">
        <v>73</v>
      </c>
      <c r="P419" t="s">
        <v>66</v>
      </c>
      <c r="Q419" t="s">
        <v>979</v>
      </c>
      <c r="R419" t="s">
        <v>73</v>
      </c>
      <c r="S419" t="s">
        <v>979</v>
      </c>
      <c r="T419" t="s">
        <v>2426</v>
      </c>
      <c r="U419" t="s">
        <v>2427</v>
      </c>
      <c r="V419" t="s">
        <v>982</v>
      </c>
      <c r="W419" t="s">
        <v>66</v>
      </c>
      <c r="X419" t="s">
        <v>78</v>
      </c>
      <c r="Y419" t="s">
        <v>2428</v>
      </c>
      <c r="Z419" t="s">
        <v>182</v>
      </c>
      <c r="AA419" t="s">
        <v>984</v>
      </c>
      <c r="AB419" t="s">
        <v>984</v>
      </c>
      <c r="AC419" t="s">
        <v>82</v>
      </c>
      <c r="AD419" t="s">
        <v>83</v>
      </c>
      <c r="AE419" t="s">
        <v>66</v>
      </c>
      <c r="AF419" t="s">
        <v>876</v>
      </c>
    </row>
    <row r="420" spans="1:32">
      <c r="A420" t="s">
        <v>2429</v>
      </c>
      <c r="B420" t="s">
        <v>162</v>
      </c>
      <c r="C420" t="s">
        <v>2430</v>
      </c>
      <c r="D420" t="s">
        <v>66</v>
      </c>
      <c r="E420" t="s">
        <v>67</v>
      </c>
      <c r="F420" t="s">
        <v>164</v>
      </c>
      <c r="G420" t="s">
        <v>165</v>
      </c>
      <c r="H420" t="s">
        <v>66</v>
      </c>
      <c r="I420" t="s">
        <v>66</v>
      </c>
      <c r="J420" t="s">
        <v>67</v>
      </c>
      <c r="K420" t="s">
        <v>71</v>
      </c>
      <c r="L420" t="s">
        <v>72</v>
      </c>
      <c r="M420" t="s">
        <v>73</v>
      </c>
      <c r="N420" t="s">
        <v>66</v>
      </c>
      <c r="O420" t="s">
        <v>73</v>
      </c>
      <c r="P420" t="s">
        <v>66</v>
      </c>
      <c r="Q420" t="s">
        <v>979</v>
      </c>
      <c r="R420" t="s">
        <v>73</v>
      </c>
      <c r="S420" t="s">
        <v>979</v>
      </c>
      <c r="T420" t="s">
        <v>2431</v>
      </c>
      <c r="U420" t="s">
        <v>2432</v>
      </c>
      <c r="V420" t="s">
        <v>982</v>
      </c>
      <c r="W420" t="s">
        <v>66</v>
      </c>
      <c r="X420" t="s">
        <v>78</v>
      </c>
      <c r="Y420" t="s">
        <v>2433</v>
      </c>
      <c r="Z420" t="s">
        <v>182</v>
      </c>
      <c r="AA420" t="s">
        <v>984</v>
      </c>
      <c r="AB420" t="s">
        <v>984</v>
      </c>
      <c r="AC420" t="s">
        <v>82</v>
      </c>
      <c r="AD420" t="s">
        <v>83</v>
      </c>
      <c r="AE420" t="s">
        <v>66</v>
      </c>
      <c r="AF420" t="s">
        <v>876</v>
      </c>
    </row>
    <row r="421" spans="1:32">
      <c r="A421" t="s">
        <v>2434</v>
      </c>
      <c r="B421" t="s">
        <v>308</v>
      </c>
      <c r="C421" t="s">
        <v>2435</v>
      </c>
      <c r="D421" t="s">
        <v>2435</v>
      </c>
      <c r="E421" t="s">
        <v>109</v>
      </c>
      <c r="F421" t="s">
        <v>110</v>
      </c>
      <c r="G421" t="s">
        <v>111</v>
      </c>
      <c r="H421" t="s">
        <v>66</v>
      </c>
      <c r="I421" t="s">
        <v>66</v>
      </c>
      <c r="J421" t="s">
        <v>67</v>
      </c>
      <c r="K421" t="s">
        <v>71</v>
      </c>
      <c r="L421" t="s">
        <v>72</v>
      </c>
      <c r="M421" t="s">
        <v>73</v>
      </c>
      <c r="N421" t="s">
        <v>66</v>
      </c>
      <c r="O421" t="s">
        <v>73</v>
      </c>
      <c r="P421" t="s">
        <v>66</v>
      </c>
      <c r="Q421" t="s">
        <v>979</v>
      </c>
      <c r="R421" t="s">
        <v>73</v>
      </c>
      <c r="S421" t="s">
        <v>979</v>
      </c>
      <c r="T421" t="s">
        <v>2436</v>
      </c>
      <c r="U421" t="s">
        <v>2437</v>
      </c>
      <c r="V421" t="s">
        <v>982</v>
      </c>
      <c r="W421" t="s">
        <v>66</v>
      </c>
      <c r="X421" t="s">
        <v>78</v>
      </c>
      <c r="Y421" t="s">
        <v>2438</v>
      </c>
      <c r="Z421" t="s">
        <v>182</v>
      </c>
      <c r="AA421" t="s">
        <v>984</v>
      </c>
      <c r="AB421" t="s">
        <v>984</v>
      </c>
      <c r="AC421" t="s">
        <v>82</v>
      </c>
      <c r="AD421" t="s">
        <v>83</v>
      </c>
      <c r="AE421" t="s">
        <v>66</v>
      </c>
      <c r="AF421" t="s">
        <v>876</v>
      </c>
    </row>
    <row r="422" spans="1:32">
      <c r="A422" t="s">
        <v>2439</v>
      </c>
      <c r="B422" t="s">
        <v>151</v>
      </c>
      <c r="C422" t="s">
        <v>2440</v>
      </c>
      <c r="D422" t="s">
        <v>66</v>
      </c>
      <c r="E422" t="s">
        <v>67</v>
      </c>
      <c r="F422" t="s">
        <v>68</v>
      </c>
      <c r="G422" t="s">
        <v>69</v>
      </c>
      <c r="H422" t="s">
        <v>66</v>
      </c>
      <c r="I422" t="s">
        <v>66</v>
      </c>
      <c r="J422" t="s">
        <v>67</v>
      </c>
      <c r="K422" t="s">
        <v>71</v>
      </c>
      <c r="L422" t="s">
        <v>72</v>
      </c>
      <c r="M422" t="s">
        <v>73</v>
      </c>
      <c r="N422" t="s">
        <v>66</v>
      </c>
      <c r="O422" t="s">
        <v>73</v>
      </c>
      <c r="P422" t="s">
        <v>66</v>
      </c>
      <c r="Q422" t="s">
        <v>979</v>
      </c>
      <c r="R422" t="s">
        <v>73</v>
      </c>
      <c r="S422" t="s">
        <v>979</v>
      </c>
      <c r="T422" t="s">
        <v>2441</v>
      </c>
      <c r="U422" t="s">
        <v>2442</v>
      </c>
      <c r="V422" t="s">
        <v>982</v>
      </c>
      <c r="W422" t="s">
        <v>66</v>
      </c>
      <c r="X422" t="s">
        <v>78</v>
      </c>
      <c r="Y422" t="s">
        <v>2443</v>
      </c>
      <c r="Z422" t="s">
        <v>182</v>
      </c>
      <c r="AA422" t="s">
        <v>984</v>
      </c>
      <c r="AB422" t="s">
        <v>984</v>
      </c>
      <c r="AC422" t="s">
        <v>82</v>
      </c>
      <c r="AD422" t="s">
        <v>83</v>
      </c>
      <c r="AE422" t="s">
        <v>66</v>
      </c>
      <c r="AF422" t="s">
        <v>876</v>
      </c>
    </row>
    <row r="423" spans="1:32">
      <c r="A423" t="s">
        <v>2444</v>
      </c>
      <c r="B423" t="s">
        <v>173</v>
      </c>
      <c r="C423" t="s">
        <v>2445</v>
      </c>
      <c r="D423" t="s">
        <v>66</v>
      </c>
      <c r="E423" t="s">
        <v>67</v>
      </c>
      <c r="F423" t="s">
        <v>175</v>
      </c>
      <c r="G423" t="s">
        <v>176</v>
      </c>
      <c r="H423" t="s">
        <v>66</v>
      </c>
      <c r="I423" t="s">
        <v>66</v>
      </c>
      <c r="J423" t="s">
        <v>67</v>
      </c>
      <c r="K423" t="s">
        <v>71</v>
      </c>
      <c r="L423" t="s">
        <v>72</v>
      </c>
      <c r="M423" t="s">
        <v>73</v>
      </c>
      <c r="N423" t="s">
        <v>66</v>
      </c>
      <c r="O423" t="s">
        <v>73</v>
      </c>
      <c r="P423" t="s">
        <v>66</v>
      </c>
      <c r="Q423" t="s">
        <v>979</v>
      </c>
      <c r="R423" t="s">
        <v>73</v>
      </c>
      <c r="S423" t="s">
        <v>979</v>
      </c>
      <c r="T423" t="s">
        <v>2446</v>
      </c>
      <c r="U423" t="s">
        <v>2447</v>
      </c>
      <c r="V423" t="s">
        <v>982</v>
      </c>
      <c r="W423" t="s">
        <v>66</v>
      </c>
      <c r="X423" t="s">
        <v>78</v>
      </c>
      <c r="Y423" t="s">
        <v>2448</v>
      </c>
      <c r="Z423" t="s">
        <v>182</v>
      </c>
      <c r="AA423" t="s">
        <v>984</v>
      </c>
      <c r="AB423" t="s">
        <v>984</v>
      </c>
      <c r="AC423" t="s">
        <v>82</v>
      </c>
      <c r="AD423" t="s">
        <v>83</v>
      </c>
      <c r="AE423" t="s">
        <v>66</v>
      </c>
      <c r="AF423" t="s">
        <v>876</v>
      </c>
    </row>
    <row r="424" spans="1:32">
      <c r="A424" t="s">
        <v>2449</v>
      </c>
      <c r="B424" t="s">
        <v>1860</v>
      </c>
      <c r="C424" t="s">
        <v>2450</v>
      </c>
      <c r="D424" t="s">
        <v>66</v>
      </c>
      <c r="E424" t="s">
        <v>67</v>
      </c>
      <c r="F424" t="s">
        <v>110</v>
      </c>
      <c r="G424" t="s">
        <v>111</v>
      </c>
      <c r="H424" t="s">
        <v>66</v>
      </c>
      <c r="I424" t="s">
        <v>66</v>
      </c>
      <c r="J424" t="s">
        <v>67</v>
      </c>
      <c r="K424" t="s">
        <v>71</v>
      </c>
      <c r="L424" t="s">
        <v>72</v>
      </c>
      <c r="M424" t="s">
        <v>73</v>
      </c>
      <c r="N424" t="s">
        <v>66</v>
      </c>
      <c r="O424" t="s">
        <v>73</v>
      </c>
      <c r="P424" t="s">
        <v>66</v>
      </c>
      <c r="Q424" t="s">
        <v>979</v>
      </c>
      <c r="R424" t="s">
        <v>73</v>
      </c>
      <c r="S424" t="s">
        <v>979</v>
      </c>
      <c r="T424" t="s">
        <v>2451</v>
      </c>
      <c r="U424" t="s">
        <v>2452</v>
      </c>
      <c r="V424" t="s">
        <v>982</v>
      </c>
      <c r="W424" t="s">
        <v>66</v>
      </c>
      <c r="X424" t="s">
        <v>78</v>
      </c>
      <c r="Y424" t="s">
        <v>2453</v>
      </c>
      <c r="Z424" t="s">
        <v>182</v>
      </c>
      <c r="AA424" t="s">
        <v>984</v>
      </c>
      <c r="AB424" t="s">
        <v>984</v>
      </c>
      <c r="AC424" t="s">
        <v>82</v>
      </c>
      <c r="AD424" t="s">
        <v>83</v>
      </c>
      <c r="AE424" t="s">
        <v>66</v>
      </c>
      <c r="AF424" t="s">
        <v>876</v>
      </c>
    </row>
    <row r="425" spans="1:32">
      <c r="A425" t="s">
        <v>2454</v>
      </c>
      <c r="B425" t="s">
        <v>162</v>
      </c>
      <c r="C425" t="s">
        <v>2455</v>
      </c>
      <c r="D425" t="s">
        <v>66</v>
      </c>
      <c r="E425" t="s">
        <v>67</v>
      </c>
      <c r="F425" t="s">
        <v>164</v>
      </c>
      <c r="G425" t="s">
        <v>165</v>
      </c>
      <c r="H425" t="s">
        <v>66</v>
      </c>
      <c r="I425" t="s">
        <v>66</v>
      </c>
      <c r="J425" t="s">
        <v>67</v>
      </c>
      <c r="K425" t="s">
        <v>71</v>
      </c>
      <c r="L425" t="s">
        <v>72</v>
      </c>
      <c r="M425" t="s">
        <v>73</v>
      </c>
      <c r="N425" t="s">
        <v>66</v>
      </c>
      <c r="O425" t="s">
        <v>73</v>
      </c>
      <c r="P425" t="s">
        <v>66</v>
      </c>
      <c r="Q425" t="s">
        <v>979</v>
      </c>
      <c r="R425" t="s">
        <v>73</v>
      </c>
      <c r="S425" t="s">
        <v>979</v>
      </c>
      <c r="T425" t="s">
        <v>2456</v>
      </c>
      <c r="U425" t="s">
        <v>2457</v>
      </c>
      <c r="V425" t="s">
        <v>982</v>
      </c>
      <c r="W425" t="s">
        <v>66</v>
      </c>
      <c r="X425" t="s">
        <v>78</v>
      </c>
      <c r="Y425" t="s">
        <v>2458</v>
      </c>
      <c r="Z425" t="s">
        <v>182</v>
      </c>
      <c r="AA425" t="s">
        <v>984</v>
      </c>
      <c r="AB425" t="s">
        <v>984</v>
      </c>
      <c r="AC425" t="s">
        <v>82</v>
      </c>
      <c r="AD425" t="s">
        <v>83</v>
      </c>
      <c r="AE425" t="s">
        <v>66</v>
      </c>
      <c r="AF425" t="s">
        <v>876</v>
      </c>
    </row>
    <row r="426" spans="1:32">
      <c r="A426" t="s">
        <v>2459</v>
      </c>
      <c r="B426" t="s">
        <v>308</v>
      </c>
      <c r="C426" t="s">
        <v>2460</v>
      </c>
      <c r="D426" t="s">
        <v>2460</v>
      </c>
      <c r="E426" t="s">
        <v>109</v>
      </c>
      <c r="F426" t="s">
        <v>110</v>
      </c>
      <c r="G426" t="s">
        <v>111</v>
      </c>
      <c r="H426" t="s">
        <v>66</v>
      </c>
      <c r="I426" t="s">
        <v>66</v>
      </c>
      <c r="J426" t="s">
        <v>67</v>
      </c>
      <c r="K426" t="s">
        <v>71</v>
      </c>
      <c r="L426" t="s">
        <v>72</v>
      </c>
      <c r="M426" t="s">
        <v>73</v>
      </c>
      <c r="N426" t="s">
        <v>66</v>
      </c>
      <c r="O426" t="s">
        <v>73</v>
      </c>
      <c r="P426" t="s">
        <v>66</v>
      </c>
      <c r="Q426" t="s">
        <v>979</v>
      </c>
      <c r="R426" t="s">
        <v>73</v>
      </c>
      <c r="S426" t="s">
        <v>979</v>
      </c>
      <c r="T426" t="s">
        <v>2461</v>
      </c>
      <c r="U426" t="s">
        <v>2462</v>
      </c>
      <c r="V426" t="s">
        <v>982</v>
      </c>
      <c r="W426" t="s">
        <v>66</v>
      </c>
      <c r="X426" t="s">
        <v>78</v>
      </c>
      <c r="Y426" t="s">
        <v>2463</v>
      </c>
      <c r="Z426" t="s">
        <v>182</v>
      </c>
      <c r="AA426" t="s">
        <v>984</v>
      </c>
      <c r="AB426" t="s">
        <v>984</v>
      </c>
      <c r="AC426" t="s">
        <v>82</v>
      </c>
      <c r="AD426" t="s">
        <v>83</v>
      </c>
      <c r="AE426" t="s">
        <v>66</v>
      </c>
      <c r="AF426" t="s">
        <v>876</v>
      </c>
    </row>
    <row r="427" spans="1:32">
      <c r="A427" t="s">
        <v>2464</v>
      </c>
      <c r="B427" t="s">
        <v>130</v>
      </c>
      <c r="C427" t="s">
        <v>2465</v>
      </c>
      <c r="D427" t="s">
        <v>2465</v>
      </c>
      <c r="E427" t="s">
        <v>109</v>
      </c>
      <c r="F427" t="s">
        <v>110</v>
      </c>
      <c r="G427" t="s">
        <v>111</v>
      </c>
      <c r="H427" t="s">
        <v>66</v>
      </c>
      <c r="I427" t="s">
        <v>66</v>
      </c>
      <c r="J427" t="s">
        <v>67</v>
      </c>
      <c r="K427" t="s">
        <v>71</v>
      </c>
      <c r="L427" t="s">
        <v>72</v>
      </c>
      <c r="M427" t="s">
        <v>73</v>
      </c>
      <c r="N427" t="s">
        <v>66</v>
      </c>
      <c r="O427" t="s">
        <v>73</v>
      </c>
      <c r="P427" t="s">
        <v>66</v>
      </c>
      <c r="Q427" t="s">
        <v>979</v>
      </c>
      <c r="R427" t="s">
        <v>73</v>
      </c>
      <c r="S427" t="s">
        <v>979</v>
      </c>
      <c r="T427" t="s">
        <v>2466</v>
      </c>
      <c r="U427" t="s">
        <v>2467</v>
      </c>
      <c r="V427" t="s">
        <v>982</v>
      </c>
      <c r="W427" t="s">
        <v>66</v>
      </c>
      <c r="X427" t="s">
        <v>78</v>
      </c>
      <c r="Y427" t="s">
        <v>2468</v>
      </c>
      <c r="Z427" t="s">
        <v>182</v>
      </c>
      <c r="AA427" t="s">
        <v>984</v>
      </c>
      <c r="AB427" t="s">
        <v>984</v>
      </c>
      <c r="AC427" t="s">
        <v>82</v>
      </c>
      <c r="AD427" t="s">
        <v>83</v>
      </c>
      <c r="AE427" t="s">
        <v>66</v>
      </c>
      <c r="AF427" t="s">
        <v>876</v>
      </c>
    </row>
    <row r="428" spans="1:32">
      <c r="A428" t="s">
        <v>2469</v>
      </c>
      <c r="B428" t="s">
        <v>86</v>
      </c>
      <c r="C428" t="s">
        <v>2470</v>
      </c>
      <c r="D428" t="s">
        <v>66</v>
      </c>
      <c r="E428" t="s">
        <v>67</v>
      </c>
      <c r="F428" t="s">
        <v>68</v>
      </c>
      <c r="G428" t="s">
        <v>69</v>
      </c>
      <c r="H428" t="s">
        <v>66</v>
      </c>
      <c r="I428" t="s">
        <v>66</v>
      </c>
      <c r="J428" t="s">
        <v>67</v>
      </c>
      <c r="K428" t="s">
        <v>71</v>
      </c>
      <c r="L428" t="s">
        <v>72</v>
      </c>
      <c r="M428" t="s">
        <v>73</v>
      </c>
      <c r="N428" t="s">
        <v>66</v>
      </c>
      <c r="O428" t="s">
        <v>73</v>
      </c>
      <c r="P428" t="s">
        <v>66</v>
      </c>
      <c r="Q428" t="s">
        <v>979</v>
      </c>
      <c r="R428" t="s">
        <v>73</v>
      </c>
      <c r="S428" t="s">
        <v>979</v>
      </c>
      <c r="T428" t="s">
        <v>2471</v>
      </c>
      <c r="U428" t="s">
        <v>2472</v>
      </c>
      <c r="V428" t="s">
        <v>982</v>
      </c>
      <c r="W428" t="s">
        <v>66</v>
      </c>
      <c r="X428" t="s">
        <v>78</v>
      </c>
      <c r="Y428" t="s">
        <v>2473</v>
      </c>
      <c r="Z428" t="s">
        <v>182</v>
      </c>
      <c r="AA428" t="s">
        <v>984</v>
      </c>
      <c r="AB428" t="s">
        <v>984</v>
      </c>
      <c r="AC428" t="s">
        <v>82</v>
      </c>
      <c r="AD428" t="s">
        <v>83</v>
      </c>
      <c r="AE428" t="s">
        <v>66</v>
      </c>
      <c r="AF428" t="s">
        <v>876</v>
      </c>
    </row>
    <row r="429" spans="1:32">
      <c r="A429" t="s">
        <v>2474</v>
      </c>
      <c r="B429" t="s">
        <v>2475</v>
      </c>
      <c r="C429" t="s">
        <v>2476</v>
      </c>
      <c r="D429" t="s">
        <v>66</v>
      </c>
      <c r="E429" t="s">
        <v>67</v>
      </c>
      <c r="F429" t="s">
        <v>110</v>
      </c>
      <c r="G429" t="s">
        <v>111</v>
      </c>
      <c r="H429" t="s">
        <v>66</v>
      </c>
      <c r="I429" t="s">
        <v>66</v>
      </c>
      <c r="J429" t="s">
        <v>67</v>
      </c>
      <c r="K429" t="s">
        <v>71</v>
      </c>
      <c r="L429" t="s">
        <v>72</v>
      </c>
      <c r="M429" t="s">
        <v>73</v>
      </c>
      <c r="N429" t="s">
        <v>66</v>
      </c>
      <c r="O429" t="s">
        <v>73</v>
      </c>
      <c r="P429" t="s">
        <v>66</v>
      </c>
      <c r="Q429" t="s">
        <v>979</v>
      </c>
      <c r="R429" t="s">
        <v>73</v>
      </c>
      <c r="S429" t="s">
        <v>979</v>
      </c>
      <c r="T429" t="s">
        <v>2477</v>
      </c>
      <c r="U429" t="s">
        <v>2478</v>
      </c>
      <c r="V429" t="s">
        <v>982</v>
      </c>
      <c r="W429" t="s">
        <v>66</v>
      </c>
      <c r="X429" t="s">
        <v>78</v>
      </c>
      <c r="Y429" t="s">
        <v>2479</v>
      </c>
      <c r="Z429" t="s">
        <v>182</v>
      </c>
      <c r="AA429" t="s">
        <v>984</v>
      </c>
      <c r="AB429" t="s">
        <v>984</v>
      </c>
      <c r="AC429" t="s">
        <v>82</v>
      </c>
      <c r="AD429" t="s">
        <v>83</v>
      </c>
      <c r="AE429" t="s">
        <v>66</v>
      </c>
      <c r="AF429" t="s">
        <v>876</v>
      </c>
    </row>
    <row r="430" spans="1:32">
      <c r="A430" t="s">
        <v>2480</v>
      </c>
      <c r="B430" t="s">
        <v>308</v>
      </c>
      <c r="C430" t="s">
        <v>2481</v>
      </c>
      <c r="D430" t="s">
        <v>2481</v>
      </c>
      <c r="E430" t="s">
        <v>109</v>
      </c>
      <c r="F430" t="s">
        <v>110</v>
      </c>
      <c r="G430" t="s">
        <v>111</v>
      </c>
      <c r="H430" t="s">
        <v>66</v>
      </c>
      <c r="I430" t="s">
        <v>66</v>
      </c>
      <c r="J430" t="s">
        <v>67</v>
      </c>
      <c r="K430" t="s">
        <v>71</v>
      </c>
      <c r="L430" t="s">
        <v>72</v>
      </c>
      <c r="M430" t="s">
        <v>73</v>
      </c>
      <c r="N430" t="s">
        <v>66</v>
      </c>
      <c r="O430" t="s">
        <v>73</v>
      </c>
      <c r="P430" t="s">
        <v>66</v>
      </c>
      <c r="Q430" t="s">
        <v>979</v>
      </c>
      <c r="R430" t="s">
        <v>73</v>
      </c>
      <c r="S430" t="s">
        <v>979</v>
      </c>
      <c r="T430" t="s">
        <v>2482</v>
      </c>
      <c r="U430" t="s">
        <v>2483</v>
      </c>
      <c r="V430" t="s">
        <v>982</v>
      </c>
      <c r="W430" t="s">
        <v>66</v>
      </c>
      <c r="X430" t="s">
        <v>78</v>
      </c>
      <c r="Y430" t="s">
        <v>2484</v>
      </c>
      <c r="Z430" t="s">
        <v>182</v>
      </c>
      <c r="AA430" t="s">
        <v>984</v>
      </c>
      <c r="AB430" t="s">
        <v>984</v>
      </c>
      <c r="AC430" t="s">
        <v>82</v>
      </c>
      <c r="AD430" t="s">
        <v>83</v>
      </c>
      <c r="AE430" t="s">
        <v>66</v>
      </c>
      <c r="AF430" t="s">
        <v>876</v>
      </c>
    </row>
    <row r="431" spans="1:32">
      <c r="A431" t="s">
        <v>2485</v>
      </c>
      <c r="B431" t="s">
        <v>2486</v>
      </c>
      <c r="C431" t="s">
        <v>2487</v>
      </c>
      <c r="D431" t="s">
        <v>66</v>
      </c>
      <c r="E431" t="s">
        <v>67</v>
      </c>
      <c r="F431" t="s">
        <v>68</v>
      </c>
      <c r="G431" t="s">
        <v>69</v>
      </c>
      <c r="H431" t="s">
        <v>66</v>
      </c>
      <c r="I431" t="s">
        <v>66</v>
      </c>
      <c r="J431" t="s">
        <v>67</v>
      </c>
      <c r="K431" t="s">
        <v>71</v>
      </c>
      <c r="L431" t="s">
        <v>72</v>
      </c>
      <c r="M431" t="s">
        <v>73</v>
      </c>
      <c r="N431" t="s">
        <v>66</v>
      </c>
      <c r="O431" t="s">
        <v>73</v>
      </c>
      <c r="P431" t="s">
        <v>66</v>
      </c>
      <c r="Q431" t="s">
        <v>979</v>
      </c>
      <c r="R431" t="s">
        <v>73</v>
      </c>
      <c r="S431" t="s">
        <v>979</v>
      </c>
      <c r="T431" t="s">
        <v>2488</v>
      </c>
      <c r="U431" t="s">
        <v>2489</v>
      </c>
      <c r="V431" t="s">
        <v>982</v>
      </c>
      <c r="W431" t="s">
        <v>66</v>
      </c>
      <c r="X431" t="s">
        <v>78</v>
      </c>
      <c r="Y431" t="s">
        <v>2490</v>
      </c>
      <c r="Z431" t="s">
        <v>182</v>
      </c>
      <c r="AA431" t="s">
        <v>984</v>
      </c>
      <c r="AB431" t="s">
        <v>984</v>
      </c>
      <c r="AC431" t="s">
        <v>82</v>
      </c>
      <c r="AD431" t="s">
        <v>83</v>
      </c>
      <c r="AE431" t="s">
        <v>66</v>
      </c>
      <c r="AF431" t="s">
        <v>876</v>
      </c>
    </row>
    <row r="432" spans="1:32">
      <c r="A432" t="s">
        <v>2491</v>
      </c>
      <c r="B432" t="s">
        <v>2492</v>
      </c>
      <c r="C432" t="s">
        <v>2493</v>
      </c>
      <c r="D432" t="s">
        <v>66</v>
      </c>
      <c r="E432" t="s">
        <v>67</v>
      </c>
      <c r="F432" t="s">
        <v>68</v>
      </c>
      <c r="G432" t="s">
        <v>69</v>
      </c>
      <c r="H432" t="s">
        <v>66</v>
      </c>
      <c r="I432" t="s">
        <v>66</v>
      </c>
      <c r="J432" t="s">
        <v>67</v>
      </c>
      <c r="K432" t="s">
        <v>71</v>
      </c>
      <c r="L432" t="s">
        <v>72</v>
      </c>
      <c r="M432" t="s">
        <v>73</v>
      </c>
      <c r="N432" t="s">
        <v>66</v>
      </c>
      <c r="O432" t="s">
        <v>73</v>
      </c>
      <c r="P432" t="s">
        <v>66</v>
      </c>
      <c r="Q432" t="s">
        <v>979</v>
      </c>
      <c r="R432" t="s">
        <v>73</v>
      </c>
      <c r="S432" t="s">
        <v>979</v>
      </c>
      <c r="T432" t="s">
        <v>2494</v>
      </c>
      <c r="U432" t="s">
        <v>2495</v>
      </c>
      <c r="V432" t="s">
        <v>982</v>
      </c>
      <c r="W432" t="s">
        <v>66</v>
      </c>
      <c r="X432" t="s">
        <v>78</v>
      </c>
      <c r="Y432" t="s">
        <v>2496</v>
      </c>
      <c r="Z432" t="s">
        <v>182</v>
      </c>
      <c r="AA432" t="s">
        <v>984</v>
      </c>
      <c r="AB432" t="s">
        <v>984</v>
      </c>
      <c r="AC432" t="s">
        <v>82</v>
      </c>
      <c r="AD432" t="s">
        <v>83</v>
      </c>
      <c r="AE432" t="s">
        <v>66</v>
      </c>
      <c r="AF432" t="s">
        <v>876</v>
      </c>
    </row>
    <row r="433" spans="1:32">
      <c r="A433" t="s">
        <v>2497</v>
      </c>
      <c r="B433" t="s">
        <v>308</v>
      </c>
      <c r="C433" t="s">
        <v>2498</v>
      </c>
      <c r="D433" t="s">
        <v>66</v>
      </c>
      <c r="E433" t="s">
        <v>109</v>
      </c>
      <c r="F433" t="s">
        <v>947</v>
      </c>
      <c r="G433" t="s">
        <v>948</v>
      </c>
      <c r="H433" t="s">
        <v>66</v>
      </c>
      <c r="I433" t="s">
        <v>66</v>
      </c>
      <c r="J433" t="s">
        <v>67</v>
      </c>
      <c r="K433" t="s">
        <v>71</v>
      </c>
      <c r="L433" t="s">
        <v>72</v>
      </c>
      <c r="M433" t="s">
        <v>73</v>
      </c>
      <c r="N433" t="s">
        <v>66</v>
      </c>
      <c r="O433" t="s">
        <v>73</v>
      </c>
      <c r="P433" t="s">
        <v>66</v>
      </c>
      <c r="Q433" t="s">
        <v>979</v>
      </c>
      <c r="R433" t="s">
        <v>73</v>
      </c>
      <c r="S433" t="s">
        <v>979</v>
      </c>
      <c r="T433" t="s">
        <v>2499</v>
      </c>
      <c r="U433" t="s">
        <v>2500</v>
      </c>
      <c r="V433" t="s">
        <v>982</v>
      </c>
      <c r="W433" t="s">
        <v>66</v>
      </c>
      <c r="X433" t="s">
        <v>78</v>
      </c>
      <c r="Y433" t="s">
        <v>2501</v>
      </c>
      <c r="Z433" t="s">
        <v>182</v>
      </c>
      <c r="AA433" t="s">
        <v>984</v>
      </c>
      <c r="AB433" t="s">
        <v>984</v>
      </c>
      <c r="AC433" t="s">
        <v>82</v>
      </c>
      <c r="AD433" t="s">
        <v>83</v>
      </c>
      <c r="AE433" t="s">
        <v>66</v>
      </c>
      <c r="AF433" t="s">
        <v>876</v>
      </c>
    </row>
    <row r="434" spans="1:32">
      <c r="A434" t="s">
        <v>2502</v>
      </c>
      <c r="B434" t="s">
        <v>1101</v>
      </c>
      <c r="C434" t="s">
        <v>2503</v>
      </c>
      <c r="D434" t="s">
        <v>66</v>
      </c>
      <c r="E434" t="s">
        <v>67</v>
      </c>
      <c r="F434" t="s">
        <v>110</v>
      </c>
      <c r="G434" t="s">
        <v>111</v>
      </c>
      <c r="H434" t="s">
        <v>66</v>
      </c>
      <c r="I434" t="s">
        <v>66</v>
      </c>
      <c r="J434" t="s">
        <v>67</v>
      </c>
      <c r="K434" t="s">
        <v>71</v>
      </c>
      <c r="L434" t="s">
        <v>72</v>
      </c>
      <c r="M434" t="s">
        <v>73</v>
      </c>
      <c r="N434" t="s">
        <v>66</v>
      </c>
      <c r="O434" t="s">
        <v>73</v>
      </c>
      <c r="P434" t="s">
        <v>66</v>
      </c>
      <c r="Q434" t="s">
        <v>979</v>
      </c>
      <c r="R434" t="s">
        <v>73</v>
      </c>
      <c r="S434" t="s">
        <v>979</v>
      </c>
      <c r="T434" t="s">
        <v>2504</v>
      </c>
      <c r="U434" t="s">
        <v>2505</v>
      </c>
      <c r="V434" t="s">
        <v>982</v>
      </c>
      <c r="W434" t="s">
        <v>66</v>
      </c>
      <c r="X434" t="s">
        <v>78</v>
      </c>
      <c r="Y434" t="s">
        <v>2506</v>
      </c>
      <c r="Z434" t="s">
        <v>182</v>
      </c>
      <c r="AA434" t="s">
        <v>984</v>
      </c>
      <c r="AB434" t="s">
        <v>984</v>
      </c>
      <c r="AC434" t="s">
        <v>82</v>
      </c>
      <c r="AD434" t="s">
        <v>83</v>
      </c>
      <c r="AE434" t="s">
        <v>66</v>
      </c>
      <c r="AF434" t="s">
        <v>876</v>
      </c>
    </row>
    <row r="435" spans="1:32">
      <c r="A435" t="s">
        <v>2507</v>
      </c>
      <c r="B435" t="s">
        <v>359</v>
      </c>
      <c r="C435" t="s">
        <v>2508</v>
      </c>
      <c r="D435" t="s">
        <v>2508</v>
      </c>
      <c r="E435" t="s">
        <v>109</v>
      </c>
      <c r="F435" t="s">
        <v>110</v>
      </c>
      <c r="G435" t="s">
        <v>111</v>
      </c>
      <c r="H435" t="s">
        <v>66</v>
      </c>
      <c r="I435" t="s">
        <v>66</v>
      </c>
      <c r="J435" t="s">
        <v>67</v>
      </c>
      <c r="K435" t="s">
        <v>71</v>
      </c>
      <c r="L435" t="s">
        <v>72</v>
      </c>
      <c r="M435" t="s">
        <v>73</v>
      </c>
      <c r="N435" t="s">
        <v>66</v>
      </c>
      <c r="O435" t="s">
        <v>73</v>
      </c>
      <c r="P435" t="s">
        <v>66</v>
      </c>
      <c r="Q435" t="s">
        <v>979</v>
      </c>
      <c r="R435" t="s">
        <v>73</v>
      </c>
      <c r="S435" t="s">
        <v>979</v>
      </c>
      <c r="T435" t="s">
        <v>2509</v>
      </c>
      <c r="U435" t="s">
        <v>2510</v>
      </c>
      <c r="V435" t="s">
        <v>982</v>
      </c>
      <c r="W435" t="s">
        <v>66</v>
      </c>
      <c r="X435" t="s">
        <v>78</v>
      </c>
      <c r="Y435" t="s">
        <v>2511</v>
      </c>
      <c r="Z435" t="s">
        <v>182</v>
      </c>
      <c r="AA435" t="s">
        <v>984</v>
      </c>
      <c r="AB435" t="s">
        <v>984</v>
      </c>
      <c r="AC435" t="s">
        <v>82</v>
      </c>
      <c r="AD435" t="s">
        <v>83</v>
      </c>
      <c r="AE435" t="s">
        <v>66</v>
      </c>
      <c r="AF435" t="s">
        <v>876</v>
      </c>
    </row>
    <row r="436" spans="1:32">
      <c r="A436" t="s">
        <v>2512</v>
      </c>
      <c r="B436" t="s">
        <v>1101</v>
      </c>
      <c r="C436" t="s">
        <v>2513</v>
      </c>
      <c r="D436" t="s">
        <v>66</v>
      </c>
      <c r="E436" t="s">
        <v>67</v>
      </c>
      <c r="F436" t="s">
        <v>110</v>
      </c>
      <c r="G436" t="s">
        <v>111</v>
      </c>
      <c r="H436" t="s">
        <v>66</v>
      </c>
      <c r="I436" t="s">
        <v>66</v>
      </c>
      <c r="J436" t="s">
        <v>67</v>
      </c>
      <c r="K436" t="s">
        <v>71</v>
      </c>
      <c r="L436" t="s">
        <v>72</v>
      </c>
      <c r="M436" t="s">
        <v>73</v>
      </c>
      <c r="N436" t="s">
        <v>66</v>
      </c>
      <c r="O436" t="s">
        <v>73</v>
      </c>
      <c r="P436" t="s">
        <v>66</v>
      </c>
      <c r="Q436" t="s">
        <v>979</v>
      </c>
      <c r="R436" t="s">
        <v>73</v>
      </c>
      <c r="S436" t="s">
        <v>979</v>
      </c>
      <c r="T436" t="s">
        <v>2514</v>
      </c>
      <c r="U436" t="s">
        <v>2515</v>
      </c>
      <c r="V436" t="s">
        <v>982</v>
      </c>
      <c r="W436" t="s">
        <v>66</v>
      </c>
      <c r="X436" t="s">
        <v>78</v>
      </c>
      <c r="Y436" t="s">
        <v>2516</v>
      </c>
      <c r="Z436" t="s">
        <v>182</v>
      </c>
      <c r="AA436" t="s">
        <v>984</v>
      </c>
      <c r="AB436" t="s">
        <v>984</v>
      </c>
      <c r="AC436" t="s">
        <v>82</v>
      </c>
      <c r="AD436" t="s">
        <v>83</v>
      </c>
      <c r="AE436" t="s">
        <v>66</v>
      </c>
      <c r="AF436" t="s">
        <v>876</v>
      </c>
    </row>
    <row r="437" spans="1:32">
      <c r="A437" t="s">
        <v>2517</v>
      </c>
      <c r="B437" t="s">
        <v>130</v>
      </c>
      <c r="C437" t="s">
        <v>2518</v>
      </c>
      <c r="D437" t="s">
        <v>2518</v>
      </c>
      <c r="E437" t="s">
        <v>109</v>
      </c>
      <c r="F437" t="s">
        <v>68</v>
      </c>
      <c r="G437" t="s">
        <v>69</v>
      </c>
      <c r="H437" t="s">
        <v>66</v>
      </c>
      <c r="I437" t="s">
        <v>66</v>
      </c>
      <c r="J437" t="s">
        <v>67</v>
      </c>
      <c r="K437" t="s">
        <v>71</v>
      </c>
      <c r="L437" t="s">
        <v>72</v>
      </c>
      <c r="M437" t="s">
        <v>73</v>
      </c>
      <c r="N437" t="s">
        <v>66</v>
      </c>
      <c r="O437" t="s">
        <v>73</v>
      </c>
      <c r="P437" t="s">
        <v>66</v>
      </c>
      <c r="Q437" t="s">
        <v>979</v>
      </c>
      <c r="R437" t="s">
        <v>73</v>
      </c>
      <c r="S437" t="s">
        <v>979</v>
      </c>
      <c r="T437" t="s">
        <v>2519</v>
      </c>
      <c r="U437" t="s">
        <v>2520</v>
      </c>
      <c r="V437" t="s">
        <v>982</v>
      </c>
      <c r="W437" t="s">
        <v>66</v>
      </c>
      <c r="X437" t="s">
        <v>78</v>
      </c>
      <c r="Y437" t="s">
        <v>2521</v>
      </c>
      <c r="Z437" t="s">
        <v>182</v>
      </c>
      <c r="AA437" t="s">
        <v>984</v>
      </c>
      <c r="AB437" t="s">
        <v>984</v>
      </c>
      <c r="AC437" t="s">
        <v>82</v>
      </c>
      <c r="AD437" t="s">
        <v>83</v>
      </c>
      <c r="AE437" t="s">
        <v>66</v>
      </c>
      <c r="AF437" t="s">
        <v>876</v>
      </c>
    </row>
    <row r="438" spans="1:32">
      <c r="A438" t="s">
        <v>2522</v>
      </c>
      <c r="B438" t="s">
        <v>151</v>
      </c>
      <c r="C438" t="s">
        <v>2523</v>
      </c>
      <c r="D438" t="s">
        <v>66</v>
      </c>
      <c r="E438" t="s">
        <v>67</v>
      </c>
      <c r="F438" t="s">
        <v>68</v>
      </c>
      <c r="G438" t="s">
        <v>69</v>
      </c>
      <c r="H438" t="s">
        <v>66</v>
      </c>
      <c r="I438" t="s">
        <v>66</v>
      </c>
      <c r="J438" t="s">
        <v>67</v>
      </c>
      <c r="K438" t="s">
        <v>71</v>
      </c>
      <c r="L438" t="s">
        <v>72</v>
      </c>
      <c r="M438" t="s">
        <v>73</v>
      </c>
      <c r="N438" t="s">
        <v>66</v>
      </c>
      <c r="O438" t="s">
        <v>73</v>
      </c>
      <c r="P438" t="s">
        <v>66</v>
      </c>
      <c r="Q438" t="s">
        <v>979</v>
      </c>
      <c r="R438" t="s">
        <v>73</v>
      </c>
      <c r="S438" t="s">
        <v>979</v>
      </c>
      <c r="T438" t="s">
        <v>2524</v>
      </c>
      <c r="U438" t="s">
        <v>2525</v>
      </c>
      <c r="V438" t="s">
        <v>982</v>
      </c>
      <c r="W438" t="s">
        <v>66</v>
      </c>
      <c r="X438" t="s">
        <v>78</v>
      </c>
      <c r="Y438" t="s">
        <v>2526</v>
      </c>
      <c r="Z438" t="s">
        <v>182</v>
      </c>
      <c r="AA438" t="s">
        <v>984</v>
      </c>
      <c r="AB438" t="s">
        <v>984</v>
      </c>
      <c r="AC438" t="s">
        <v>82</v>
      </c>
      <c r="AD438" t="s">
        <v>83</v>
      </c>
      <c r="AE438" t="s">
        <v>66</v>
      </c>
      <c r="AF438" t="s">
        <v>876</v>
      </c>
    </row>
    <row r="439" spans="1:32">
      <c r="A439" t="s">
        <v>2527</v>
      </c>
      <c r="B439" t="s">
        <v>151</v>
      </c>
      <c r="C439" t="s">
        <v>2528</v>
      </c>
      <c r="D439" t="s">
        <v>66</v>
      </c>
      <c r="E439" t="s">
        <v>67</v>
      </c>
      <c r="F439" t="s">
        <v>68</v>
      </c>
      <c r="G439" t="s">
        <v>69</v>
      </c>
      <c r="H439" t="s">
        <v>66</v>
      </c>
      <c r="I439" t="s">
        <v>66</v>
      </c>
      <c r="J439" t="s">
        <v>67</v>
      </c>
      <c r="K439" t="s">
        <v>71</v>
      </c>
      <c r="L439" t="s">
        <v>72</v>
      </c>
      <c r="M439" t="s">
        <v>73</v>
      </c>
      <c r="N439" t="s">
        <v>66</v>
      </c>
      <c r="O439" t="s">
        <v>73</v>
      </c>
      <c r="P439" t="s">
        <v>66</v>
      </c>
      <c r="Q439" t="s">
        <v>979</v>
      </c>
      <c r="R439" t="s">
        <v>73</v>
      </c>
      <c r="S439" t="s">
        <v>979</v>
      </c>
      <c r="T439" t="s">
        <v>2529</v>
      </c>
      <c r="U439" t="s">
        <v>2530</v>
      </c>
      <c r="V439" t="s">
        <v>982</v>
      </c>
      <c r="W439" t="s">
        <v>66</v>
      </c>
      <c r="X439" t="s">
        <v>78</v>
      </c>
      <c r="Y439" t="s">
        <v>2531</v>
      </c>
      <c r="Z439" t="s">
        <v>182</v>
      </c>
      <c r="AA439" t="s">
        <v>984</v>
      </c>
      <c r="AB439" t="s">
        <v>984</v>
      </c>
      <c r="AC439" t="s">
        <v>82</v>
      </c>
      <c r="AD439" t="s">
        <v>83</v>
      </c>
      <c r="AE439" t="s">
        <v>66</v>
      </c>
      <c r="AF439" t="s">
        <v>876</v>
      </c>
    </row>
    <row r="440" spans="1:32">
      <c r="A440" t="s">
        <v>2532</v>
      </c>
      <c r="B440" t="s">
        <v>308</v>
      </c>
      <c r="C440" t="s">
        <v>2533</v>
      </c>
      <c r="D440" t="s">
        <v>2533</v>
      </c>
      <c r="E440" t="s">
        <v>109</v>
      </c>
      <c r="F440" t="s">
        <v>110</v>
      </c>
      <c r="G440" t="s">
        <v>111</v>
      </c>
      <c r="H440" t="s">
        <v>66</v>
      </c>
      <c r="I440" t="s">
        <v>66</v>
      </c>
      <c r="J440" t="s">
        <v>67</v>
      </c>
      <c r="K440" t="s">
        <v>71</v>
      </c>
      <c r="L440" t="s">
        <v>72</v>
      </c>
      <c r="M440" t="s">
        <v>73</v>
      </c>
      <c r="N440" t="s">
        <v>66</v>
      </c>
      <c r="O440" t="s">
        <v>73</v>
      </c>
      <c r="P440" t="s">
        <v>66</v>
      </c>
      <c r="Q440" t="s">
        <v>979</v>
      </c>
      <c r="R440" t="s">
        <v>73</v>
      </c>
      <c r="S440" t="s">
        <v>979</v>
      </c>
      <c r="T440" t="s">
        <v>2534</v>
      </c>
      <c r="U440" t="s">
        <v>2535</v>
      </c>
      <c r="V440" t="s">
        <v>982</v>
      </c>
      <c r="W440" t="s">
        <v>66</v>
      </c>
      <c r="X440" t="s">
        <v>78</v>
      </c>
      <c r="Y440" t="s">
        <v>2536</v>
      </c>
      <c r="Z440" t="s">
        <v>182</v>
      </c>
      <c r="AA440" t="s">
        <v>984</v>
      </c>
      <c r="AB440" t="s">
        <v>984</v>
      </c>
      <c r="AC440" t="s">
        <v>82</v>
      </c>
      <c r="AD440" t="s">
        <v>83</v>
      </c>
      <c r="AE440" t="s">
        <v>66</v>
      </c>
      <c r="AF440" t="s">
        <v>876</v>
      </c>
    </row>
    <row r="441" spans="1:32">
      <c r="A441" t="s">
        <v>2537</v>
      </c>
      <c r="B441" t="s">
        <v>162</v>
      </c>
      <c r="C441" t="s">
        <v>2538</v>
      </c>
      <c r="D441" t="s">
        <v>66</v>
      </c>
      <c r="E441" t="s">
        <v>67</v>
      </c>
      <c r="F441" t="s">
        <v>164</v>
      </c>
      <c r="G441" t="s">
        <v>165</v>
      </c>
      <c r="H441" t="s">
        <v>66</v>
      </c>
      <c r="I441" t="s">
        <v>66</v>
      </c>
      <c r="J441" t="s">
        <v>67</v>
      </c>
      <c r="K441" t="s">
        <v>71</v>
      </c>
      <c r="L441" t="s">
        <v>72</v>
      </c>
      <c r="M441" t="s">
        <v>73</v>
      </c>
      <c r="N441" t="s">
        <v>66</v>
      </c>
      <c r="O441" t="s">
        <v>73</v>
      </c>
      <c r="P441" t="s">
        <v>66</v>
      </c>
      <c r="Q441" t="s">
        <v>979</v>
      </c>
      <c r="R441" t="s">
        <v>73</v>
      </c>
      <c r="S441" t="s">
        <v>979</v>
      </c>
      <c r="T441" t="s">
        <v>2539</v>
      </c>
      <c r="U441" t="s">
        <v>2540</v>
      </c>
      <c r="V441" t="s">
        <v>982</v>
      </c>
      <c r="W441" t="s">
        <v>66</v>
      </c>
      <c r="X441" t="s">
        <v>78</v>
      </c>
      <c r="Y441" t="s">
        <v>2541</v>
      </c>
      <c r="Z441" t="s">
        <v>182</v>
      </c>
      <c r="AA441" t="s">
        <v>984</v>
      </c>
      <c r="AB441" t="s">
        <v>984</v>
      </c>
      <c r="AC441" t="s">
        <v>82</v>
      </c>
      <c r="AD441" t="s">
        <v>83</v>
      </c>
      <c r="AE441" t="s">
        <v>66</v>
      </c>
      <c r="AF441" t="s">
        <v>876</v>
      </c>
    </row>
    <row r="442" spans="1:32">
      <c r="A442" t="s">
        <v>2542</v>
      </c>
      <c r="B442" t="s">
        <v>151</v>
      </c>
      <c r="C442" t="s">
        <v>2543</v>
      </c>
      <c r="D442" t="s">
        <v>66</v>
      </c>
      <c r="E442" t="s">
        <v>67</v>
      </c>
      <c r="F442" t="s">
        <v>68</v>
      </c>
      <c r="G442" t="s">
        <v>69</v>
      </c>
      <c r="H442" t="s">
        <v>66</v>
      </c>
      <c r="I442" t="s">
        <v>66</v>
      </c>
      <c r="J442" t="s">
        <v>67</v>
      </c>
      <c r="K442" t="s">
        <v>71</v>
      </c>
      <c r="L442" t="s">
        <v>72</v>
      </c>
      <c r="M442" t="s">
        <v>73</v>
      </c>
      <c r="N442" t="s">
        <v>66</v>
      </c>
      <c r="O442" t="s">
        <v>73</v>
      </c>
      <c r="P442" t="s">
        <v>66</v>
      </c>
      <c r="Q442" t="s">
        <v>979</v>
      </c>
      <c r="R442" t="s">
        <v>73</v>
      </c>
      <c r="S442" t="s">
        <v>979</v>
      </c>
      <c r="T442" t="s">
        <v>2544</v>
      </c>
      <c r="U442" t="s">
        <v>2545</v>
      </c>
      <c r="V442" t="s">
        <v>982</v>
      </c>
      <c r="W442" t="s">
        <v>66</v>
      </c>
      <c r="X442" t="s">
        <v>78</v>
      </c>
      <c r="Y442" t="s">
        <v>2546</v>
      </c>
      <c r="Z442" t="s">
        <v>182</v>
      </c>
      <c r="AA442" t="s">
        <v>984</v>
      </c>
      <c r="AB442" t="s">
        <v>984</v>
      </c>
      <c r="AC442" t="s">
        <v>82</v>
      </c>
      <c r="AD442" t="s">
        <v>83</v>
      </c>
      <c r="AE442" t="s">
        <v>66</v>
      </c>
      <c r="AF442" t="s">
        <v>876</v>
      </c>
    </row>
    <row r="443" spans="1:32">
      <c r="A443" t="s">
        <v>2547</v>
      </c>
      <c r="B443" t="s">
        <v>2548</v>
      </c>
      <c r="C443" t="s">
        <v>2549</v>
      </c>
      <c r="D443" t="s">
        <v>2549</v>
      </c>
      <c r="E443" t="s">
        <v>109</v>
      </c>
      <c r="F443" t="s">
        <v>110</v>
      </c>
      <c r="G443" t="s">
        <v>111</v>
      </c>
      <c r="H443" t="s">
        <v>66</v>
      </c>
      <c r="I443" t="s">
        <v>66</v>
      </c>
      <c r="J443" t="s">
        <v>67</v>
      </c>
      <c r="K443" t="s">
        <v>71</v>
      </c>
      <c r="L443" t="s">
        <v>72</v>
      </c>
      <c r="M443" t="s">
        <v>73</v>
      </c>
      <c r="N443" t="s">
        <v>66</v>
      </c>
      <c r="O443" t="s">
        <v>73</v>
      </c>
      <c r="P443" t="s">
        <v>66</v>
      </c>
      <c r="Q443" t="s">
        <v>979</v>
      </c>
      <c r="R443" t="s">
        <v>73</v>
      </c>
      <c r="S443" t="s">
        <v>979</v>
      </c>
      <c r="T443" t="s">
        <v>2550</v>
      </c>
      <c r="U443" t="s">
        <v>2551</v>
      </c>
      <c r="V443" t="s">
        <v>982</v>
      </c>
      <c r="W443" t="s">
        <v>66</v>
      </c>
      <c r="X443" t="s">
        <v>78</v>
      </c>
      <c r="Y443" t="s">
        <v>2552</v>
      </c>
      <c r="Z443" t="s">
        <v>182</v>
      </c>
      <c r="AA443" t="s">
        <v>984</v>
      </c>
      <c r="AB443" t="s">
        <v>984</v>
      </c>
      <c r="AC443" t="s">
        <v>82</v>
      </c>
      <c r="AD443" t="s">
        <v>83</v>
      </c>
      <c r="AE443" t="s">
        <v>66</v>
      </c>
      <c r="AF443" t="s">
        <v>876</v>
      </c>
    </row>
    <row r="444" spans="1:32">
      <c r="A444" t="s">
        <v>2553</v>
      </c>
      <c r="B444" t="s">
        <v>162</v>
      </c>
      <c r="C444" t="s">
        <v>2554</v>
      </c>
      <c r="D444" t="s">
        <v>66</v>
      </c>
      <c r="E444" t="s">
        <v>67</v>
      </c>
      <c r="F444" t="s">
        <v>164</v>
      </c>
      <c r="G444" t="s">
        <v>165</v>
      </c>
      <c r="H444" t="s">
        <v>66</v>
      </c>
      <c r="I444" t="s">
        <v>66</v>
      </c>
      <c r="J444" t="s">
        <v>67</v>
      </c>
      <c r="K444" t="s">
        <v>71</v>
      </c>
      <c r="L444" t="s">
        <v>72</v>
      </c>
      <c r="M444" t="s">
        <v>73</v>
      </c>
      <c r="N444" t="s">
        <v>66</v>
      </c>
      <c r="O444" t="s">
        <v>73</v>
      </c>
      <c r="P444" t="s">
        <v>66</v>
      </c>
      <c r="Q444" t="s">
        <v>979</v>
      </c>
      <c r="R444" t="s">
        <v>73</v>
      </c>
      <c r="S444" t="s">
        <v>979</v>
      </c>
      <c r="T444" t="s">
        <v>2555</v>
      </c>
      <c r="U444" t="s">
        <v>2556</v>
      </c>
      <c r="V444" t="s">
        <v>982</v>
      </c>
      <c r="W444" t="s">
        <v>66</v>
      </c>
      <c r="X444" t="s">
        <v>78</v>
      </c>
      <c r="Y444" t="s">
        <v>2557</v>
      </c>
      <c r="Z444" t="s">
        <v>182</v>
      </c>
      <c r="AA444" t="s">
        <v>984</v>
      </c>
      <c r="AB444" t="s">
        <v>984</v>
      </c>
      <c r="AC444" t="s">
        <v>82</v>
      </c>
      <c r="AD444" t="s">
        <v>83</v>
      </c>
      <c r="AE444" t="s">
        <v>66</v>
      </c>
      <c r="AF444" t="s">
        <v>876</v>
      </c>
    </row>
    <row r="445" spans="1:32">
      <c r="A445" t="s">
        <v>2558</v>
      </c>
      <c r="B445" t="s">
        <v>359</v>
      </c>
      <c r="C445" t="s">
        <v>2559</v>
      </c>
      <c r="D445" t="s">
        <v>2559</v>
      </c>
      <c r="E445" t="s">
        <v>109</v>
      </c>
      <c r="F445" t="s">
        <v>110</v>
      </c>
      <c r="G445" t="s">
        <v>111</v>
      </c>
      <c r="H445" t="s">
        <v>66</v>
      </c>
      <c r="I445" t="s">
        <v>66</v>
      </c>
      <c r="J445" t="s">
        <v>67</v>
      </c>
      <c r="K445" t="s">
        <v>71</v>
      </c>
      <c r="L445" t="s">
        <v>72</v>
      </c>
      <c r="M445" t="s">
        <v>73</v>
      </c>
      <c r="N445" t="s">
        <v>66</v>
      </c>
      <c r="O445" t="s">
        <v>73</v>
      </c>
      <c r="P445" t="s">
        <v>66</v>
      </c>
      <c r="Q445" t="s">
        <v>979</v>
      </c>
      <c r="R445" t="s">
        <v>73</v>
      </c>
      <c r="S445" t="s">
        <v>979</v>
      </c>
      <c r="T445" t="s">
        <v>2560</v>
      </c>
      <c r="U445" t="s">
        <v>2561</v>
      </c>
      <c r="V445" t="s">
        <v>982</v>
      </c>
      <c r="W445" t="s">
        <v>66</v>
      </c>
      <c r="X445" t="s">
        <v>78</v>
      </c>
      <c r="Y445" t="s">
        <v>2562</v>
      </c>
      <c r="Z445" t="s">
        <v>182</v>
      </c>
      <c r="AA445" t="s">
        <v>984</v>
      </c>
      <c r="AB445" t="s">
        <v>984</v>
      </c>
      <c r="AC445" t="s">
        <v>82</v>
      </c>
      <c r="AD445" t="s">
        <v>83</v>
      </c>
      <c r="AE445" t="s">
        <v>66</v>
      </c>
      <c r="AF445" t="s">
        <v>876</v>
      </c>
    </row>
    <row r="446" spans="1:32">
      <c r="A446" t="s">
        <v>2563</v>
      </c>
      <c r="B446" t="s">
        <v>1064</v>
      </c>
      <c r="C446" t="s">
        <v>2564</v>
      </c>
      <c r="D446" t="s">
        <v>66</v>
      </c>
      <c r="E446" t="s">
        <v>67</v>
      </c>
      <c r="F446" t="s">
        <v>110</v>
      </c>
      <c r="G446" t="s">
        <v>111</v>
      </c>
      <c r="H446" t="s">
        <v>66</v>
      </c>
      <c r="I446" t="s">
        <v>66</v>
      </c>
      <c r="J446" t="s">
        <v>67</v>
      </c>
      <c r="K446" t="s">
        <v>71</v>
      </c>
      <c r="L446" t="s">
        <v>72</v>
      </c>
      <c r="M446" t="s">
        <v>73</v>
      </c>
      <c r="N446" t="s">
        <v>66</v>
      </c>
      <c r="O446" t="s">
        <v>73</v>
      </c>
      <c r="P446" t="s">
        <v>66</v>
      </c>
      <c r="Q446" t="s">
        <v>979</v>
      </c>
      <c r="R446" t="s">
        <v>73</v>
      </c>
      <c r="S446" t="s">
        <v>979</v>
      </c>
      <c r="T446" t="s">
        <v>2565</v>
      </c>
      <c r="U446" t="s">
        <v>2566</v>
      </c>
      <c r="V446" t="s">
        <v>982</v>
      </c>
      <c r="W446" t="s">
        <v>66</v>
      </c>
      <c r="X446" t="s">
        <v>78</v>
      </c>
      <c r="Y446" t="s">
        <v>2567</v>
      </c>
      <c r="Z446" t="s">
        <v>182</v>
      </c>
      <c r="AA446" t="s">
        <v>984</v>
      </c>
      <c r="AB446" t="s">
        <v>984</v>
      </c>
      <c r="AC446" t="s">
        <v>82</v>
      </c>
      <c r="AD446" t="s">
        <v>83</v>
      </c>
      <c r="AE446" t="s">
        <v>66</v>
      </c>
      <c r="AF446" t="s">
        <v>876</v>
      </c>
    </row>
    <row r="447" spans="1:32">
      <c r="A447" t="s">
        <v>2568</v>
      </c>
      <c r="B447" t="s">
        <v>841</v>
      </c>
      <c r="C447" t="s">
        <v>2569</v>
      </c>
      <c r="D447" t="s">
        <v>2569</v>
      </c>
      <c r="E447" t="s">
        <v>109</v>
      </c>
      <c r="F447" t="s">
        <v>110</v>
      </c>
      <c r="G447" t="s">
        <v>111</v>
      </c>
      <c r="H447" t="s">
        <v>66</v>
      </c>
      <c r="I447" t="s">
        <v>66</v>
      </c>
      <c r="J447" t="s">
        <v>67</v>
      </c>
      <c r="K447" t="s">
        <v>71</v>
      </c>
      <c r="L447" t="s">
        <v>72</v>
      </c>
      <c r="M447" t="s">
        <v>73</v>
      </c>
      <c r="N447" t="s">
        <v>66</v>
      </c>
      <c r="O447" t="s">
        <v>73</v>
      </c>
      <c r="P447" t="s">
        <v>66</v>
      </c>
      <c r="Q447" t="s">
        <v>979</v>
      </c>
      <c r="R447" t="s">
        <v>73</v>
      </c>
      <c r="S447" t="s">
        <v>979</v>
      </c>
      <c r="T447" t="s">
        <v>2570</v>
      </c>
      <c r="U447" t="s">
        <v>2571</v>
      </c>
      <c r="V447" t="s">
        <v>982</v>
      </c>
      <c r="W447" t="s">
        <v>66</v>
      </c>
      <c r="X447" t="s">
        <v>78</v>
      </c>
      <c r="Y447" t="s">
        <v>2572</v>
      </c>
      <c r="Z447" t="s">
        <v>182</v>
      </c>
      <c r="AA447" t="s">
        <v>984</v>
      </c>
      <c r="AB447" t="s">
        <v>984</v>
      </c>
      <c r="AC447" t="s">
        <v>82</v>
      </c>
      <c r="AD447" t="s">
        <v>83</v>
      </c>
      <c r="AE447" t="s">
        <v>66</v>
      </c>
      <c r="AF447" t="s">
        <v>876</v>
      </c>
    </row>
    <row r="448" spans="1:32">
      <c r="A448" t="s">
        <v>2573</v>
      </c>
      <c r="B448" t="s">
        <v>2574</v>
      </c>
      <c r="C448" t="s">
        <v>2575</v>
      </c>
      <c r="D448" t="s">
        <v>66</v>
      </c>
      <c r="E448" t="s">
        <v>67</v>
      </c>
      <c r="F448" t="s">
        <v>68</v>
      </c>
      <c r="G448" t="s">
        <v>69</v>
      </c>
      <c r="H448" t="s">
        <v>66</v>
      </c>
      <c r="I448" t="s">
        <v>66</v>
      </c>
      <c r="J448" t="s">
        <v>67</v>
      </c>
      <c r="K448" t="s">
        <v>71</v>
      </c>
      <c r="L448" t="s">
        <v>72</v>
      </c>
      <c r="M448" t="s">
        <v>73</v>
      </c>
      <c r="N448" t="s">
        <v>66</v>
      </c>
      <c r="O448" t="s">
        <v>73</v>
      </c>
      <c r="P448" t="s">
        <v>66</v>
      </c>
      <c r="Q448" t="s">
        <v>979</v>
      </c>
      <c r="R448" t="s">
        <v>73</v>
      </c>
      <c r="S448" t="s">
        <v>979</v>
      </c>
      <c r="T448" t="s">
        <v>2576</v>
      </c>
      <c r="U448" t="s">
        <v>2577</v>
      </c>
      <c r="V448" t="s">
        <v>982</v>
      </c>
      <c r="W448" t="s">
        <v>66</v>
      </c>
      <c r="X448" t="s">
        <v>78</v>
      </c>
      <c r="Y448" t="s">
        <v>2578</v>
      </c>
      <c r="Z448" t="s">
        <v>182</v>
      </c>
      <c r="AA448" t="s">
        <v>984</v>
      </c>
      <c r="AB448" t="s">
        <v>984</v>
      </c>
      <c r="AC448" t="s">
        <v>82</v>
      </c>
      <c r="AD448" t="s">
        <v>83</v>
      </c>
      <c r="AE448" t="s">
        <v>66</v>
      </c>
      <c r="AF448" t="s">
        <v>876</v>
      </c>
    </row>
    <row r="449" spans="1:32">
      <c r="A449" t="s">
        <v>2579</v>
      </c>
      <c r="B449" t="s">
        <v>1058</v>
      </c>
      <c r="C449" t="s">
        <v>2580</v>
      </c>
      <c r="D449" t="s">
        <v>2580</v>
      </c>
      <c r="E449" t="s">
        <v>109</v>
      </c>
      <c r="F449" t="s">
        <v>110</v>
      </c>
      <c r="G449" t="s">
        <v>111</v>
      </c>
      <c r="H449" t="s">
        <v>66</v>
      </c>
      <c r="I449" t="s">
        <v>66</v>
      </c>
      <c r="J449" t="s">
        <v>67</v>
      </c>
      <c r="K449" t="s">
        <v>71</v>
      </c>
      <c r="L449" t="s">
        <v>72</v>
      </c>
      <c r="M449" t="s">
        <v>73</v>
      </c>
      <c r="N449" t="s">
        <v>66</v>
      </c>
      <c r="O449" t="s">
        <v>73</v>
      </c>
      <c r="P449" t="s">
        <v>66</v>
      </c>
      <c r="Q449" t="s">
        <v>979</v>
      </c>
      <c r="R449" t="s">
        <v>73</v>
      </c>
      <c r="S449" t="s">
        <v>979</v>
      </c>
      <c r="T449" t="s">
        <v>2581</v>
      </c>
      <c r="U449" t="s">
        <v>2582</v>
      </c>
      <c r="V449" t="s">
        <v>982</v>
      </c>
      <c r="W449" t="s">
        <v>66</v>
      </c>
      <c r="X449" t="s">
        <v>78</v>
      </c>
      <c r="Y449" t="s">
        <v>2583</v>
      </c>
      <c r="Z449" t="s">
        <v>182</v>
      </c>
      <c r="AA449" t="s">
        <v>984</v>
      </c>
      <c r="AB449" t="s">
        <v>984</v>
      </c>
      <c r="AC449" t="s">
        <v>82</v>
      </c>
      <c r="AD449" t="s">
        <v>83</v>
      </c>
      <c r="AE449" t="s">
        <v>66</v>
      </c>
      <c r="AF449" t="s">
        <v>876</v>
      </c>
    </row>
    <row r="450" spans="1:32">
      <c r="A450" t="s">
        <v>2584</v>
      </c>
      <c r="B450" t="s">
        <v>1954</v>
      </c>
      <c r="C450" t="s">
        <v>2585</v>
      </c>
      <c r="D450" t="s">
        <v>66</v>
      </c>
      <c r="E450" t="s">
        <v>67</v>
      </c>
      <c r="F450" t="s">
        <v>68</v>
      </c>
      <c r="G450" t="s">
        <v>69</v>
      </c>
      <c r="H450" t="s">
        <v>66</v>
      </c>
      <c r="I450" t="s">
        <v>66</v>
      </c>
      <c r="J450" t="s">
        <v>67</v>
      </c>
      <c r="K450" t="s">
        <v>71</v>
      </c>
      <c r="L450" t="s">
        <v>72</v>
      </c>
      <c r="M450" t="s">
        <v>73</v>
      </c>
      <c r="N450" t="s">
        <v>66</v>
      </c>
      <c r="O450" t="s">
        <v>73</v>
      </c>
      <c r="P450" t="s">
        <v>66</v>
      </c>
      <c r="Q450" t="s">
        <v>979</v>
      </c>
      <c r="R450" t="s">
        <v>73</v>
      </c>
      <c r="S450" t="s">
        <v>979</v>
      </c>
      <c r="T450" t="s">
        <v>2586</v>
      </c>
      <c r="U450" t="s">
        <v>2587</v>
      </c>
      <c r="V450" t="s">
        <v>982</v>
      </c>
      <c r="W450" t="s">
        <v>66</v>
      </c>
      <c r="X450" t="s">
        <v>78</v>
      </c>
      <c r="Y450" t="s">
        <v>2588</v>
      </c>
      <c r="Z450" t="s">
        <v>182</v>
      </c>
      <c r="AA450" t="s">
        <v>984</v>
      </c>
      <c r="AB450" t="s">
        <v>984</v>
      </c>
      <c r="AC450" t="s">
        <v>82</v>
      </c>
      <c r="AD450" t="s">
        <v>83</v>
      </c>
      <c r="AE450" t="s">
        <v>66</v>
      </c>
      <c r="AF450" t="s">
        <v>876</v>
      </c>
    </row>
    <row r="451" spans="1:32">
      <c r="A451" t="s">
        <v>2589</v>
      </c>
      <c r="B451" t="s">
        <v>1995</v>
      </c>
      <c r="C451" t="s">
        <v>2590</v>
      </c>
      <c r="D451" t="s">
        <v>66</v>
      </c>
      <c r="E451" t="s">
        <v>67</v>
      </c>
      <c r="F451" t="s">
        <v>110</v>
      </c>
      <c r="G451" t="s">
        <v>111</v>
      </c>
      <c r="H451" t="s">
        <v>66</v>
      </c>
      <c r="I451" t="s">
        <v>66</v>
      </c>
      <c r="J451" t="s">
        <v>67</v>
      </c>
      <c r="K451" t="s">
        <v>71</v>
      </c>
      <c r="L451" t="s">
        <v>72</v>
      </c>
      <c r="M451" t="s">
        <v>73</v>
      </c>
      <c r="N451" t="s">
        <v>66</v>
      </c>
      <c r="O451" t="s">
        <v>73</v>
      </c>
      <c r="P451" t="s">
        <v>66</v>
      </c>
      <c r="Q451" t="s">
        <v>979</v>
      </c>
      <c r="R451" t="s">
        <v>73</v>
      </c>
      <c r="S451" t="s">
        <v>979</v>
      </c>
      <c r="T451" t="s">
        <v>2591</v>
      </c>
      <c r="U451" t="s">
        <v>2592</v>
      </c>
      <c r="V451" t="s">
        <v>982</v>
      </c>
      <c r="W451" t="s">
        <v>66</v>
      </c>
      <c r="X451" t="s">
        <v>78</v>
      </c>
      <c r="Y451" t="s">
        <v>2593</v>
      </c>
      <c r="Z451" t="s">
        <v>182</v>
      </c>
      <c r="AA451" t="s">
        <v>984</v>
      </c>
      <c r="AB451" t="s">
        <v>984</v>
      </c>
      <c r="AC451" t="s">
        <v>82</v>
      </c>
      <c r="AD451" t="s">
        <v>83</v>
      </c>
      <c r="AE451" t="s">
        <v>66</v>
      </c>
      <c r="AF451" t="s">
        <v>876</v>
      </c>
    </row>
    <row r="452" spans="1:32">
      <c r="A452" t="s">
        <v>2594</v>
      </c>
      <c r="B452" t="s">
        <v>308</v>
      </c>
      <c r="C452" t="s">
        <v>2595</v>
      </c>
      <c r="D452" t="s">
        <v>2595</v>
      </c>
      <c r="E452" t="s">
        <v>109</v>
      </c>
      <c r="F452" t="s">
        <v>68</v>
      </c>
      <c r="G452" t="s">
        <v>69</v>
      </c>
      <c r="H452" t="s">
        <v>66</v>
      </c>
      <c r="I452" t="s">
        <v>66</v>
      </c>
      <c r="J452" t="s">
        <v>67</v>
      </c>
      <c r="K452" t="s">
        <v>71</v>
      </c>
      <c r="L452" t="s">
        <v>72</v>
      </c>
      <c r="M452" t="s">
        <v>73</v>
      </c>
      <c r="N452" t="s">
        <v>66</v>
      </c>
      <c r="O452" t="s">
        <v>73</v>
      </c>
      <c r="P452" t="s">
        <v>66</v>
      </c>
      <c r="Q452" t="s">
        <v>979</v>
      </c>
      <c r="R452" t="s">
        <v>73</v>
      </c>
      <c r="S452" t="s">
        <v>979</v>
      </c>
      <c r="T452" t="s">
        <v>2596</v>
      </c>
      <c r="U452" t="s">
        <v>2597</v>
      </c>
      <c r="V452" t="s">
        <v>982</v>
      </c>
      <c r="W452" t="s">
        <v>66</v>
      </c>
      <c r="X452" t="s">
        <v>78</v>
      </c>
      <c r="Y452" t="s">
        <v>2598</v>
      </c>
      <c r="Z452" t="s">
        <v>182</v>
      </c>
      <c r="AA452" t="s">
        <v>984</v>
      </c>
      <c r="AB452" t="s">
        <v>984</v>
      </c>
      <c r="AC452" t="s">
        <v>82</v>
      </c>
      <c r="AD452" t="s">
        <v>83</v>
      </c>
      <c r="AE452" t="s">
        <v>66</v>
      </c>
      <c r="AF452" t="s">
        <v>876</v>
      </c>
    </row>
    <row r="453" spans="1:32">
      <c r="A453" t="s">
        <v>2599</v>
      </c>
      <c r="B453" t="s">
        <v>151</v>
      </c>
      <c r="C453" t="s">
        <v>2600</v>
      </c>
      <c r="D453" t="s">
        <v>66</v>
      </c>
      <c r="E453" t="s">
        <v>67</v>
      </c>
      <c r="F453" t="s">
        <v>68</v>
      </c>
      <c r="G453" t="s">
        <v>69</v>
      </c>
      <c r="H453" t="s">
        <v>66</v>
      </c>
      <c r="I453" t="s">
        <v>66</v>
      </c>
      <c r="J453" t="s">
        <v>67</v>
      </c>
      <c r="K453" t="s">
        <v>71</v>
      </c>
      <c r="L453" t="s">
        <v>72</v>
      </c>
      <c r="M453" t="s">
        <v>73</v>
      </c>
      <c r="N453" t="s">
        <v>66</v>
      </c>
      <c r="O453" t="s">
        <v>73</v>
      </c>
      <c r="P453" t="s">
        <v>66</v>
      </c>
      <c r="Q453" t="s">
        <v>979</v>
      </c>
      <c r="R453" t="s">
        <v>73</v>
      </c>
      <c r="S453" t="s">
        <v>979</v>
      </c>
      <c r="T453" t="s">
        <v>2601</v>
      </c>
      <c r="U453" t="s">
        <v>2602</v>
      </c>
      <c r="V453" t="s">
        <v>982</v>
      </c>
      <c r="W453" t="s">
        <v>66</v>
      </c>
      <c r="X453" t="s">
        <v>78</v>
      </c>
      <c r="Y453" t="s">
        <v>2603</v>
      </c>
      <c r="Z453" t="s">
        <v>182</v>
      </c>
      <c r="AA453" t="s">
        <v>984</v>
      </c>
      <c r="AB453" t="s">
        <v>984</v>
      </c>
      <c r="AC453" t="s">
        <v>82</v>
      </c>
      <c r="AD453" t="s">
        <v>83</v>
      </c>
      <c r="AE453" t="s">
        <v>66</v>
      </c>
      <c r="AF453" t="s">
        <v>876</v>
      </c>
    </row>
    <row r="454" spans="1:32">
      <c r="A454" t="s">
        <v>2604</v>
      </c>
      <c r="B454" t="s">
        <v>308</v>
      </c>
      <c r="C454" t="s">
        <v>2605</v>
      </c>
      <c r="D454" t="s">
        <v>2605</v>
      </c>
      <c r="E454" t="s">
        <v>109</v>
      </c>
      <c r="F454" t="s">
        <v>110</v>
      </c>
      <c r="G454" t="s">
        <v>111</v>
      </c>
      <c r="H454" t="s">
        <v>66</v>
      </c>
      <c r="I454" t="s">
        <v>66</v>
      </c>
      <c r="J454" t="s">
        <v>67</v>
      </c>
      <c r="K454" t="s">
        <v>71</v>
      </c>
      <c r="L454" t="s">
        <v>72</v>
      </c>
      <c r="M454" t="s">
        <v>73</v>
      </c>
      <c r="N454" t="s">
        <v>66</v>
      </c>
      <c r="O454" t="s">
        <v>73</v>
      </c>
      <c r="P454" t="s">
        <v>66</v>
      </c>
      <c r="Q454" t="s">
        <v>979</v>
      </c>
      <c r="R454" t="s">
        <v>73</v>
      </c>
      <c r="S454" t="s">
        <v>979</v>
      </c>
      <c r="T454" t="s">
        <v>2606</v>
      </c>
      <c r="U454" t="s">
        <v>2607</v>
      </c>
      <c r="V454" t="s">
        <v>982</v>
      </c>
      <c r="W454" t="s">
        <v>66</v>
      </c>
      <c r="X454" t="s">
        <v>78</v>
      </c>
      <c r="Y454" t="s">
        <v>2608</v>
      </c>
      <c r="Z454" t="s">
        <v>182</v>
      </c>
      <c r="AA454" t="s">
        <v>984</v>
      </c>
      <c r="AB454" t="s">
        <v>984</v>
      </c>
      <c r="AC454" t="s">
        <v>82</v>
      </c>
      <c r="AD454" t="s">
        <v>83</v>
      </c>
      <c r="AE454" t="s">
        <v>66</v>
      </c>
      <c r="AF454" t="s">
        <v>876</v>
      </c>
    </row>
    <row r="455" spans="1:32">
      <c r="A455" t="s">
        <v>2609</v>
      </c>
      <c r="B455" t="s">
        <v>308</v>
      </c>
      <c r="C455" t="s">
        <v>2610</v>
      </c>
      <c r="D455" t="s">
        <v>2610</v>
      </c>
      <c r="E455" t="s">
        <v>109</v>
      </c>
      <c r="F455" t="s">
        <v>947</v>
      </c>
      <c r="G455" t="s">
        <v>948</v>
      </c>
      <c r="H455" t="s">
        <v>66</v>
      </c>
      <c r="I455" t="s">
        <v>66</v>
      </c>
      <c r="J455" t="s">
        <v>67</v>
      </c>
      <c r="K455" t="s">
        <v>71</v>
      </c>
      <c r="L455" t="s">
        <v>72</v>
      </c>
      <c r="M455" t="s">
        <v>73</v>
      </c>
      <c r="N455" t="s">
        <v>66</v>
      </c>
      <c r="O455" t="s">
        <v>73</v>
      </c>
      <c r="P455" t="s">
        <v>66</v>
      </c>
      <c r="Q455" t="s">
        <v>979</v>
      </c>
      <c r="R455" t="s">
        <v>73</v>
      </c>
      <c r="S455" t="s">
        <v>979</v>
      </c>
      <c r="T455" t="s">
        <v>2611</v>
      </c>
      <c r="U455" t="s">
        <v>2612</v>
      </c>
      <c r="V455" t="s">
        <v>982</v>
      </c>
      <c r="W455" t="s">
        <v>66</v>
      </c>
      <c r="X455" t="s">
        <v>78</v>
      </c>
      <c r="Y455" t="s">
        <v>2613</v>
      </c>
      <c r="Z455" t="s">
        <v>182</v>
      </c>
      <c r="AA455" t="s">
        <v>984</v>
      </c>
      <c r="AB455" t="s">
        <v>984</v>
      </c>
      <c r="AC455" t="s">
        <v>82</v>
      </c>
      <c r="AD455" t="s">
        <v>83</v>
      </c>
      <c r="AE455" t="s">
        <v>66</v>
      </c>
      <c r="AF455" t="s">
        <v>876</v>
      </c>
    </row>
    <row r="456" spans="1:32">
      <c r="A456" t="s">
        <v>2614</v>
      </c>
      <c r="B456" t="s">
        <v>2615</v>
      </c>
      <c r="C456" t="s">
        <v>2616</v>
      </c>
      <c r="D456" t="s">
        <v>2616</v>
      </c>
      <c r="E456" t="s">
        <v>109</v>
      </c>
      <c r="F456" t="s">
        <v>110</v>
      </c>
      <c r="G456" t="s">
        <v>111</v>
      </c>
      <c r="H456" t="s">
        <v>66</v>
      </c>
      <c r="I456" t="s">
        <v>66</v>
      </c>
      <c r="J456" t="s">
        <v>67</v>
      </c>
      <c r="K456" t="s">
        <v>71</v>
      </c>
      <c r="L456" t="s">
        <v>72</v>
      </c>
      <c r="M456" t="s">
        <v>73</v>
      </c>
      <c r="N456" t="s">
        <v>66</v>
      </c>
      <c r="O456" t="s">
        <v>73</v>
      </c>
      <c r="P456" t="s">
        <v>66</v>
      </c>
      <c r="Q456" t="s">
        <v>979</v>
      </c>
      <c r="R456" t="s">
        <v>73</v>
      </c>
      <c r="S456" t="s">
        <v>979</v>
      </c>
      <c r="T456" t="s">
        <v>2617</v>
      </c>
      <c r="U456" t="s">
        <v>2618</v>
      </c>
      <c r="V456" t="s">
        <v>982</v>
      </c>
      <c r="W456" t="s">
        <v>66</v>
      </c>
      <c r="X456" t="s">
        <v>78</v>
      </c>
      <c r="Y456" t="s">
        <v>2619</v>
      </c>
      <c r="Z456" t="s">
        <v>182</v>
      </c>
      <c r="AA456" t="s">
        <v>984</v>
      </c>
      <c r="AB456" t="s">
        <v>984</v>
      </c>
      <c r="AC456" t="s">
        <v>82</v>
      </c>
      <c r="AD456" t="s">
        <v>83</v>
      </c>
      <c r="AE456" t="s">
        <v>66</v>
      </c>
      <c r="AF456" t="s">
        <v>876</v>
      </c>
    </row>
    <row r="457" spans="1:32">
      <c r="A457" t="s">
        <v>2620</v>
      </c>
      <c r="B457" t="s">
        <v>1004</v>
      </c>
      <c r="C457" t="s">
        <v>2621</v>
      </c>
      <c r="D457" t="s">
        <v>66</v>
      </c>
      <c r="E457" t="s">
        <v>67</v>
      </c>
      <c r="F457" t="s">
        <v>68</v>
      </c>
      <c r="G457" t="s">
        <v>69</v>
      </c>
      <c r="H457" t="s">
        <v>66</v>
      </c>
      <c r="I457" t="s">
        <v>66</v>
      </c>
      <c r="J457" t="s">
        <v>67</v>
      </c>
      <c r="K457" t="s">
        <v>71</v>
      </c>
      <c r="L457" t="s">
        <v>72</v>
      </c>
      <c r="M457" t="s">
        <v>73</v>
      </c>
      <c r="N457" t="s">
        <v>66</v>
      </c>
      <c r="O457" t="s">
        <v>73</v>
      </c>
      <c r="P457" t="s">
        <v>66</v>
      </c>
      <c r="Q457" t="s">
        <v>979</v>
      </c>
      <c r="R457" t="s">
        <v>73</v>
      </c>
      <c r="S457" t="s">
        <v>979</v>
      </c>
      <c r="T457" t="s">
        <v>2622</v>
      </c>
      <c r="U457" t="s">
        <v>2623</v>
      </c>
      <c r="V457" t="s">
        <v>982</v>
      </c>
      <c r="W457" t="s">
        <v>66</v>
      </c>
      <c r="X457" t="s">
        <v>78</v>
      </c>
      <c r="Y457" t="s">
        <v>2624</v>
      </c>
      <c r="Z457" t="s">
        <v>182</v>
      </c>
      <c r="AA457" t="s">
        <v>984</v>
      </c>
      <c r="AB457" t="s">
        <v>984</v>
      </c>
      <c r="AC457" t="s">
        <v>82</v>
      </c>
      <c r="AD457" t="s">
        <v>83</v>
      </c>
      <c r="AE457" t="s">
        <v>66</v>
      </c>
      <c r="AF457" t="s">
        <v>876</v>
      </c>
    </row>
    <row r="458" spans="1:32">
      <c r="A458" t="s">
        <v>2625</v>
      </c>
      <c r="B458" t="s">
        <v>2626</v>
      </c>
      <c r="C458" t="s">
        <v>2627</v>
      </c>
      <c r="D458" t="s">
        <v>66</v>
      </c>
      <c r="E458" t="s">
        <v>67</v>
      </c>
      <c r="F458" t="s">
        <v>68</v>
      </c>
      <c r="G458" t="s">
        <v>69</v>
      </c>
      <c r="H458" t="s">
        <v>66</v>
      </c>
      <c r="I458" t="s">
        <v>66</v>
      </c>
      <c r="J458" t="s">
        <v>67</v>
      </c>
      <c r="K458" t="s">
        <v>71</v>
      </c>
      <c r="L458" t="s">
        <v>72</v>
      </c>
      <c r="M458" t="s">
        <v>73</v>
      </c>
      <c r="N458" t="s">
        <v>66</v>
      </c>
      <c r="O458" t="s">
        <v>73</v>
      </c>
      <c r="P458" t="s">
        <v>66</v>
      </c>
      <c r="Q458" t="s">
        <v>979</v>
      </c>
      <c r="R458" t="s">
        <v>73</v>
      </c>
      <c r="S458" t="s">
        <v>979</v>
      </c>
      <c r="T458" t="s">
        <v>2628</v>
      </c>
      <c r="U458" t="s">
        <v>2629</v>
      </c>
      <c r="V458" t="s">
        <v>982</v>
      </c>
      <c r="W458" t="s">
        <v>66</v>
      </c>
      <c r="X458" t="s">
        <v>78</v>
      </c>
      <c r="Y458" t="s">
        <v>2630</v>
      </c>
      <c r="Z458" t="s">
        <v>182</v>
      </c>
      <c r="AA458" t="s">
        <v>984</v>
      </c>
      <c r="AB458" t="s">
        <v>984</v>
      </c>
      <c r="AC458" t="s">
        <v>82</v>
      </c>
      <c r="AD458" t="s">
        <v>83</v>
      </c>
      <c r="AE458" t="s">
        <v>66</v>
      </c>
      <c r="AF458" t="s">
        <v>876</v>
      </c>
    </row>
    <row r="459" spans="1:32">
      <c r="A459" t="s">
        <v>2631</v>
      </c>
      <c r="B459" t="s">
        <v>359</v>
      </c>
      <c r="C459" t="s">
        <v>2632</v>
      </c>
      <c r="D459" t="s">
        <v>2632</v>
      </c>
      <c r="E459" t="s">
        <v>109</v>
      </c>
      <c r="F459" t="s">
        <v>110</v>
      </c>
      <c r="G459" t="s">
        <v>111</v>
      </c>
      <c r="H459" t="s">
        <v>66</v>
      </c>
      <c r="I459" t="s">
        <v>66</v>
      </c>
      <c r="J459" t="s">
        <v>67</v>
      </c>
      <c r="K459" t="s">
        <v>71</v>
      </c>
      <c r="L459" t="s">
        <v>72</v>
      </c>
      <c r="M459" t="s">
        <v>73</v>
      </c>
      <c r="N459" t="s">
        <v>66</v>
      </c>
      <c r="O459" t="s">
        <v>73</v>
      </c>
      <c r="P459" t="s">
        <v>66</v>
      </c>
      <c r="Q459" t="s">
        <v>979</v>
      </c>
      <c r="R459" t="s">
        <v>73</v>
      </c>
      <c r="S459" t="s">
        <v>979</v>
      </c>
      <c r="T459" t="s">
        <v>2633</v>
      </c>
      <c r="U459" t="s">
        <v>2634</v>
      </c>
      <c r="V459" t="s">
        <v>982</v>
      </c>
      <c r="W459" t="s">
        <v>66</v>
      </c>
      <c r="X459" t="s">
        <v>78</v>
      </c>
      <c r="Y459" t="s">
        <v>2635</v>
      </c>
      <c r="Z459" t="s">
        <v>182</v>
      </c>
      <c r="AA459" t="s">
        <v>984</v>
      </c>
      <c r="AB459" t="s">
        <v>984</v>
      </c>
      <c r="AC459" t="s">
        <v>82</v>
      </c>
      <c r="AD459" t="s">
        <v>83</v>
      </c>
      <c r="AE459" t="s">
        <v>66</v>
      </c>
      <c r="AF459" t="s">
        <v>876</v>
      </c>
    </row>
    <row r="460" spans="1:32">
      <c r="A460" t="s">
        <v>2636</v>
      </c>
      <c r="B460" t="s">
        <v>162</v>
      </c>
      <c r="C460" t="s">
        <v>2637</v>
      </c>
      <c r="D460" t="s">
        <v>66</v>
      </c>
      <c r="E460" t="s">
        <v>67</v>
      </c>
      <c r="F460" t="s">
        <v>164</v>
      </c>
      <c r="G460" t="s">
        <v>165</v>
      </c>
      <c r="H460" t="s">
        <v>66</v>
      </c>
      <c r="I460" t="s">
        <v>66</v>
      </c>
      <c r="J460" t="s">
        <v>67</v>
      </c>
      <c r="K460" t="s">
        <v>71</v>
      </c>
      <c r="L460" t="s">
        <v>72</v>
      </c>
      <c r="M460" t="s">
        <v>73</v>
      </c>
      <c r="N460" t="s">
        <v>66</v>
      </c>
      <c r="O460" t="s">
        <v>73</v>
      </c>
      <c r="P460" t="s">
        <v>66</v>
      </c>
      <c r="Q460" t="s">
        <v>979</v>
      </c>
      <c r="R460" t="s">
        <v>73</v>
      </c>
      <c r="S460" t="s">
        <v>979</v>
      </c>
      <c r="T460" t="s">
        <v>2638</v>
      </c>
      <c r="U460" t="s">
        <v>2639</v>
      </c>
      <c r="V460" t="s">
        <v>982</v>
      </c>
      <c r="W460" t="s">
        <v>66</v>
      </c>
      <c r="X460" t="s">
        <v>78</v>
      </c>
      <c r="Y460" t="s">
        <v>2640</v>
      </c>
      <c r="Z460" t="s">
        <v>182</v>
      </c>
      <c r="AA460" t="s">
        <v>984</v>
      </c>
      <c r="AB460" t="s">
        <v>984</v>
      </c>
      <c r="AC460" t="s">
        <v>82</v>
      </c>
      <c r="AD460" t="s">
        <v>83</v>
      </c>
      <c r="AE460" t="s">
        <v>66</v>
      </c>
      <c r="AF460" t="s">
        <v>876</v>
      </c>
    </row>
    <row r="461" spans="1:32">
      <c r="A461" t="s">
        <v>2641</v>
      </c>
      <c r="B461" t="s">
        <v>162</v>
      </c>
      <c r="C461" t="s">
        <v>2642</v>
      </c>
      <c r="D461" t="s">
        <v>66</v>
      </c>
      <c r="E461" t="s">
        <v>67</v>
      </c>
      <c r="F461" t="s">
        <v>164</v>
      </c>
      <c r="G461" t="s">
        <v>165</v>
      </c>
      <c r="H461" t="s">
        <v>66</v>
      </c>
      <c r="I461" t="s">
        <v>66</v>
      </c>
      <c r="J461" t="s">
        <v>67</v>
      </c>
      <c r="K461" t="s">
        <v>71</v>
      </c>
      <c r="L461" t="s">
        <v>72</v>
      </c>
      <c r="M461" t="s">
        <v>73</v>
      </c>
      <c r="N461" t="s">
        <v>66</v>
      </c>
      <c r="O461" t="s">
        <v>73</v>
      </c>
      <c r="P461" t="s">
        <v>66</v>
      </c>
      <c r="Q461" t="s">
        <v>979</v>
      </c>
      <c r="R461" t="s">
        <v>73</v>
      </c>
      <c r="S461" t="s">
        <v>979</v>
      </c>
      <c r="T461" t="s">
        <v>2643</v>
      </c>
      <c r="U461" t="s">
        <v>2644</v>
      </c>
      <c r="V461" t="s">
        <v>982</v>
      </c>
      <c r="W461" t="s">
        <v>66</v>
      </c>
      <c r="X461" t="s">
        <v>78</v>
      </c>
      <c r="Y461" t="s">
        <v>2645</v>
      </c>
      <c r="Z461" t="s">
        <v>182</v>
      </c>
      <c r="AA461" t="s">
        <v>984</v>
      </c>
      <c r="AB461" t="s">
        <v>984</v>
      </c>
      <c r="AC461" t="s">
        <v>82</v>
      </c>
      <c r="AD461" t="s">
        <v>83</v>
      </c>
      <c r="AE461" t="s">
        <v>66</v>
      </c>
      <c r="AF461" t="s">
        <v>876</v>
      </c>
    </row>
    <row r="462" spans="1:32">
      <c r="A462" t="s">
        <v>2646</v>
      </c>
      <c r="B462" t="s">
        <v>162</v>
      </c>
      <c r="C462" t="s">
        <v>2647</v>
      </c>
      <c r="D462" t="s">
        <v>66</v>
      </c>
      <c r="E462" t="s">
        <v>67</v>
      </c>
      <c r="F462" t="s">
        <v>164</v>
      </c>
      <c r="G462" t="s">
        <v>165</v>
      </c>
      <c r="H462" t="s">
        <v>66</v>
      </c>
      <c r="I462" t="s">
        <v>66</v>
      </c>
      <c r="J462" t="s">
        <v>67</v>
      </c>
      <c r="K462" t="s">
        <v>71</v>
      </c>
      <c r="L462" t="s">
        <v>72</v>
      </c>
      <c r="M462" t="s">
        <v>73</v>
      </c>
      <c r="N462" t="s">
        <v>66</v>
      </c>
      <c r="O462" t="s">
        <v>73</v>
      </c>
      <c r="P462" t="s">
        <v>66</v>
      </c>
      <c r="Q462" t="s">
        <v>979</v>
      </c>
      <c r="R462" t="s">
        <v>73</v>
      </c>
      <c r="S462" t="s">
        <v>979</v>
      </c>
      <c r="T462" t="s">
        <v>2648</v>
      </c>
      <c r="U462" t="s">
        <v>2649</v>
      </c>
      <c r="V462" t="s">
        <v>982</v>
      </c>
      <c r="W462" t="s">
        <v>66</v>
      </c>
      <c r="X462" t="s">
        <v>78</v>
      </c>
      <c r="Y462" t="s">
        <v>2650</v>
      </c>
      <c r="Z462" t="s">
        <v>182</v>
      </c>
      <c r="AA462" t="s">
        <v>984</v>
      </c>
      <c r="AB462" t="s">
        <v>984</v>
      </c>
      <c r="AC462" t="s">
        <v>82</v>
      </c>
      <c r="AD462" t="s">
        <v>83</v>
      </c>
      <c r="AE462" t="s">
        <v>66</v>
      </c>
      <c r="AF462" t="s">
        <v>876</v>
      </c>
    </row>
    <row r="463" spans="1:32">
      <c r="A463" t="s">
        <v>2651</v>
      </c>
      <c r="B463" t="s">
        <v>162</v>
      </c>
      <c r="C463" t="s">
        <v>2652</v>
      </c>
      <c r="D463" t="s">
        <v>66</v>
      </c>
      <c r="E463" t="s">
        <v>67</v>
      </c>
      <c r="F463" t="s">
        <v>164</v>
      </c>
      <c r="G463" t="s">
        <v>165</v>
      </c>
      <c r="H463" t="s">
        <v>66</v>
      </c>
      <c r="I463" t="s">
        <v>66</v>
      </c>
      <c r="J463" t="s">
        <v>67</v>
      </c>
      <c r="K463" t="s">
        <v>71</v>
      </c>
      <c r="L463" t="s">
        <v>72</v>
      </c>
      <c r="M463" t="s">
        <v>73</v>
      </c>
      <c r="N463" t="s">
        <v>66</v>
      </c>
      <c r="O463" t="s">
        <v>73</v>
      </c>
      <c r="P463" t="s">
        <v>66</v>
      </c>
      <c r="Q463" t="s">
        <v>979</v>
      </c>
      <c r="R463" t="s">
        <v>73</v>
      </c>
      <c r="S463" t="s">
        <v>979</v>
      </c>
      <c r="T463" t="s">
        <v>2653</v>
      </c>
      <c r="U463" t="s">
        <v>2654</v>
      </c>
      <c r="V463" t="s">
        <v>982</v>
      </c>
      <c r="W463" t="s">
        <v>66</v>
      </c>
      <c r="X463" t="s">
        <v>78</v>
      </c>
      <c r="Y463" t="s">
        <v>2655</v>
      </c>
      <c r="Z463" t="s">
        <v>182</v>
      </c>
      <c r="AA463" t="s">
        <v>984</v>
      </c>
      <c r="AB463" t="s">
        <v>984</v>
      </c>
      <c r="AC463" t="s">
        <v>82</v>
      </c>
      <c r="AD463" t="s">
        <v>83</v>
      </c>
      <c r="AE463" t="s">
        <v>66</v>
      </c>
      <c r="AF463" t="s">
        <v>876</v>
      </c>
    </row>
    <row r="464" spans="1:32">
      <c r="A464" t="s">
        <v>2656</v>
      </c>
      <c r="B464" t="s">
        <v>162</v>
      </c>
      <c r="C464" t="s">
        <v>2657</v>
      </c>
      <c r="D464" t="s">
        <v>66</v>
      </c>
      <c r="E464" t="s">
        <v>67</v>
      </c>
      <c r="F464" t="s">
        <v>164</v>
      </c>
      <c r="G464" t="s">
        <v>165</v>
      </c>
      <c r="H464" t="s">
        <v>66</v>
      </c>
      <c r="I464" t="s">
        <v>66</v>
      </c>
      <c r="J464" t="s">
        <v>67</v>
      </c>
      <c r="K464" t="s">
        <v>71</v>
      </c>
      <c r="L464" t="s">
        <v>72</v>
      </c>
      <c r="M464" t="s">
        <v>73</v>
      </c>
      <c r="N464" t="s">
        <v>66</v>
      </c>
      <c r="O464" t="s">
        <v>73</v>
      </c>
      <c r="P464" t="s">
        <v>66</v>
      </c>
      <c r="Q464" t="s">
        <v>979</v>
      </c>
      <c r="R464" t="s">
        <v>73</v>
      </c>
      <c r="S464" t="s">
        <v>979</v>
      </c>
      <c r="T464" t="s">
        <v>2658</v>
      </c>
      <c r="U464" t="s">
        <v>2659</v>
      </c>
      <c r="V464" t="s">
        <v>982</v>
      </c>
      <c r="W464" t="s">
        <v>66</v>
      </c>
      <c r="X464" t="s">
        <v>78</v>
      </c>
      <c r="Y464" t="s">
        <v>2660</v>
      </c>
      <c r="Z464" t="s">
        <v>182</v>
      </c>
      <c r="AA464" t="s">
        <v>984</v>
      </c>
      <c r="AB464" t="s">
        <v>984</v>
      </c>
      <c r="AC464" t="s">
        <v>82</v>
      </c>
      <c r="AD464" t="s">
        <v>83</v>
      </c>
      <c r="AE464" t="s">
        <v>66</v>
      </c>
      <c r="AF464" t="s">
        <v>876</v>
      </c>
    </row>
    <row r="465" spans="1:32">
      <c r="A465" t="s">
        <v>2661</v>
      </c>
      <c r="B465" t="s">
        <v>308</v>
      </c>
      <c r="C465" t="s">
        <v>2662</v>
      </c>
      <c r="D465" t="s">
        <v>2662</v>
      </c>
      <c r="E465" t="s">
        <v>109</v>
      </c>
      <c r="F465" t="s">
        <v>110</v>
      </c>
      <c r="G465" t="s">
        <v>111</v>
      </c>
      <c r="H465" t="s">
        <v>66</v>
      </c>
      <c r="I465" t="s">
        <v>66</v>
      </c>
      <c r="J465" t="s">
        <v>67</v>
      </c>
      <c r="K465" t="s">
        <v>71</v>
      </c>
      <c r="L465" t="s">
        <v>72</v>
      </c>
      <c r="M465" t="s">
        <v>73</v>
      </c>
      <c r="N465" t="s">
        <v>66</v>
      </c>
      <c r="O465" t="s">
        <v>73</v>
      </c>
      <c r="P465" t="s">
        <v>66</v>
      </c>
      <c r="Q465" t="s">
        <v>979</v>
      </c>
      <c r="R465" t="s">
        <v>73</v>
      </c>
      <c r="S465" t="s">
        <v>979</v>
      </c>
      <c r="T465" t="s">
        <v>2663</v>
      </c>
      <c r="U465" t="s">
        <v>2664</v>
      </c>
      <c r="V465" t="s">
        <v>982</v>
      </c>
      <c r="W465" t="s">
        <v>66</v>
      </c>
      <c r="X465" t="s">
        <v>78</v>
      </c>
      <c r="Y465" t="s">
        <v>2665</v>
      </c>
      <c r="Z465" t="s">
        <v>182</v>
      </c>
      <c r="AA465" t="s">
        <v>984</v>
      </c>
      <c r="AB465" t="s">
        <v>984</v>
      </c>
      <c r="AC465" t="s">
        <v>82</v>
      </c>
      <c r="AD465" t="s">
        <v>83</v>
      </c>
      <c r="AE465" t="s">
        <v>66</v>
      </c>
      <c r="AF465" t="s">
        <v>876</v>
      </c>
    </row>
    <row r="466" spans="1:32">
      <c r="A466" t="s">
        <v>2666</v>
      </c>
      <c r="B466" t="s">
        <v>308</v>
      </c>
      <c r="C466" t="s">
        <v>2667</v>
      </c>
      <c r="D466" t="s">
        <v>2667</v>
      </c>
      <c r="E466" t="s">
        <v>109</v>
      </c>
      <c r="F466" t="s">
        <v>110</v>
      </c>
      <c r="G466" t="s">
        <v>111</v>
      </c>
      <c r="H466" t="s">
        <v>66</v>
      </c>
      <c r="I466" t="s">
        <v>66</v>
      </c>
      <c r="J466" t="s">
        <v>67</v>
      </c>
      <c r="K466" t="s">
        <v>71</v>
      </c>
      <c r="L466" t="s">
        <v>72</v>
      </c>
      <c r="M466" t="s">
        <v>73</v>
      </c>
      <c r="N466" t="s">
        <v>66</v>
      </c>
      <c r="O466" t="s">
        <v>73</v>
      </c>
      <c r="P466" t="s">
        <v>66</v>
      </c>
      <c r="Q466" t="s">
        <v>979</v>
      </c>
      <c r="R466" t="s">
        <v>73</v>
      </c>
      <c r="S466" t="s">
        <v>979</v>
      </c>
      <c r="T466" t="s">
        <v>2668</v>
      </c>
      <c r="U466" t="s">
        <v>2669</v>
      </c>
      <c r="V466" t="s">
        <v>982</v>
      </c>
      <c r="W466" t="s">
        <v>66</v>
      </c>
      <c r="X466" t="s">
        <v>78</v>
      </c>
      <c r="Y466" t="s">
        <v>2670</v>
      </c>
      <c r="Z466" t="s">
        <v>182</v>
      </c>
      <c r="AA466" t="s">
        <v>984</v>
      </c>
      <c r="AB466" t="s">
        <v>984</v>
      </c>
      <c r="AC466" t="s">
        <v>82</v>
      </c>
      <c r="AD466" t="s">
        <v>83</v>
      </c>
      <c r="AE466" t="s">
        <v>66</v>
      </c>
      <c r="AF466" t="s">
        <v>876</v>
      </c>
    </row>
    <row r="467" spans="1:32">
      <c r="A467" t="s">
        <v>2671</v>
      </c>
      <c r="B467" t="s">
        <v>1101</v>
      </c>
      <c r="C467" t="s">
        <v>2672</v>
      </c>
      <c r="D467" t="s">
        <v>66</v>
      </c>
      <c r="E467" t="s">
        <v>67</v>
      </c>
      <c r="F467" t="s">
        <v>110</v>
      </c>
      <c r="G467" t="s">
        <v>111</v>
      </c>
      <c r="H467" t="s">
        <v>66</v>
      </c>
      <c r="I467" t="s">
        <v>66</v>
      </c>
      <c r="J467" t="s">
        <v>67</v>
      </c>
      <c r="K467" t="s">
        <v>71</v>
      </c>
      <c r="L467" t="s">
        <v>72</v>
      </c>
      <c r="M467" t="s">
        <v>73</v>
      </c>
      <c r="N467" t="s">
        <v>66</v>
      </c>
      <c r="O467" t="s">
        <v>73</v>
      </c>
      <c r="P467" t="s">
        <v>66</v>
      </c>
      <c r="Q467" t="s">
        <v>979</v>
      </c>
      <c r="R467" t="s">
        <v>73</v>
      </c>
      <c r="S467" t="s">
        <v>979</v>
      </c>
      <c r="T467" t="s">
        <v>2673</v>
      </c>
      <c r="U467" t="s">
        <v>2674</v>
      </c>
      <c r="V467" t="s">
        <v>982</v>
      </c>
      <c r="W467" t="s">
        <v>66</v>
      </c>
      <c r="X467" t="s">
        <v>78</v>
      </c>
      <c r="Y467" t="s">
        <v>2675</v>
      </c>
      <c r="Z467" t="s">
        <v>182</v>
      </c>
      <c r="AA467" t="s">
        <v>984</v>
      </c>
      <c r="AB467" t="s">
        <v>984</v>
      </c>
      <c r="AC467" t="s">
        <v>82</v>
      </c>
      <c r="AD467" t="s">
        <v>83</v>
      </c>
      <c r="AE467" t="s">
        <v>66</v>
      </c>
      <c r="AF467" t="s">
        <v>876</v>
      </c>
    </row>
    <row r="468" spans="1:32">
      <c r="A468" t="s">
        <v>2676</v>
      </c>
      <c r="B468" t="s">
        <v>2677</v>
      </c>
      <c r="C468" t="s">
        <v>2678</v>
      </c>
      <c r="D468" t="s">
        <v>66</v>
      </c>
      <c r="E468" t="s">
        <v>67</v>
      </c>
      <c r="F468" t="s">
        <v>947</v>
      </c>
      <c r="G468" t="s">
        <v>948</v>
      </c>
      <c r="H468" t="s">
        <v>66</v>
      </c>
      <c r="I468" t="s">
        <v>66</v>
      </c>
      <c r="J468" t="s">
        <v>67</v>
      </c>
      <c r="K468" t="s">
        <v>71</v>
      </c>
      <c r="L468" t="s">
        <v>72</v>
      </c>
      <c r="M468" t="s">
        <v>73</v>
      </c>
      <c r="N468" t="s">
        <v>66</v>
      </c>
      <c r="O468" t="s">
        <v>73</v>
      </c>
      <c r="P468" t="s">
        <v>66</v>
      </c>
      <c r="Q468" t="s">
        <v>979</v>
      </c>
      <c r="R468" t="s">
        <v>73</v>
      </c>
      <c r="S468" t="s">
        <v>979</v>
      </c>
      <c r="T468" t="s">
        <v>2679</v>
      </c>
      <c r="U468" t="s">
        <v>2680</v>
      </c>
      <c r="V468" t="s">
        <v>982</v>
      </c>
      <c r="W468" t="s">
        <v>66</v>
      </c>
      <c r="X468" t="s">
        <v>78</v>
      </c>
      <c r="Y468" t="s">
        <v>2681</v>
      </c>
      <c r="Z468" t="s">
        <v>182</v>
      </c>
      <c r="AA468" t="s">
        <v>984</v>
      </c>
      <c r="AB468" t="s">
        <v>984</v>
      </c>
      <c r="AC468" t="s">
        <v>82</v>
      </c>
      <c r="AD468" t="s">
        <v>83</v>
      </c>
      <c r="AE468" t="s">
        <v>66</v>
      </c>
      <c r="AF468" t="s">
        <v>876</v>
      </c>
    </row>
    <row r="469" spans="1:32">
      <c r="A469" t="s">
        <v>2682</v>
      </c>
      <c r="B469" t="s">
        <v>308</v>
      </c>
      <c r="C469" t="s">
        <v>2683</v>
      </c>
      <c r="D469" t="s">
        <v>2683</v>
      </c>
      <c r="E469" t="s">
        <v>109</v>
      </c>
      <c r="F469" t="s">
        <v>68</v>
      </c>
      <c r="G469" t="s">
        <v>69</v>
      </c>
      <c r="H469" t="s">
        <v>66</v>
      </c>
      <c r="I469" t="s">
        <v>66</v>
      </c>
      <c r="J469" t="s">
        <v>67</v>
      </c>
      <c r="K469" t="s">
        <v>71</v>
      </c>
      <c r="L469" t="s">
        <v>72</v>
      </c>
      <c r="M469" t="s">
        <v>73</v>
      </c>
      <c r="N469" t="s">
        <v>66</v>
      </c>
      <c r="O469" t="s">
        <v>73</v>
      </c>
      <c r="P469" t="s">
        <v>66</v>
      </c>
      <c r="Q469" t="s">
        <v>979</v>
      </c>
      <c r="R469" t="s">
        <v>73</v>
      </c>
      <c r="S469" t="s">
        <v>979</v>
      </c>
      <c r="T469" t="s">
        <v>2684</v>
      </c>
      <c r="U469" t="s">
        <v>2685</v>
      </c>
      <c r="V469" t="s">
        <v>982</v>
      </c>
      <c r="W469" t="s">
        <v>66</v>
      </c>
      <c r="X469" t="s">
        <v>78</v>
      </c>
      <c r="Y469" t="s">
        <v>2686</v>
      </c>
      <c r="Z469" t="s">
        <v>182</v>
      </c>
      <c r="AA469" t="s">
        <v>984</v>
      </c>
      <c r="AB469" t="s">
        <v>984</v>
      </c>
      <c r="AC469" t="s">
        <v>82</v>
      </c>
      <c r="AD469" t="s">
        <v>83</v>
      </c>
      <c r="AE469" t="s">
        <v>66</v>
      </c>
      <c r="AF469" t="s">
        <v>876</v>
      </c>
    </row>
    <row r="470" spans="1:32">
      <c r="A470" t="s">
        <v>2687</v>
      </c>
      <c r="B470" t="s">
        <v>121</v>
      </c>
      <c r="C470" t="s">
        <v>2688</v>
      </c>
      <c r="D470" t="s">
        <v>2688</v>
      </c>
      <c r="E470" t="s">
        <v>109</v>
      </c>
      <c r="F470" t="s">
        <v>68</v>
      </c>
      <c r="G470" t="s">
        <v>69</v>
      </c>
      <c r="H470" t="s">
        <v>66</v>
      </c>
      <c r="I470" t="s">
        <v>66</v>
      </c>
      <c r="J470" t="s">
        <v>67</v>
      </c>
      <c r="K470" t="s">
        <v>71</v>
      </c>
      <c r="L470" t="s">
        <v>72</v>
      </c>
      <c r="M470" t="s">
        <v>73</v>
      </c>
      <c r="N470" t="s">
        <v>66</v>
      </c>
      <c r="O470" t="s">
        <v>73</v>
      </c>
      <c r="P470" t="s">
        <v>66</v>
      </c>
      <c r="Q470" t="s">
        <v>979</v>
      </c>
      <c r="R470" t="s">
        <v>73</v>
      </c>
      <c r="S470" t="s">
        <v>979</v>
      </c>
      <c r="T470" t="s">
        <v>2689</v>
      </c>
      <c r="U470" t="s">
        <v>2690</v>
      </c>
      <c r="V470" t="s">
        <v>982</v>
      </c>
      <c r="W470" t="s">
        <v>66</v>
      </c>
      <c r="X470" t="s">
        <v>78</v>
      </c>
      <c r="Y470" t="s">
        <v>2691</v>
      </c>
      <c r="Z470" t="s">
        <v>182</v>
      </c>
      <c r="AA470" t="s">
        <v>984</v>
      </c>
      <c r="AB470" t="s">
        <v>984</v>
      </c>
      <c r="AC470" t="s">
        <v>82</v>
      </c>
      <c r="AD470" t="s">
        <v>83</v>
      </c>
      <c r="AE470" t="s">
        <v>66</v>
      </c>
      <c r="AF470" t="s">
        <v>876</v>
      </c>
    </row>
    <row r="471" spans="1:32">
      <c r="A471" t="s">
        <v>2692</v>
      </c>
      <c r="B471" t="s">
        <v>162</v>
      </c>
      <c r="C471" t="s">
        <v>2693</v>
      </c>
      <c r="D471" t="s">
        <v>66</v>
      </c>
      <c r="E471" t="s">
        <v>67</v>
      </c>
      <c r="F471" t="s">
        <v>164</v>
      </c>
      <c r="G471" t="s">
        <v>165</v>
      </c>
      <c r="H471" t="s">
        <v>66</v>
      </c>
      <c r="I471" t="s">
        <v>66</v>
      </c>
      <c r="J471" t="s">
        <v>67</v>
      </c>
      <c r="K471" t="s">
        <v>71</v>
      </c>
      <c r="L471" t="s">
        <v>72</v>
      </c>
      <c r="M471" t="s">
        <v>73</v>
      </c>
      <c r="N471" t="s">
        <v>66</v>
      </c>
      <c r="O471" t="s">
        <v>73</v>
      </c>
      <c r="P471" t="s">
        <v>66</v>
      </c>
      <c r="Q471" t="s">
        <v>979</v>
      </c>
      <c r="R471" t="s">
        <v>73</v>
      </c>
      <c r="S471" t="s">
        <v>979</v>
      </c>
      <c r="T471" t="s">
        <v>2694</v>
      </c>
      <c r="U471" t="s">
        <v>2695</v>
      </c>
      <c r="V471" t="s">
        <v>982</v>
      </c>
      <c r="W471" t="s">
        <v>66</v>
      </c>
      <c r="X471" t="s">
        <v>78</v>
      </c>
      <c r="Y471" t="s">
        <v>2696</v>
      </c>
      <c r="Z471" t="s">
        <v>182</v>
      </c>
      <c r="AA471" t="s">
        <v>984</v>
      </c>
      <c r="AB471" t="s">
        <v>984</v>
      </c>
      <c r="AC471" t="s">
        <v>82</v>
      </c>
      <c r="AD471" t="s">
        <v>83</v>
      </c>
      <c r="AE471" t="s">
        <v>66</v>
      </c>
      <c r="AF471" t="s">
        <v>876</v>
      </c>
    </row>
    <row r="472" spans="1:32">
      <c r="A472" t="s">
        <v>2697</v>
      </c>
      <c r="B472" t="s">
        <v>2698</v>
      </c>
      <c r="C472" t="s">
        <v>2699</v>
      </c>
      <c r="D472" t="s">
        <v>66</v>
      </c>
      <c r="E472" t="s">
        <v>67</v>
      </c>
      <c r="F472" t="s">
        <v>1321</v>
      </c>
      <c r="G472" t="s">
        <v>1322</v>
      </c>
      <c r="H472" t="s">
        <v>66</v>
      </c>
      <c r="I472" t="s">
        <v>66</v>
      </c>
      <c r="J472" t="s">
        <v>67</v>
      </c>
      <c r="K472" t="s">
        <v>71</v>
      </c>
      <c r="L472" t="s">
        <v>72</v>
      </c>
      <c r="M472" t="s">
        <v>73</v>
      </c>
      <c r="N472" t="s">
        <v>66</v>
      </c>
      <c r="O472" t="s">
        <v>73</v>
      </c>
      <c r="P472" t="s">
        <v>66</v>
      </c>
      <c r="Q472" t="s">
        <v>979</v>
      </c>
      <c r="R472" t="s">
        <v>73</v>
      </c>
      <c r="S472" t="s">
        <v>979</v>
      </c>
      <c r="T472" t="s">
        <v>2700</v>
      </c>
      <c r="U472" t="s">
        <v>2701</v>
      </c>
      <c r="V472" t="s">
        <v>982</v>
      </c>
      <c r="W472" t="s">
        <v>66</v>
      </c>
      <c r="X472" t="s">
        <v>78</v>
      </c>
      <c r="Y472" t="s">
        <v>2702</v>
      </c>
      <c r="Z472" t="s">
        <v>182</v>
      </c>
      <c r="AA472" t="s">
        <v>984</v>
      </c>
      <c r="AB472" t="s">
        <v>984</v>
      </c>
      <c r="AC472" t="s">
        <v>82</v>
      </c>
      <c r="AD472" t="s">
        <v>83</v>
      </c>
      <c r="AE472" t="s">
        <v>66</v>
      </c>
      <c r="AF472" t="s">
        <v>876</v>
      </c>
    </row>
    <row r="473" spans="1:32">
      <c r="A473" t="s">
        <v>2703</v>
      </c>
      <c r="B473" t="s">
        <v>151</v>
      </c>
      <c r="C473" t="s">
        <v>2704</v>
      </c>
      <c r="D473" t="s">
        <v>66</v>
      </c>
      <c r="E473" t="s">
        <v>67</v>
      </c>
      <c r="F473" t="s">
        <v>68</v>
      </c>
      <c r="G473" t="s">
        <v>69</v>
      </c>
      <c r="H473" t="s">
        <v>66</v>
      </c>
      <c r="I473" t="s">
        <v>66</v>
      </c>
      <c r="J473" t="s">
        <v>67</v>
      </c>
      <c r="K473" t="s">
        <v>71</v>
      </c>
      <c r="L473" t="s">
        <v>72</v>
      </c>
      <c r="M473" t="s">
        <v>73</v>
      </c>
      <c r="N473" t="s">
        <v>66</v>
      </c>
      <c r="O473" t="s">
        <v>73</v>
      </c>
      <c r="P473" t="s">
        <v>66</v>
      </c>
      <c r="Q473" t="s">
        <v>979</v>
      </c>
      <c r="R473" t="s">
        <v>73</v>
      </c>
      <c r="S473" t="s">
        <v>979</v>
      </c>
      <c r="T473" t="s">
        <v>2705</v>
      </c>
      <c r="U473" t="s">
        <v>2706</v>
      </c>
      <c r="V473" t="s">
        <v>982</v>
      </c>
      <c r="W473" t="s">
        <v>66</v>
      </c>
      <c r="X473" t="s">
        <v>78</v>
      </c>
      <c r="Y473" t="s">
        <v>2707</v>
      </c>
      <c r="Z473" t="s">
        <v>182</v>
      </c>
      <c r="AA473" t="s">
        <v>984</v>
      </c>
      <c r="AB473" t="s">
        <v>984</v>
      </c>
      <c r="AC473" t="s">
        <v>82</v>
      </c>
      <c r="AD473" t="s">
        <v>83</v>
      </c>
      <c r="AE473" t="s">
        <v>66</v>
      </c>
      <c r="AF473" t="s">
        <v>876</v>
      </c>
    </row>
    <row r="474" spans="1:32">
      <c r="A474" t="s">
        <v>2708</v>
      </c>
      <c r="B474" t="s">
        <v>130</v>
      </c>
      <c r="C474" t="s">
        <v>2709</v>
      </c>
      <c r="D474" t="s">
        <v>2709</v>
      </c>
      <c r="E474" t="s">
        <v>109</v>
      </c>
      <c r="F474" t="s">
        <v>110</v>
      </c>
      <c r="G474" t="s">
        <v>111</v>
      </c>
      <c r="H474" t="s">
        <v>66</v>
      </c>
      <c r="I474" t="s">
        <v>66</v>
      </c>
      <c r="J474" t="s">
        <v>67</v>
      </c>
      <c r="K474" t="s">
        <v>71</v>
      </c>
      <c r="L474" t="s">
        <v>72</v>
      </c>
      <c r="M474" t="s">
        <v>73</v>
      </c>
      <c r="N474" t="s">
        <v>66</v>
      </c>
      <c r="O474" t="s">
        <v>73</v>
      </c>
      <c r="P474" t="s">
        <v>66</v>
      </c>
      <c r="Q474" t="s">
        <v>979</v>
      </c>
      <c r="R474" t="s">
        <v>73</v>
      </c>
      <c r="S474" t="s">
        <v>979</v>
      </c>
      <c r="T474" t="s">
        <v>2710</v>
      </c>
      <c r="U474" t="s">
        <v>2711</v>
      </c>
      <c r="V474" t="s">
        <v>982</v>
      </c>
      <c r="W474" t="s">
        <v>66</v>
      </c>
      <c r="X474" t="s">
        <v>78</v>
      </c>
      <c r="Y474" t="s">
        <v>2712</v>
      </c>
      <c r="Z474" t="s">
        <v>182</v>
      </c>
      <c r="AA474" t="s">
        <v>984</v>
      </c>
      <c r="AB474" t="s">
        <v>984</v>
      </c>
      <c r="AC474" t="s">
        <v>82</v>
      </c>
      <c r="AD474" t="s">
        <v>83</v>
      </c>
      <c r="AE474" t="s">
        <v>66</v>
      </c>
      <c r="AF474" t="s">
        <v>876</v>
      </c>
    </row>
    <row r="475" spans="1:32">
      <c r="A475" t="s">
        <v>2713</v>
      </c>
      <c r="B475" t="s">
        <v>1197</v>
      </c>
      <c r="C475" t="s">
        <v>2714</v>
      </c>
      <c r="D475" t="s">
        <v>2714</v>
      </c>
      <c r="E475" t="s">
        <v>109</v>
      </c>
      <c r="F475" t="s">
        <v>110</v>
      </c>
      <c r="G475" t="s">
        <v>111</v>
      </c>
      <c r="H475" t="s">
        <v>66</v>
      </c>
      <c r="I475" t="s">
        <v>66</v>
      </c>
      <c r="J475" t="s">
        <v>67</v>
      </c>
      <c r="K475" t="s">
        <v>71</v>
      </c>
      <c r="L475" t="s">
        <v>72</v>
      </c>
      <c r="M475" t="s">
        <v>73</v>
      </c>
      <c r="N475" t="s">
        <v>66</v>
      </c>
      <c r="O475" t="s">
        <v>73</v>
      </c>
      <c r="P475" t="s">
        <v>66</v>
      </c>
      <c r="Q475" t="s">
        <v>979</v>
      </c>
      <c r="R475" t="s">
        <v>73</v>
      </c>
      <c r="S475" t="s">
        <v>979</v>
      </c>
      <c r="T475" t="s">
        <v>2715</v>
      </c>
      <c r="U475" t="s">
        <v>2716</v>
      </c>
      <c r="V475" t="s">
        <v>982</v>
      </c>
      <c r="W475" t="s">
        <v>66</v>
      </c>
      <c r="X475" t="s">
        <v>78</v>
      </c>
      <c r="Y475" t="s">
        <v>2717</v>
      </c>
      <c r="Z475" t="s">
        <v>182</v>
      </c>
      <c r="AA475" t="s">
        <v>984</v>
      </c>
      <c r="AB475" t="s">
        <v>984</v>
      </c>
      <c r="AC475" t="s">
        <v>82</v>
      </c>
      <c r="AD475" t="s">
        <v>83</v>
      </c>
      <c r="AE475" t="s">
        <v>66</v>
      </c>
      <c r="AF475" t="s">
        <v>876</v>
      </c>
    </row>
    <row r="476" spans="1:32">
      <c r="A476" t="s">
        <v>2718</v>
      </c>
      <c r="B476" t="s">
        <v>308</v>
      </c>
      <c r="C476" t="s">
        <v>2719</v>
      </c>
      <c r="D476" t="s">
        <v>2719</v>
      </c>
      <c r="E476" t="s">
        <v>109</v>
      </c>
      <c r="F476" t="s">
        <v>110</v>
      </c>
      <c r="G476" t="s">
        <v>111</v>
      </c>
      <c r="H476" t="s">
        <v>66</v>
      </c>
      <c r="I476" t="s">
        <v>66</v>
      </c>
      <c r="J476" t="s">
        <v>67</v>
      </c>
      <c r="K476" t="s">
        <v>71</v>
      </c>
      <c r="L476" t="s">
        <v>72</v>
      </c>
      <c r="M476" t="s">
        <v>73</v>
      </c>
      <c r="N476" t="s">
        <v>66</v>
      </c>
      <c r="O476" t="s">
        <v>73</v>
      </c>
      <c r="P476" t="s">
        <v>66</v>
      </c>
      <c r="Q476" t="s">
        <v>979</v>
      </c>
      <c r="R476" t="s">
        <v>73</v>
      </c>
      <c r="S476" t="s">
        <v>979</v>
      </c>
      <c r="T476" t="s">
        <v>2720</v>
      </c>
      <c r="U476" t="s">
        <v>2721</v>
      </c>
      <c r="V476" t="s">
        <v>982</v>
      </c>
      <c r="W476" t="s">
        <v>66</v>
      </c>
      <c r="X476" t="s">
        <v>78</v>
      </c>
      <c r="Y476" t="s">
        <v>2722</v>
      </c>
      <c r="Z476" t="s">
        <v>182</v>
      </c>
      <c r="AA476" t="s">
        <v>984</v>
      </c>
      <c r="AB476" t="s">
        <v>984</v>
      </c>
      <c r="AC476" t="s">
        <v>82</v>
      </c>
      <c r="AD476" t="s">
        <v>83</v>
      </c>
      <c r="AE476" t="s">
        <v>66</v>
      </c>
      <c r="AF476" t="s">
        <v>876</v>
      </c>
    </row>
    <row r="477" spans="1:32">
      <c r="A477" t="s">
        <v>2723</v>
      </c>
      <c r="B477" t="s">
        <v>162</v>
      </c>
      <c r="C477" t="s">
        <v>2724</v>
      </c>
      <c r="D477" t="s">
        <v>66</v>
      </c>
      <c r="E477" t="s">
        <v>67</v>
      </c>
      <c r="F477" t="s">
        <v>164</v>
      </c>
      <c r="G477" t="s">
        <v>165</v>
      </c>
      <c r="H477" t="s">
        <v>66</v>
      </c>
      <c r="I477" t="s">
        <v>66</v>
      </c>
      <c r="J477" t="s">
        <v>67</v>
      </c>
      <c r="K477" t="s">
        <v>71</v>
      </c>
      <c r="L477" t="s">
        <v>72</v>
      </c>
      <c r="M477" t="s">
        <v>73</v>
      </c>
      <c r="N477" t="s">
        <v>66</v>
      </c>
      <c r="O477" t="s">
        <v>73</v>
      </c>
      <c r="P477" t="s">
        <v>66</v>
      </c>
      <c r="Q477" t="s">
        <v>979</v>
      </c>
      <c r="R477" t="s">
        <v>73</v>
      </c>
      <c r="S477" t="s">
        <v>979</v>
      </c>
      <c r="T477" t="s">
        <v>2725</v>
      </c>
      <c r="U477" t="s">
        <v>2726</v>
      </c>
      <c r="V477" t="s">
        <v>982</v>
      </c>
      <c r="W477" t="s">
        <v>66</v>
      </c>
      <c r="X477" t="s">
        <v>78</v>
      </c>
      <c r="Y477" t="s">
        <v>2727</v>
      </c>
      <c r="Z477" t="s">
        <v>182</v>
      </c>
      <c r="AA477" t="s">
        <v>984</v>
      </c>
      <c r="AB477" t="s">
        <v>984</v>
      </c>
      <c r="AC477" t="s">
        <v>82</v>
      </c>
      <c r="AD477" t="s">
        <v>83</v>
      </c>
      <c r="AE477" t="s">
        <v>66</v>
      </c>
      <c r="AF477" t="s">
        <v>876</v>
      </c>
    </row>
    <row r="478" spans="1:32">
      <c r="A478" t="s">
        <v>2728</v>
      </c>
      <c r="B478" t="s">
        <v>173</v>
      </c>
      <c r="C478" t="s">
        <v>2729</v>
      </c>
      <c r="D478" t="s">
        <v>66</v>
      </c>
      <c r="E478" t="s">
        <v>67</v>
      </c>
      <c r="F478" t="s">
        <v>175</v>
      </c>
      <c r="G478" t="s">
        <v>176</v>
      </c>
      <c r="H478" t="s">
        <v>66</v>
      </c>
      <c r="I478" t="s">
        <v>66</v>
      </c>
      <c r="J478" t="s">
        <v>67</v>
      </c>
      <c r="K478" t="s">
        <v>71</v>
      </c>
      <c r="L478" t="s">
        <v>72</v>
      </c>
      <c r="M478" t="s">
        <v>73</v>
      </c>
      <c r="N478" t="s">
        <v>66</v>
      </c>
      <c r="O478" t="s">
        <v>73</v>
      </c>
      <c r="P478" t="s">
        <v>66</v>
      </c>
      <c r="Q478" t="s">
        <v>979</v>
      </c>
      <c r="R478" t="s">
        <v>73</v>
      </c>
      <c r="S478" t="s">
        <v>979</v>
      </c>
      <c r="T478" t="s">
        <v>2730</v>
      </c>
      <c r="U478" t="s">
        <v>2731</v>
      </c>
      <c r="V478" t="s">
        <v>982</v>
      </c>
      <c r="W478" t="s">
        <v>66</v>
      </c>
      <c r="X478" t="s">
        <v>78</v>
      </c>
      <c r="Y478" t="s">
        <v>2732</v>
      </c>
      <c r="Z478" t="s">
        <v>182</v>
      </c>
      <c r="AA478" t="s">
        <v>984</v>
      </c>
      <c r="AB478" t="s">
        <v>984</v>
      </c>
      <c r="AC478" t="s">
        <v>82</v>
      </c>
      <c r="AD478" t="s">
        <v>83</v>
      </c>
      <c r="AE478" t="s">
        <v>66</v>
      </c>
      <c r="AF478" t="s">
        <v>876</v>
      </c>
    </row>
    <row r="479" spans="1:32">
      <c r="A479" t="s">
        <v>2733</v>
      </c>
      <c r="B479" t="s">
        <v>162</v>
      </c>
      <c r="C479" t="s">
        <v>2734</v>
      </c>
      <c r="D479" t="s">
        <v>66</v>
      </c>
      <c r="E479" t="s">
        <v>67</v>
      </c>
      <c r="F479" t="s">
        <v>164</v>
      </c>
      <c r="G479" t="s">
        <v>165</v>
      </c>
      <c r="H479" t="s">
        <v>66</v>
      </c>
      <c r="I479" t="s">
        <v>66</v>
      </c>
      <c r="J479" t="s">
        <v>67</v>
      </c>
      <c r="K479" t="s">
        <v>71</v>
      </c>
      <c r="L479" t="s">
        <v>72</v>
      </c>
      <c r="M479" t="s">
        <v>73</v>
      </c>
      <c r="N479" t="s">
        <v>66</v>
      </c>
      <c r="O479" t="s">
        <v>73</v>
      </c>
      <c r="P479" t="s">
        <v>66</v>
      </c>
      <c r="Q479" t="s">
        <v>979</v>
      </c>
      <c r="R479" t="s">
        <v>73</v>
      </c>
      <c r="S479" t="s">
        <v>979</v>
      </c>
      <c r="T479" t="s">
        <v>2735</v>
      </c>
      <c r="U479" t="s">
        <v>2736</v>
      </c>
      <c r="V479" t="s">
        <v>982</v>
      </c>
      <c r="W479" t="s">
        <v>66</v>
      </c>
      <c r="X479" t="s">
        <v>78</v>
      </c>
      <c r="Y479" t="s">
        <v>2737</v>
      </c>
      <c r="Z479" t="s">
        <v>182</v>
      </c>
      <c r="AA479" t="s">
        <v>984</v>
      </c>
      <c r="AB479" t="s">
        <v>984</v>
      </c>
      <c r="AC479" t="s">
        <v>82</v>
      </c>
      <c r="AD479" t="s">
        <v>83</v>
      </c>
      <c r="AE479" t="s">
        <v>66</v>
      </c>
      <c r="AF479" t="s">
        <v>876</v>
      </c>
    </row>
    <row r="480" spans="1:32">
      <c r="A480" t="s">
        <v>2738</v>
      </c>
      <c r="B480" t="s">
        <v>1123</v>
      </c>
      <c r="C480" t="s">
        <v>2739</v>
      </c>
      <c r="D480" t="s">
        <v>66</v>
      </c>
      <c r="E480" t="s">
        <v>67</v>
      </c>
      <c r="F480" t="s">
        <v>68</v>
      </c>
      <c r="G480" t="s">
        <v>69</v>
      </c>
      <c r="H480" t="s">
        <v>66</v>
      </c>
      <c r="I480" t="s">
        <v>66</v>
      </c>
      <c r="J480" t="s">
        <v>67</v>
      </c>
      <c r="K480" t="s">
        <v>71</v>
      </c>
      <c r="L480" t="s">
        <v>72</v>
      </c>
      <c r="M480" t="s">
        <v>73</v>
      </c>
      <c r="N480" t="s">
        <v>66</v>
      </c>
      <c r="O480" t="s">
        <v>73</v>
      </c>
      <c r="P480" t="s">
        <v>66</v>
      </c>
      <c r="Q480" t="s">
        <v>979</v>
      </c>
      <c r="R480" t="s">
        <v>73</v>
      </c>
      <c r="S480" t="s">
        <v>979</v>
      </c>
      <c r="T480" t="s">
        <v>2740</v>
      </c>
      <c r="U480" t="s">
        <v>2741</v>
      </c>
      <c r="V480" t="s">
        <v>982</v>
      </c>
      <c r="W480" t="s">
        <v>66</v>
      </c>
      <c r="X480" t="s">
        <v>78</v>
      </c>
      <c r="Y480" t="s">
        <v>2742</v>
      </c>
      <c r="Z480" t="s">
        <v>182</v>
      </c>
      <c r="AA480" t="s">
        <v>984</v>
      </c>
      <c r="AB480" t="s">
        <v>984</v>
      </c>
      <c r="AC480" t="s">
        <v>82</v>
      </c>
      <c r="AD480" t="s">
        <v>83</v>
      </c>
      <c r="AE480" t="s">
        <v>66</v>
      </c>
      <c r="AF480" t="s">
        <v>876</v>
      </c>
    </row>
    <row r="481" spans="1:32">
      <c r="A481" t="s">
        <v>2743</v>
      </c>
      <c r="B481" t="s">
        <v>162</v>
      </c>
      <c r="C481" t="s">
        <v>2744</v>
      </c>
      <c r="D481" t="s">
        <v>66</v>
      </c>
      <c r="E481" t="s">
        <v>67</v>
      </c>
      <c r="F481" t="s">
        <v>164</v>
      </c>
      <c r="G481" t="s">
        <v>165</v>
      </c>
      <c r="H481" t="s">
        <v>66</v>
      </c>
      <c r="I481" t="s">
        <v>66</v>
      </c>
      <c r="J481" t="s">
        <v>67</v>
      </c>
      <c r="K481" t="s">
        <v>71</v>
      </c>
      <c r="L481" t="s">
        <v>72</v>
      </c>
      <c r="M481" t="s">
        <v>73</v>
      </c>
      <c r="N481" t="s">
        <v>66</v>
      </c>
      <c r="O481" t="s">
        <v>73</v>
      </c>
      <c r="P481" t="s">
        <v>66</v>
      </c>
      <c r="Q481" t="s">
        <v>979</v>
      </c>
      <c r="R481" t="s">
        <v>73</v>
      </c>
      <c r="S481" t="s">
        <v>979</v>
      </c>
      <c r="T481" t="s">
        <v>2745</v>
      </c>
      <c r="U481" t="s">
        <v>2746</v>
      </c>
      <c r="V481" t="s">
        <v>982</v>
      </c>
      <c r="W481" t="s">
        <v>66</v>
      </c>
      <c r="X481" t="s">
        <v>78</v>
      </c>
      <c r="Y481" t="s">
        <v>2747</v>
      </c>
      <c r="Z481" t="s">
        <v>182</v>
      </c>
      <c r="AA481" t="s">
        <v>984</v>
      </c>
      <c r="AB481" t="s">
        <v>984</v>
      </c>
      <c r="AC481" t="s">
        <v>82</v>
      </c>
      <c r="AD481" t="s">
        <v>83</v>
      </c>
      <c r="AE481" t="s">
        <v>66</v>
      </c>
      <c r="AF481" t="s">
        <v>876</v>
      </c>
    </row>
    <row r="482" spans="1:32">
      <c r="A482" t="s">
        <v>2748</v>
      </c>
      <c r="B482" t="s">
        <v>2749</v>
      </c>
      <c r="C482" t="s">
        <v>2750</v>
      </c>
      <c r="D482" t="s">
        <v>2750</v>
      </c>
      <c r="E482" t="s">
        <v>109</v>
      </c>
      <c r="F482" t="s">
        <v>110</v>
      </c>
      <c r="G482" t="s">
        <v>111</v>
      </c>
      <c r="H482" t="s">
        <v>66</v>
      </c>
      <c r="I482" t="s">
        <v>66</v>
      </c>
      <c r="J482" t="s">
        <v>67</v>
      </c>
      <c r="K482" t="s">
        <v>71</v>
      </c>
      <c r="L482" t="s">
        <v>72</v>
      </c>
      <c r="M482" t="s">
        <v>73</v>
      </c>
      <c r="N482" t="s">
        <v>66</v>
      </c>
      <c r="O482" t="s">
        <v>73</v>
      </c>
      <c r="P482" t="s">
        <v>66</v>
      </c>
      <c r="Q482" t="s">
        <v>979</v>
      </c>
      <c r="R482" t="s">
        <v>73</v>
      </c>
      <c r="S482" t="s">
        <v>979</v>
      </c>
      <c r="T482" t="s">
        <v>2751</v>
      </c>
      <c r="U482" t="s">
        <v>2752</v>
      </c>
      <c r="V482" t="s">
        <v>982</v>
      </c>
      <c r="W482" t="s">
        <v>66</v>
      </c>
      <c r="X482" t="s">
        <v>78</v>
      </c>
      <c r="Y482" t="s">
        <v>2753</v>
      </c>
      <c r="Z482" t="s">
        <v>182</v>
      </c>
      <c r="AA482" t="s">
        <v>984</v>
      </c>
      <c r="AB482" t="s">
        <v>984</v>
      </c>
      <c r="AC482" t="s">
        <v>82</v>
      </c>
      <c r="AD482" t="s">
        <v>83</v>
      </c>
      <c r="AE482" t="s">
        <v>66</v>
      </c>
      <c r="AF482" t="s">
        <v>876</v>
      </c>
    </row>
    <row r="483" spans="1:32">
      <c r="A483" t="s">
        <v>2754</v>
      </c>
      <c r="B483" t="s">
        <v>308</v>
      </c>
      <c r="C483" t="s">
        <v>2755</v>
      </c>
      <c r="D483" t="s">
        <v>2755</v>
      </c>
      <c r="E483" t="s">
        <v>109</v>
      </c>
      <c r="F483" t="s">
        <v>68</v>
      </c>
      <c r="G483" t="s">
        <v>69</v>
      </c>
      <c r="H483" t="s">
        <v>66</v>
      </c>
      <c r="I483" t="s">
        <v>66</v>
      </c>
      <c r="J483" t="s">
        <v>67</v>
      </c>
      <c r="K483" t="s">
        <v>71</v>
      </c>
      <c r="L483" t="s">
        <v>72</v>
      </c>
      <c r="M483" t="s">
        <v>73</v>
      </c>
      <c r="N483" t="s">
        <v>66</v>
      </c>
      <c r="O483" t="s">
        <v>73</v>
      </c>
      <c r="P483" t="s">
        <v>66</v>
      </c>
      <c r="Q483" t="s">
        <v>979</v>
      </c>
      <c r="R483" t="s">
        <v>73</v>
      </c>
      <c r="S483" t="s">
        <v>979</v>
      </c>
      <c r="T483" t="s">
        <v>2756</v>
      </c>
      <c r="U483" t="s">
        <v>2757</v>
      </c>
      <c r="V483" t="s">
        <v>982</v>
      </c>
      <c r="W483" t="s">
        <v>66</v>
      </c>
      <c r="X483" t="s">
        <v>78</v>
      </c>
      <c r="Y483" t="s">
        <v>2758</v>
      </c>
      <c r="Z483" t="s">
        <v>182</v>
      </c>
      <c r="AA483" t="s">
        <v>984</v>
      </c>
      <c r="AB483" t="s">
        <v>984</v>
      </c>
      <c r="AC483" t="s">
        <v>82</v>
      </c>
      <c r="AD483" t="s">
        <v>83</v>
      </c>
      <c r="AE483" t="s">
        <v>66</v>
      </c>
      <c r="AF483" t="s">
        <v>876</v>
      </c>
    </row>
    <row r="484" spans="1:32">
      <c r="A484" t="s">
        <v>2759</v>
      </c>
      <c r="B484" t="s">
        <v>1101</v>
      </c>
      <c r="C484" t="s">
        <v>2760</v>
      </c>
      <c r="D484" t="s">
        <v>66</v>
      </c>
      <c r="E484" t="s">
        <v>67</v>
      </c>
      <c r="F484" t="s">
        <v>110</v>
      </c>
      <c r="G484" t="s">
        <v>111</v>
      </c>
      <c r="H484" t="s">
        <v>66</v>
      </c>
      <c r="I484" t="s">
        <v>66</v>
      </c>
      <c r="J484" t="s">
        <v>67</v>
      </c>
      <c r="K484" t="s">
        <v>71</v>
      </c>
      <c r="L484" t="s">
        <v>72</v>
      </c>
      <c r="M484" t="s">
        <v>73</v>
      </c>
      <c r="N484" t="s">
        <v>66</v>
      </c>
      <c r="O484" t="s">
        <v>73</v>
      </c>
      <c r="P484" t="s">
        <v>66</v>
      </c>
      <c r="Q484" t="s">
        <v>979</v>
      </c>
      <c r="R484" t="s">
        <v>73</v>
      </c>
      <c r="S484" t="s">
        <v>979</v>
      </c>
      <c r="T484" t="s">
        <v>2761</v>
      </c>
      <c r="U484" t="s">
        <v>2762</v>
      </c>
      <c r="V484" t="s">
        <v>982</v>
      </c>
      <c r="W484" t="s">
        <v>66</v>
      </c>
      <c r="X484" t="s">
        <v>78</v>
      </c>
      <c r="Y484" t="s">
        <v>2763</v>
      </c>
      <c r="Z484" t="s">
        <v>182</v>
      </c>
      <c r="AA484" t="s">
        <v>984</v>
      </c>
      <c r="AB484" t="s">
        <v>984</v>
      </c>
      <c r="AC484" t="s">
        <v>82</v>
      </c>
      <c r="AD484" t="s">
        <v>83</v>
      </c>
      <c r="AE484" t="s">
        <v>66</v>
      </c>
      <c r="AF484" t="s">
        <v>876</v>
      </c>
    </row>
    <row r="485" spans="1:32">
      <c r="A485" t="s">
        <v>2764</v>
      </c>
      <c r="B485" t="s">
        <v>841</v>
      </c>
      <c r="C485" t="s">
        <v>2765</v>
      </c>
      <c r="D485" t="s">
        <v>2765</v>
      </c>
      <c r="E485" t="s">
        <v>109</v>
      </c>
      <c r="F485" t="s">
        <v>110</v>
      </c>
      <c r="G485" t="s">
        <v>111</v>
      </c>
      <c r="H485" t="s">
        <v>66</v>
      </c>
      <c r="I485" t="s">
        <v>66</v>
      </c>
      <c r="J485" t="s">
        <v>67</v>
      </c>
      <c r="K485" t="s">
        <v>71</v>
      </c>
      <c r="L485" t="s">
        <v>72</v>
      </c>
      <c r="M485" t="s">
        <v>73</v>
      </c>
      <c r="N485" t="s">
        <v>66</v>
      </c>
      <c r="O485" t="s">
        <v>73</v>
      </c>
      <c r="P485" t="s">
        <v>66</v>
      </c>
      <c r="Q485" t="s">
        <v>979</v>
      </c>
      <c r="R485" t="s">
        <v>73</v>
      </c>
      <c r="S485" t="s">
        <v>979</v>
      </c>
      <c r="T485" t="s">
        <v>2766</v>
      </c>
      <c r="U485" t="s">
        <v>2767</v>
      </c>
      <c r="V485" t="s">
        <v>982</v>
      </c>
      <c r="W485" t="s">
        <v>66</v>
      </c>
      <c r="X485" t="s">
        <v>78</v>
      </c>
      <c r="Y485" t="s">
        <v>2768</v>
      </c>
      <c r="Z485" t="s">
        <v>182</v>
      </c>
      <c r="AA485" t="s">
        <v>984</v>
      </c>
      <c r="AB485" t="s">
        <v>984</v>
      </c>
      <c r="AC485" t="s">
        <v>82</v>
      </c>
      <c r="AD485" t="s">
        <v>83</v>
      </c>
      <c r="AE485" t="s">
        <v>66</v>
      </c>
      <c r="AF485" t="s">
        <v>876</v>
      </c>
    </row>
    <row r="486" spans="1:32">
      <c r="A486" t="s">
        <v>2769</v>
      </c>
      <c r="B486" t="s">
        <v>1123</v>
      </c>
      <c r="C486" t="s">
        <v>2770</v>
      </c>
      <c r="D486" t="s">
        <v>66</v>
      </c>
      <c r="E486" t="s">
        <v>67</v>
      </c>
      <c r="F486" t="s">
        <v>68</v>
      </c>
      <c r="G486" t="s">
        <v>69</v>
      </c>
      <c r="H486" t="s">
        <v>66</v>
      </c>
      <c r="I486" t="s">
        <v>66</v>
      </c>
      <c r="J486" t="s">
        <v>67</v>
      </c>
      <c r="K486" t="s">
        <v>71</v>
      </c>
      <c r="L486" t="s">
        <v>72</v>
      </c>
      <c r="M486" t="s">
        <v>73</v>
      </c>
      <c r="N486" t="s">
        <v>66</v>
      </c>
      <c r="O486" t="s">
        <v>73</v>
      </c>
      <c r="P486" t="s">
        <v>66</v>
      </c>
      <c r="Q486" t="s">
        <v>979</v>
      </c>
      <c r="R486" t="s">
        <v>73</v>
      </c>
      <c r="S486" t="s">
        <v>979</v>
      </c>
      <c r="T486" t="s">
        <v>2771</v>
      </c>
      <c r="U486" t="s">
        <v>2772</v>
      </c>
      <c r="V486" t="s">
        <v>982</v>
      </c>
      <c r="W486" t="s">
        <v>66</v>
      </c>
      <c r="X486" t="s">
        <v>78</v>
      </c>
      <c r="Y486" t="s">
        <v>2773</v>
      </c>
      <c r="Z486" t="s">
        <v>182</v>
      </c>
      <c r="AA486" t="s">
        <v>984</v>
      </c>
      <c r="AB486" t="s">
        <v>984</v>
      </c>
      <c r="AC486" t="s">
        <v>82</v>
      </c>
      <c r="AD486" t="s">
        <v>83</v>
      </c>
      <c r="AE486" t="s">
        <v>66</v>
      </c>
      <c r="AF486" t="s">
        <v>876</v>
      </c>
    </row>
    <row r="487" spans="1:32">
      <c r="A487" t="s">
        <v>2774</v>
      </c>
      <c r="B487" t="s">
        <v>162</v>
      </c>
      <c r="C487" t="s">
        <v>2775</v>
      </c>
      <c r="D487" t="s">
        <v>66</v>
      </c>
      <c r="E487" t="s">
        <v>67</v>
      </c>
      <c r="F487" t="s">
        <v>164</v>
      </c>
      <c r="G487" t="s">
        <v>165</v>
      </c>
      <c r="H487" t="s">
        <v>66</v>
      </c>
      <c r="I487" t="s">
        <v>66</v>
      </c>
      <c r="J487" t="s">
        <v>67</v>
      </c>
      <c r="K487" t="s">
        <v>71</v>
      </c>
      <c r="L487" t="s">
        <v>72</v>
      </c>
      <c r="M487" t="s">
        <v>73</v>
      </c>
      <c r="N487" t="s">
        <v>66</v>
      </c>
      <c r="O487" t="s">
        <v>73</v>
      </c>
      <c r="P487" t="s">
        <v>66</v>
      </c>
      <c r="Q487" t="s">
        <v>979</v>
      </c>
      <c r="R487" t="s">
        <v>73</v>
      </c>
      <c r="S487" t="s">
        <v>979</v>
      </c>
      <c r="T487" t="s">
        <v>2776</v>
      </c>
      <c r="U487" t="s">
        <v>2777</v>
      </c>
      <c r="V487" t="s">
        <v>982</v>
      </c>
      <c r="W487" t="s">
        <v>66</v>
      </c>
      <c r="X487" t="s">
        <v>78</v>
      </c>
      <c r="Y487" t="s">
        <v>2778</v>
      </c>
      <c r="Z487" t="s">
        <v>182</v>
      </c>
      <c r="AA487" t="s">
        <v>984</v>
      </c>
      <c r="AB487" t="s">
        <v>984</v>
      </c>
      <c r="AC487" t="s">
        <v>82</v>
      </c>
      <c r="AD487" t="s">
        <v>83</v>
      </c>
      <c r="AE487" t="s">
        <v>66</v>
      </c>
      <c r="AF487" t="s">
        <v>876</v>
      </c>
    </row>
    <row r="488" spans="1:32">
      <c r="A488" t="s">
        <v>2779</v>
      </c>
      <c r="B488" t="s">
        <v>1004</v>
      </c>
      <c r="C488" t="s">
        <v>2780</v>
      </c>
      <c r="D488" t="s">
        <v>66</v>
      </c>
      <c r="E488" t="s">
        <v>67</v>
      </c>
      <c r="F488" t="s">
        <v>68</v>
      </c>
      <c r="G488" t="s">
        <v>69</v>
      </c>
      <c r="H488" t="s">
        <v>66</v>
      </c>
      <c r="I488" t="s">
        <v>66</v>
      </c>
      <c r="J488" t="s">
        <v>67</v>
      </c>
      <c r="K488" t="s">
        <v>71</v>
      </c>
      <c r="L488" t="s">
        <v>72</v>
      </c>
      <c r="M488" t="s">
        <v>73</v>
      </c>
      <c r="N488" t="s">
        <v>66</v>
      </c>
      <c r="O488" t="s">
        <v>73</v>
      </c>
      <c r="P488" t="s">
        <v>66</v>
      </c>
      <c r="Q488" t="s">
        <v>979</v>
      </c>
      <c r="R488" t="s">
        <v>73</v>
      </c>
      <c r="S488" t="s">
        <v>979</v>
      </c>
      <c r="T488" t="s">
        <v>2781</v>
      </c>
      <c r="U488" t="s">
        <v>2782</v>
      </c>
      <c r="V488" t="s">
        <v>982</v>
      </c>
      <c r="W488" t="s">
        <v>66</v>
      </c>
      <c r="X488" t="s">
        <v>78</v>
      </c>
      <c r="Y488" t="s">
        <v>2783</v>
      </c>
      <c r="Z488" t="s">
        <v>182</v>
      </c>
      <c r="AA488" t="s">
        <v>984</v>
      </c>
      <c r="AB488" t="s">
        <v>984</v>
      </c>
      <c r="AC488" t="s">
        <v>82</v>
      </c>
      <c r="AD488" t="s">
        <v>83</v>
      </c>
      <c r="AE488" t="s">
        <v>66</v>
      </c>
      <c r="AF488" t="s">
        <v>876</v>
      </c>
    </row>
    <row r="489" spans="1:32">
      <c r="A489" t="s">
        <v>2784</v>
      </c>
      <c r="B489" t="s">
        <v>841</v>
      </c>
      <c r="C489" t="s">
        <v>2785</v>
      </c>
      <c r="D489" t="s">
        <v>2785</v>
      </c>
      <c r="E489" t="s">
        <v>109</v>
      </c>
      <c r="F489" t="s">
        <v>110</v>
      </c>
      <c r="G489" t="s">
        <v>111</v>
      </c>
      <c r="H489" t="s">
        <v>66</v>
      </c>
      <c r="I489" t="s">
        <v>66</v>
      </c>
      <c r="J489" t="s">
        <v>67</v>
      </c>
      <c r="K489" t="s">
        <v>71</v>
      </c>
      <c r="L489" t="s">
        <v>72</v>
      </c>
      <c r="M489" t="s">
        <v>73</v>
      </c>
      <c r="N489" t="s">
        <v>66</v>
      </c>
      <c r="O489" t="s">
        <v>73</v>
      </c>
      <c r="P489" t="s">
        <v>66</v>
      </c>
      <c r="Q489" t="s">
        <v>979</v>
      </c>
      <c r="R489" t="s">
        <v>73</v>
      </c>
      <c r="S489" t="s">
        <v>979</v>
      </c>
      <c r="T489" t="s">
        <v>2786</v>
      </c>
      <c r="U489" t="s">
        <v>2787</v>
      </c>
      <c r="V489" t="s">
        <v>982</v>
      </c>
      <c r="W489" t="s">
        <v>66</v>
      </c>
      <c r="X489" t="s">
        <v>78</v>
      </c>
      <c r="Y489" t="s">
        <v>2788</v>
      </c>
      <c r="Z489" t="s">
        <v>182</v>
      </c>
      <c r="AA489" t="s">
        <v>984</v>
      </c>
      <c r="AB489" t="s">
        <v>984</v>
      </c>
      <c r="AC489" t="s">
        <v>82</v>
      </c>
      <c r="AD489" t="s">
        <v>83</v>
      </c>
      <c r="AE489" t="s">
        <v>66</v>
      </c>
      <c r="AF489" t="s">
        <v>876</v>
      </c>
    </row>
    <row r="490" spans="1:32">
      <c r="A490" t="s">
        <v>2789</v>
      </c>
      <c r="B490" t="s">
        <v>977</v>
      </c>
      <c r="C490" t="s">
        <v>2790</v>
      </c>
      <c r="D490" t="s">
        <v>2790</v>
      </c>
      <c r="E490" t="s">
        <v>109</v>
      </c>
      <c r="F490" t="s">
        <v>68</v>
      </c>
      <c r="G490" t="s">
        <v>69</v>
      </c>
      <c r="H490" t="s">
        <v>66</v>
      </c>
      <c r="I490" t="s">
        <v>66</v>
      </c>
      <c r="J490" t="s">
        <v>67</v>
      </c>
      <c r="K490" t="s">
        <v>71</v>
      </c>
      <c r="L490" t="s">
        <v>72</v>
      </c>
      <c r="M490" t="s">
        <v>73</v>
      </c>
      <c r="N490" t="s">
        <v>66</v>
      </c>
      <c r="O490" t="s">
        <v>73</v>
      </c>
      <c r="P490" t="s">
        <v>66</v>
      </c>
      <c r="Q490" t="s">
        <v>979</v>
      </c>
      <c r="R490" t="s">
        <v>73</v>
      </c>
      <c r="S490" t="s">
        <v>979</v>
      </c>
      <c r="T490" t="s">
        <v>2791</v>
      </c>
      <c r="U490" t="s">
        <v>2792</v>
      </c>
      <c r="V490" t="s">
        <v>982</v>
      </c>
      <c r="W490" t="s">
        <v>66</v>
      </c>
      <c r="X490" t="s">
        <v>78</v>
      </c>
      <c r="Y490" t="s">
        <v>2793</v>
      </c>
      <c r="Z490" t="s">
        <v>182</v>
      </c>
      <c r="AA490" t="s">
        <v>984</v>
      </c>
      <c r="AB490" t="s">
        <v>984</v>
      </c>
      <c r="AC490" t="s">
        <v>82</v>
      </c>
      <c r="AD490" t="s">
        <v>83</v>
      </c>
      <c r="AE490" t="s">
        <v>66</v>
      </c>
      <c r="AF490" t="s">
        <v>876</v>
      </c>
    </row>
    <row r="491" spans="1:32">
      <c r="A491" t="s">
        <v>2794</v>
      </c>
      <c r="B491" t="s">
        <v>86</v>
      </c>
      <c r="C491" t="s">
        <v>2795</v>
      </c>
      <c r="D491" t="s">
        <v>66</v>
      </c>
      <c r="E491" t="s">
        <v>67</v>
      </c>
      <c r="F491" t="s">
        <v>68</v>
      </c>
      <c r="G491" t="s">
        <v>69</v>
      </c>
      <c r="H491" t="s">
        <v>66</v>
      </c>
      <c r="I491" t="s">
        <v>66</v>
      </c>
      <c r="J491" t="s">
        <v>67</v>
      </c>
      <c r="K491" t="s">
        <v>71</v>
      </c>
      <c r="L491" t="s">
        <v>72</v>
      </c>
      <c r="M491" t="s">
        <v>73</v>
      </c>
      <c r="N491" t="s">
        <v>66</v>
      </c>
      <c r="O491" t="s">
        <v>73</v>
      </c>
      <c r="P491" t="s">
        <v>66</v>
      </c>
      <c r="Q491" t="s">
        <v>979</v>
      </c>
      <c r="R491" t="s">
        <v>73</v>
      </c>
      <c r="S491" t="s">
        <v>979</v>
      </c>
      <c r="T491" t="s">
        <v>2796</v>
      </c>
      <c r="U491" t="s">
        <v>2797</v>
      </c>
      <c r="V491" t="s">
        <v>982</v>
      </c>
      <c r="W491" t="s">
        <v>66</v>
      </c>
      <c r="X491" t="s">
        <v>78</v>
      </c>
      <c r="Y491" t="s">
        <v>2798</v>
      </c>
      <c r="Z491" t="s">
        <v>182</v>
      </c>
      <c r="AA491" t="s">
        <v>984</v>
      </c>
      <c r="AB491" t="s">
        <v>984</v>
      </c>
      <c r="AC491" t="s">
        <v>82</v>
      </c>
      <c r="AD491" t="s">
        <v>83</v>
      </c>
      <c r="AE491" t="s">
        <v>66</v>
      </c>
      <c r="AF491" t="s">
        <v>876</v>
      </c>
    </row>
    <row r="492" spans="1:32">
      <c r="A492" t="s">
        <v>2799</v>
      </c>
      <c r="B492" t="s">
        <v>1064</v>
      </c>
      <c r="C492" t="s">
        <v>2800</v>
      </c>
      <c r="D492" t="s">
        <v>66</v>
      </c>
      <c r="E492" t="s">
        <v>67</v>
      </c>
      <c r="F492" t="s">
        <v>110</v>
      </c>
      <c r="G492" t="s">
        <v>111</v>
      </c>
      <c r="H492" t="s">
        <v>66</v>
      </c>
      <c r="I492" t="s">
        <v>66</v>
      </c>
      <c r="J492" t="s">
        <v>67</v>
      </c>
      <c r="K492" t="s">
        <v>71</v>
      </c>
      <c r="L492" t="s">
        <v>72</v>
      </c>
      <c r="M492" t="s">
        <v>73</v>
      </c>
      <c r="N492" t="s">
        <v>66</v>
      </c>
      <c r="O492" t="s">
        <v>73</v>
      </c>
      <c r="P492" t="s">
        <v>66</v>
      </c>
      <c r="Q492" t="s">
        <v>979</v>
      </c>
      <c r="R492" t="s">
        <v>73</v>
      </c>
      <c r="S492" t="s">
        <v>979</v>
      </c>
      <c r="T492" t="s">
        <v>2801</v>
      </c>
      <c r="U492" t="s">
        <v>2802</v>
      </c>
      <c r="V492" t="s">
        <v>982</v>
      </c>
      <c r="W492" t="s">
        <v>66</v>
      </c>
      <c r="X492" t="s">
        <v>78</v>
      </c>
      <c r="Y492" t="s">
        <v>2803</v>
      </c>
      <c r="Z492" t="s">
        <v>182</v>
      </c>
      <c r="AA492" t="s">
        <v>984</v>
      </c>
      <c r="AB492" t="s">
        <v>984</v>
      </c>
      <c r="AC492" t="s">
        <v>82</v>
      </c>
      <c r="AD492" t="s">
        <v>83</v>
      </c>
      <c r="AE492" t="s">
        <v>66</v>
      </c>
      <c r="AF492" t="s">
        <v>876</v>
      </c>
    </row>
    <row r="493" spans="1:32">
      <c r="A493" t="s">
        <v>2804</v>
      </c>
      <c r="B493" t="s">
        <v>308</v>
      </c>
      <c r="C493" t="s">
        <v>2805</v>
      </c>
      <c r="D493" t="s">
        <v>2805</v>
      </c>
      <c r="E493" t="s">
        <v>109</v>
      </c>
      <c r="F493" t="s">
        <v>110</v>
      </c>
      <c r="G493" t="s">
        <v>111</v>
      </c>
      <c r="H493" t="s">
        <v>66</v>
      </c>
      <c r="I493" t="s">
        <v>66</v>
      </c>
      <c r="J493" t="s">
        <v>67</v>
      </c>
      <c r="K493" t="s">
        <v>71</v>
      </c>
      <c r="L493" t="s">
        <v>72</v>
      </c>
      <c r="M493" t="s">
        <v>73</v>
      </c>
      <c r="N493" t="s">
        <v>66</v>
      </c>
      <c r="O493" t="s">
        <v>73</v>
      </c>
      <c r="P493" t="s">
        <v>66</v>
      </c>
      <c r="Q493" t="s">
        <v>979</v>
      </c>
      <c r="R493" t="s">
        <v>73</v>
      </c>
      <c r="S493" t="s">
        <v>979</v>
      </c>
      <c r="T493" t="s">
        <v>2806</v>
      </c>
      <c r="U493" t="s">
        <v>2807</v>
      </c>
      <c r="V493" t="s">
        <v>982</v>
      </c>
      <c r="W493" t="s">
        <v>66</v>
      </c>
      <c r="X493" t="s">
        <v>78</v>
      </c>
      <c r="Y493" t="s">
        <v>2808</v>
      </c>
      <c r="Z493" t="s">
        <v>182</v>
      </c>
      <c r="AA493" t="s">
        <v>984</v>
      </c>
      <c r="AB493" t="s">
        <v>984</v>
      </c>
      <c r="AC493" t="s">
        <v>82</v>
      </c>
      <c r="AD493" t="s">
        <v>83</v>
      </c>
      <c r="AE493" t="s">
        <v>66</v>
      </c>
      <c r="AF493" t="s">
        <v>876</v>
      </c>
    </row>
    <row r="494" spans="1:32">
      <c r="A494" t="s">
        <v>2809</v>
      </c>
      <c r="B494" t="s">
        <v>162</v>
      </c>
      <c r="C494" t="s">
        <v>2810</v>
      </c>
      <c r="D494" t="s">
        <v>66</v>
      </c>
      <c r="E494" t="s">
        <v>67</v>
      </c>
      <c r="F494" t="s">
        <v>164</v>
      </c>
      <c r="G494" t="s">
        <v>165</v>
      </c>
      <c r="H494" t="s">
        <v>66</v>
      </c>
      <c r="I494" t="s">
        <v>66</v>
      </c>
      <c r="J494" t="s">
        <v>67</v>
      </c>
      <c r="K494" t="s">
        <v>71</v>
      </c>
      <c r="L494" t="s">
        <v>72</v>
      </c>
      <c r="M494" t="s">
        <v>73</v>
      </c>
      <c r="N494" t="s">
        <v>66</v>
      </c>
      <c r="O494" t="s">
        <v>73</v>
      </c>
      <c r="P494" t="s">
        <v>66</v>
      </c>
      <c r="Q494" t="s">
        <v>979</v>
      </c>
      <c r="R494" t="s">
        <v>73</v>
      </c>
      <c r="S494" t="s">
        <v>979</v>
      </c>
      <c r="T494" t="s">
        <v>2811</v>
      </c>
      <c r="U494" t="s">
        <v>2812</v>
      </c>
      <c r="V494" t="s">
        <v>982</v>
      </c>
      <c r="W494" t="s">
        <v>66</v>
      </c>
      <c r="X494" t="s">
        <v>78</v>
      </c>
      <c r="Y494" t="s">
        <v>2813</v>
      </c>
      <c r="Z494" t="s">
        <v>182</v>
      </c>
      <c r="AA494" t="s">
        <v>984</v>
      </c>
      <c r="AB494" t="s">
        <v>984</v>
      </c>
      <c r="AC494" t="s">
        <v>82</v>
      </c>
      <c r="AD494" t="s">
        <v>83</v>
      </c>
      <c r="AE494" t="s">
        <v>66</v>
      </c>
      <c r="AF494" t="s">
        <v>876</v>
      </c>
    </row>
    <row r="495" spans="1:32">
      <c r="A495" t="s">
        <v>2814</v>
      </c>
      <c r="B495" t="s">
        <v>2815</v>
      </c>
      <c r="C495" t="s">
        <v>2816</v>
      </c>
      <c r="D495" t="s">
        <v>2816</v>
      </c>
      <c r="E495" t="s">
        <v>109</v>
      </c>
      <c r="F495" t="s">
        <v>110</v>
      </c>
      <c r="G495" t="s">
        <v>111</v>
      </c>
      <c r="H495" t="s">
        <v>66</v>
      </c>
      <c r="I495" t="s">
        <v>66</v>
      </c>
      <c r="J495" t="s">
        <v>67</v>
      </c>
      <c r="K495" t="s">
        <v>71</v>
      </c>
      <c r="L495" t="s">
        <v>72</v>
      </c>
      <c r="M495" t="s">
        <v>73</v>
      </c>
      <c r="N495" t="s">
        <v>66</v>
      </c>
      <c r="O495" t="s">
        <v>73</v>
      </c>
      <c r="P495" t="s">
        <v>66</v>
      </c>
      <c r="Q495" t="s">
        <v>979</v>
      </c>
      <c r="R495" t="s">
        <v>73</v>
      </c>
      <c r="S495" t="s">
        <v>979</v>
      </c>
      <c r="T495" t="s">
        <v>2817</v>
      </c>
      <c r="U495" t="s">
        <v>2818</v>
      </c>
      <c r="V495" t="s">
        <v>982</v>
      </c>
      <c r="W495" t="s">
        <v>66</v>
      </c>
      <c r="X495" t="s">
        <v>78</v>
      </c>
      <c r="Y495" t="s">
        <v>2819</v>
      </c>
      <c r="Z495" t="s">
        <v>182</v>
      </c>
      <c r="AA495" t="s">
        <v>984</v>
      </c>
      <c r="AB495" t="s">
        <v>984</v>
      </c>
      <c r="AC495" t="s">
        <v>82</v>
      </c>
      <c r="AD495" t="s">
        <v>83</v>
      </c>
      <c r="AE495" t="s">
        <v>66</v>
      </c>
      <c r="AF495" t="s">
        <v>876</v>
      </c>
    </row>
    <row r="496" spans="1:32">
      <c r="A496" t="s">
        <v>2820</v>
      </c>
      <c r="B496" t="s">
        <v>107</v>
      </c>
      <c r="C496" t="s">
        <v>2821</v>
      </c>
      <c r="D496" t="s">
        <v>2821</v>
      </c>
      <c r="E496" t="s">
        <v>109</v>
      </c>
      <c r="F496" t="s">
        <v>110</v>
      </c>
      <c r="G496" t="s">
        <v>111</v>
      </c>
      <c r="H496" t="s">
        <v>66</v>
      </c>
      <c r="I496" t="s">
        <v>66</v>
      </c>
      <c r="J496" t="s">
        <v>67</v>
      </c>
      <c r="K496" t="s">
        <v>71</v>
      </c>
      <c r="L496" t="s">
        <v>72</v>
      </c>
      <c r="M496" t="s">
        <v>73</v>
      </c>
      <c r="N496" t="s">
        <v>66</v>
      </c>
      <c r="O496" t="s">
        <v>73</v>
      </c>
      <c r="P496" t="s">
        <v>66</v>
      </c>
      <c r="Q496" t="s">
        <v>979</v>
      </c>
      <c r="R496" t="s">
        <v>73</v>
      </c>
      <c r="S496" t="s">
        <v>979</v>
      </c>
      <c r="T496" t="s">
        <v>2822</v>
      </c>
      <c r="U496" t="s">
        <v>2823</v>
      </c>
      <c r="V496" t="s">
        <v>982</v>
      </c>
      <c r="W496" t="s">
        <v>66</v>
      </c>
      <c r="X496" t="s">
        <v>78</v>
      </c>
      <c r="Y496" t="s">
        <v>2824</v>
      </c>
      <c r="Z496" t="s">
        <v>182</v>
      </c>
      <c r="AA496" t="s">
        <v>984</v>
      </c>
      <c r="AB496" t="s">
        <v>984</v>
      </c>
      <c r="AC496" t="s">
        <v>82</v>
      </c>
      <c r="AD496" t="s">
        <v>83</v>
      </c>
      <c r="AE496" t="s">
        <v>66</v>
      </c>
      <c r="AF496" t="s">
        <v>876</v>
      </c>
    </row>
    <row r="497" spans="1:32">
      <c r="A497" t="s">
        <v>2825</v>
      </c>
      <c r="B497" t="s">
        <v>107</v>
      </c>
      <c r="C497" t="s">
        <v>2826</v>
      </c>
      <c r="D497" t="s">
        <v>2826</v>
      </c>
      <c r="E497" t="s">
        <v>109</v>
      </c>
      <c r="F497" t="s">
        <v>110</v>
      </c>
      <c r="G497" t="s">
        <v>111</v>
      </c>
      <c r="H497" t="s">
        <v>66</v>
      </c>
      <c r="I497" t="s">
        <v>66</v>
      </c>
      <c r="J497" t="s">
        <v>67</v>
      </c>
      <c r="K497" t="s">
        <v>71</v>
      </c>
      <c r="L497" t="s">
        <v>72</v>
      </c>
      <c r="M497" t="s">
        <v>73</v>
      </c>
      <c r="N497" t="s">
        <v>66</v>
      </c>
      <c r="O497" t="s">
        <v>73</v>
      </c>
      <c r="P497" t="s">
        <v>66</v>
      </c>
      <c r="Q497" t="s">
        <v>979</v>
      </c>
      <c r="R497" t="s">
        <v>73</v>
      </c>
      <c r="S497" t="s">
        <v>979</v>
      </c>
      <c r="T497" t="s">
        <v>2827</v>
      </c>
      <c r="U497" t="s">
        <v>2828</v>
      </c>
      <c r="V497" t="s">
        <v>982</v>
      </c>
      <c r="W497" t="s">
        <v>66</v>
      </c>
      <c r="X497" t="s">
        <v>78</v>
      </c>
      <c r="Y497" t="s">
        <v>2829</v>
      </c>
      <c r="Z497" t="s">
        <v>182</v>
      </c>
      <c r="AA497" t="s">
        <v>984</v>
      </c>
      <c r="AB497" t="s">
        <v>984</v>
      </c>
      <c r="AC497" t="s">
        <v>82</v>
      </c>
      <c r="AD497" t="s">
        <v>83</v>
      </c>
      <c r="AE497" t="s">
        <v>66</v>
      </c>
      <c r="AF497" t="s">
        <v>876</v>
      </c>
    </row>
    <row r="498" spans="1:32">
      <c r="A498" t="s">
        <v>2830</v>
      </c>
      <c r="B498" t="s">
        <v>841</v>
      </c>
      <c r="C498" t="s">
        <v>2831</v>
      </c>
      <c r="D498" t="s">
        <v>2831</v>
      </c>
      <c r="E498" t="s">
        <v>109</v>
      </c>
      <c r="F498" t="s">
        <v>110</v>
      </c>
      <c r="G498" t="s">
        <v>111</v>
      </c>
      <c r="H498" t="s">
        <v>66</v>
      </c>
      <c r="I498" t="s">
        <v>66</v>
      </c>
      <c r="J498" t="s">
        <v>67</v>
      </c>
      <c r="K498" t="s">
        <v>71</v>
      </c>
      <c r="L498" t="s">
        <v>72</v>
      </c>
      <c r="M498" t="s">
        <v>73</v>
      </c>
      <c r="N498" t="s">
        <v>66</v>
      </c>
      <c r="O498" t="s">
        <v>73</v>
      </c>
      <c r="P498" t="s">
        <v>66</v>
      </c>
      <c r="Q498" t="s">
        <v>979</v>
      </c>
      <c r="R498" t="s">
        <v>73</v>
      </c>
      <c r="S498" t="s">
        <v>979</v>
      </c>
      <c r="T498" t="s">
        <v>2832</v>
      </c>
      <c r="U498" t="s">
        <v>2833</v>
      </c>
      <c r="V498" t="s">
        <v>982</v>
      </c>
      <c r="W498" t="s">
        <v>66</v>
      </c>
      <c r="X498" t="s">
        <v>78</v>
      </c>
      <c r="Y498" t="s">
        <v>2834</v>
      </c>
      <c r="Z498" t="s">
        <v>182</v>
      </c>
      <c r="AA498" t="s">
        <v>984</v>
      </c>
      <c r="AB498" t="s">
        <v>984</v>
      </c>
      <c r="AC498" t="s">
        <v>82</v>
      </c>
      <c r="AD498" t="s">
        <v>83</v>
      </c>
      <c r="AE498" t="s">
        <v>66</v>
      </c>
      <c r="AF498" t="s">
        <v>876</v>
      </c>
    </row>
    <row r="499" spans="1:32">
      <c r="A499" t="s">
        <v>2835</v>
      </c>
      <c r="B499" t="s">
        <v>841</v>
      </c>
      <c r="C499" t="s">
        <v>2836</v>
      </c>
      <c r="D499" t="s">
        <v>2836</v>
      </c>
      <c r="E499" t="s">
        <v>109</v>
      </c>
      <c r="F499" t="s">
        <v>110</v>
      </c>
      <c r="G499" t="s">
        <v>111</v>
      </c>
      <c r="H499" t="s">
        <v>66</v>
      </c>
      <c r="I499" t="s">
        <v>66</v>
      </c>
      <c r="J499" t="s">
        <v>67</v>
      </c>
      <c r="K499" t="s">
        <v>71</v>
      </c>
      <c r="L499" t="s">
        <v>72</v>
      </c>
      <c r="M499" t="s">
        <v>73</v>
      </c>
      <c r="N499" t="s">
        <v>66</v>
      </c>
      <c r="O499" t="s">
        <v>73</v>
      </c>
      <c r="P499" t="s">
        <v>66</v>
      </c>
      <c r="Q499" t="s">
        <v>979</v>
      </c>
      <c r="R499" t="s">
        <v>73</v>
      </c>
      <c r="S499" t="s">
        <v>979</v>
      </c>
      <c r="T499" t="s">
        <v>2837</v>
      </c>
      <c r="U499" t="s">
        <v>2838</v>
      </c>
      <c r="V499" t="s">
        <v>982</v>
      </c>
      <c r="W499" t="s">
        <v>66</v>
      </c>
      <c r="X499" t="s">
        <v>78</v>
      </c>
      <c r="Y499" t="s">
        <v>2839</v>
      </c>
      <c r="Z499" t="s">
        <v>182</v>
      </c>
      <c r="AA499" t="s">
        <v>984</v>
      </c>
      <c r="AB499" t="s">
        <v>984</v>
      </c>
      <c r="AC499" t="s">
        <v>82</v>
      </c>
      <c r="AD499" t="s">
        <v>83</v>
      </c>
      <c r="AE499" t="s">
        <v>66</v>
      </c>
      <c r="AF499" t="s">
        <v>876</v>
      </c>
    </row>
    <row r="500" spans="1:32">
      <c r="A500" t="s">
        <v>2840</v>
      </c>
      <c r="B500" t="s">
        <v>162</v>
      </c>
      <c r="C500" t="s">
        <v>2841</v>
      </c>
      <c r="D500" t="s">
        <v>66</v>
      </c>
      <c r="E500" t="s">
        <v>67</v>
      </c>
      <c r="F500" t="s">
        <v>164</v>
      </c>
      <c r="G500" t="s">
        <v>165</v>
      </c>
      <c r="H500" t="s">
        <v>66</v>
      </c>
      <c r="I500" t="s">
        <v>66</v>
      </c>
      <c r="J500" t="s">
        <v>67</v>
      </c>
      <c r="K500" t="s">
        <v>71</v>
      </c>
      <c r="L500" t="s">
        <v>72</v>
      </c>
      <c r="M500" t="s">
        <v>73</v>
      </c>
      <c r="N500" t="s">
        <v>66</v>
      </c>
      <c r="O500" t="s">
        <v>73</v>
      </c>
      <c r="P500" t="s">
        <v>66</v>
      </c>
      <c r="Q500" t="s">
        <v>979</v>
      </c>
      <c r="R500" t="s">
        <v>73</v>
      </c>
      <c r="S500" t="s">
        <v>979</v>
      </c>
      <c r="T500" t="s">
        <v>2842</v>
      </c>
      <c r="U500" t="s">
        <v>2843</v>
      </c>
      <c r="V500" t="s">
        <v>982</v>
      </c>
      <c r="W500" t="s">
        <v>66</v>
      </c>
      <c r="X500" t="s">
        <v>78</v>
      </c>
      <c r="Y500" t="s">
        <v>2844</v>
      </c>
      <c r="Z500" t="s">
        <v>182</v>
      </c>
      <c r="AA500" t="s">
        <v>984</v>
      </c>
      <c r="AB500" t="s">
        <v>984</v>
      </c>
      <c r="AC500" t="s">
        <v>82</v>
      </c>
      <c r="AD500" t="s">
        <v>83</v>
      </c>
      <c r="AE500" t="s">
        <v>66</v>
      </c>
      <c r="AF500" t="s">
        <v>876</v>
      </c>
    </row>
    <row r="501" spans="1:32">
      <c r="A501" t="s">
        <v>2845</v>
      </c>
      <c r="B501" t="s">
        <v>1123</v>
      </c>
      <c r="C501" t="s">
        <v>2846</v>
      </c>
      <c r="D501" t="s">
        <v>66</v>
      </c>
      <c r="E501" t="s">
        <v>67</v>
      </c>
      <c r="F501" t="s">
        <v>68</v>
      </c>
      <c r="G501" t="s">
        <v>69</v>
      </c>
      <c r="H501" t="s">
        <v>66</v>
      </c>
      <c r="I501" t="s">
        <v>66</v>
      </c>
      <c r="J501" t="s">
        <v>67</v>
      </c>
      <c r="K501" t="s">
        <v>71</v>
      </c>
      <c r="L501" t="s">
        <v>72</v>
      </c>
      <c r="M501" t="s">
        <v>73</v>
      </c>
      <c r="N501" t="s">
        <v>66</v>
      </c>
      <c r="O501" t="s">
        <v>73</v>
      </c>
      <c r="P501" t="s">
        <v>66</v>
      </c>
      <c r="Q501" t="s">
        <v>979</v>
      </c>
      <c r="R501" t="s">
        <v>73</v>
      </c>
      <c r="S501" t="s">
        <v>979</v>
      </c>
      <c r="T501" t="s">
        <v>2847</v>
      </c>
      <c r="U501" t="s">
        <v>2848</v>
      </c>
      <c r="V501" t="s">
        <v>982</v>
      </c>
      <c r="W501" t="s">
        <v>66</v>
      </c>
      <c r="X501" t="s">
        <v>78</v>
      </c>
      <c r="Y501" t="s">
        <v>2849</v>
      </c>
      <c r="Z501" t="s">
        <v>182</v>
      </c>
      <c r="AA501" t="s">
        <v>984</v>
      </c>
      <c r="AB501" t="s">
        <v>984</v>
      </c>
      <c r="AC501" t="s">
        <v>82</v>
      </c>
      <c r="AD501" t="s">
        <v>83</v>
      </c>
      <c r="AE501" t="s">
        <v>66</v>
      </c>
      <c r="AF501" t="s">
        <v>876</v>
      </c>
    </row>
    <row r="502" spans="1:32">
      <c r="A502" t="s">
        <v>2850</v>
      </c>
      <c r="B502" t="s">
        <v>173</v>
      </c>
      <c r="C502" t="s">
        <v>2851</v>
      </c>
      <c r="D502" t="s">
        <v>66</v>
      </c>
      <c r="E502" t="s">
        <v>67</v>
      </c>
      <c r="F502" t="s">
        <v>175</v>
      </c>
      <c r="G502" t="s">
        <v>176</v>
      </c>
      <c r="H502" t="s">
        <v>66</v>
      </c>
      <c r="I502" t="s">
        <v>66</v>
      </c>
      <c r="J502" t="s">
        <v>67</v>
      </c>
      <c r="K502" t="s">
        <v>71</v>
      </c>
      <c r="L502" t="s">
        <v>72</v>
      </c>
      <c r="M502" t="s">
        <v>73</v>
      </c>
      <c r="N502" t="s">
        <v>66</v>
      </c>
      <c r="O502" t="s">
        <v>73</v>
      </c>
      <c r="P502" t="s">
        <v>66</v>
      </c>
      <c r="Q502" t="s">
        <v>979</v>
      </c>
      <c r="R502" t="s">
        <v>73</v>
      </c>
      <c r="S502" t="s">
        <v>979</v>
      </c>
      <c r="T502" t="s">
        <v>2852</v>
      </c>
      <c r="U502" t="s">
        <v>2853</v>
      </c>
      <c r="V502" t="s">
        <v>982</v>
      </c>
      <c r="W502" t="s">
        <v>66</v>
      </c>
      <c r="X502" t="s">
        <v>78</v>
      </c>
      <c r="Y502" t="s">
        <v>2854</v>
      </c>
      <c r="Z502" t="s">
        <v>182</v>
      </c>
      <c r="AA502" t="s">
        <v>984</v>
      </c>
      <c r="AB502" t="s">
        <v>984</v>
      </c>
      <c r="AC502" t="s">
        <v>82</v>
      </c>
      <c r="AD502" t="s">
        <v>83</v>
      </c>
      <c r="AE502" t="s">
        <v>66</v>
      </c>
      <c r="AF502" t="s">
        <v>876</v>
      </c>
    </row>
    <row r="503" spans="1:32">
      <c r="A503" t="s">
        <v>2855</v>
      </c>
      <c r="B503" t="s">
        <v>841</v>
      </c>
      <c r="C503" t="s">
        <v>2856</v>
      </c>
      <c r="D503" t="s">
        <v>2856</v>
      </c>
      <c r="E503" t="s">
        <v>109</v>
      </c>
      <c r="F503" t="s">
        <v>110</v>
      </c>
      <c r="G503" t="s">
        <v>111</v>
      </c>
      <c r="H503" t="s">
        <v>66</v>
      </c>
      <c r="I503" t="s">
        <v>66</v>
      </c>
      <c r="J503" t="s">
        <v>67</v>
      </c>
      <c r="K503" t="s">
        <v>71</v>
      </c>
      <c r="L503" t="s">
        <v>72</v>
      </c>
      <c r="M503" t="s">
        <v>73</v>
      </c>
      <c r="N503" t="s">
        <v>66</v>
      </c>
      <c r="O503" t="s">
        <v>73</v>
      </c>
      <c r="P503" t="s">
        <v>66</v>
      </c>
      <c r="Q503" t="s">
        <v>979</v>
      </c>
      <c r="R503" t="s">
        <v>73</v>
      </c>
      <c r="S503" t="s">
        <v>979</v>
      </c>
      <c r="T503" t="s">
        <v>2857</v>
      </c>
      <c r="U503" t="s">
        <v>2858</v>
      </c>
      <c r="V503" t="s">
        <v>982</v>
      </c>
      <c r="W503" t="s">
        <v>66</v>
      </c>
      <c r="X503" t="s">
        <v>78</v>
      </c>
      <c r="Y503" t="s">
        <v>2859</v>
      </c>
      <c r="Z503" t="s">
        <v>182</v>
      </c>
      <c r="AA503" t="s">
        <v>984</v>
      </c>
      <c r="AB503" t="s">
        <v>984</v>
      </c>
      <c r="AC503" t="s">
        <v>82</v>
      </c>
      <c r="AD503" t="s">
        <v>83</v>
      </c>
      <c r="AE503" t="s">
        <v>66</v>
      </c>
      <c r="AF503" t="s">
        <v>876</v>
      </c>
    </row>
    <row r="504" spans="1:32">
      <c r="A504" t="s">
        <v>2860</v>
      </c>
      <c r="B504" t="s">
        <v>977</v>
      </c>
      <c r="C504" t="s">
        <v>2861</v>
      </c>
      <c r="D504" t="s">
        <v>2861</v>
      </c>
      <c r="E504" t="s">
        <v>109</v>
      </c>
      <c r="F504" t="s">
        <v>68</v>
      </c>
      <c r="G504" t="s">
        <v>69</v>
      </c>
      <c r="H504" t="s">
        <v>66</v>
      </c>
      <c r="I504" t="s">
        <v>66</v>
      </c>
      <c r="J504" t="s">
        <v>67</v>
      </c>
      <c r="K504" t="s">
        <v>71</v>
      </c>
      <c r="L504" t="s">
        <v>72</v>
      </c>
      <c r="M504" t="s">
        <v>73</v>
      </c>
      <c r="N504" t="s">
        <v>66</v>
      </c>
      <c r="O504" t="s">
        <v>73</v>
      </c>
      <c r="P504" t="s">
        <v>66</v>
      </c>
      <c r="Q504" t="s">
        <v>979</v>
      </c>
      <c r="R504" t="s">
        <v>73</v>
      </c>
      <c r="S504" t="s">
        <v>979</v>
      </c>
      <c r="T504" t="s">
        <v>2862</v>
      </c>
      <c r="U504" t="s">
        <v>2863</v>
      </c>
      <c r="V504" t="s">
        <v>982</v>
      </c>
      <c r="W504" t="s">
        <v>66</v>
      </c>
      <c r="X504" t="s">
        <v>78</v>
      </c>
      <c r="Y504" t="s">
        <v>2864</v>
      </c>
      <c r="Z504" t="s">
        <v>182</v>
      </c>
      <c r="AA504" t="s">
        <v>984</v>
      </c>
      <c r="AB504" t="s">
        <v>984</v>
      </c>
      <c r="AC504" t="s">
        <v>82</v>
      </c>
      <c r="AD504" t="s">
        <v>83</v>
      </c>
      <c r="AE504" t="s">
        <v>66</v>
      </c>
      <c r="AF504" t="s">
        <v>876</v>
      </c>
    </row>
    <row r="505" spans="1:32">
      <c r="A505" t="s">
        <v>2865</v>
      </c>
      <c r="B505" t="s">
        <v>1101</v>
      </c>
      <c r="C505" t="s">
        <v>2866</v>
      </c>
      <c r="D505" t="s">
        <v>66</v>
      </c>
      <c r="E505" t="s">
        <v>67</v>
      </c>
      <c r="F505" t="s">
        <v>110</v>
      </c>
      <c r="G505" t="s">
        <v>111</v>
      </c>
      <c r="H505" t="s">
        <v>66</v>
      </c>
      <c r="I505" t="s">
        <v>66</v>
      </c>
      <c r="J505" t="s">
        <v>67</v>
      </c>
      <c r="K505" t="s">
        <v>71</v>
      </c>
      <c r="L505" t="s">
        <v>72</v>
      </c>
      <c r="M505" t="s">
        <v>73</v>
      </c>
      <c r="N505" t="s">
        <v>66</v>
      </c>
      <c r="O505" t="s">
        <v>73</v>
      </c>
      <c r="P505" t="s">
        <v>66</v>
      </c>
      <c r="Q505" t="s">
        <v>979</v>
      </c>
      <c r="R505" t="s">
        <v>73</v>
      </c>
      <c r="S505" t="s">
        <v>979</v>
      </c>
      <c r="T505" t="s">
        <v>2867</v>
      </c>
      <c r="U505" t="s">
        <v>2868</v>
      </c>
      <c r="V505" t="s">
        <v>982</v>
      </c>
      <c r="W505" t="s">
        <v>66</v>
      </c>
      <c r="X505" t="s">
        <v>78</v>
      </c>
      <c r="Y505" t="s">
        <v>2869</v>
      </c>
      <c r="Z505" t="s">
        <v>182</v>
      </c>
      <c r="AA505" t="s">
        <v>984</v>
      </c>
      <c r="AB505" t="s">
        <v>984</v>
      </c>
      <c r="AC505" t="s">
        <v>82</v>
      </c>
      <c r="AD505" t="s">
        <v>83</v>
      </c>
      <c r="AE505" t="s">
        <v>66</v>
      </c>
      <c r="AF505" t="s">
        <v>876</v>
      </c>
    </row>
    <row r="506" spans="1:32">
      <c r="A506" t="s">
        <v>2870</v>
      </c>
      <c r="B506" t="s">
        <v>308</v>
      </c>
      <c r="C506" t="s">
        <v>2871</v>
      </c>
      <c r="D506" t="s">
        <v>2871</v>
      </c>
      <c r="E506" t="s">
        <v>109</v>
      </c>
      <c r="F506" t="s">
        <v>68</v>
      </c>
      <c r="G506" t="s">
        <v>69</v>
      </c>
      <c r="H506" t="s">
        <v>66</v>
      </c>
      <c r="I506" t="s">
        <v>66</v>
      </c>
      <c r="J506" t="s">
        <v>67</v>
      </c>
      <c r="K506" t="s">
        <v>71</v>
      </c>
      <c r="L506" t="s">
        <v>72</v>
      </c>
      <c r="M506" t="s">
        <v>73</v>
      </c>
      <c r="N506" t="s">
        <v>66</v>
      </c>
      <c r="O506" t="s">
        <v>73</v>
      </c>
      <c r="P506" t="s">
        <v>66</v>
      </c>
      <c r="Q506" t="s">
        <v>979</v>
      </c>
      <c r="R506" t="s">
        <v>73</v>
      </c>
      <c r="S506" t="s">
        <v>979</v>
      </c>
      <c r="T506" t="s">
        <v>2872</v>
      </c>
      <c r="U506" t="s">
        <v>2873</v>
      </c>
      <c r="V506" t="s">
        <v>982</v>
      </c>
      <c r="W506" t="s">
        <v>66</v>
      </c>
      <c r="X506" t="s">
        <v>78</v>
      </c>
      <c r="Y506" t="s">
        <v>2874</v>
      </c>
      <c r="Z506" t="s">
        <v>182</v>
      </c>
      <c r="AA506" t="s">
        <v>984</v>
      </c>
      <c r="AB506" t="s">
        <v>984</v>
      </c>
      <c r="AC506" t="s">
        <v>82</v>
      </c>
      <c r="AD506" t="s">
        <v>83</v>
      </c>
      <c r="AE506" t="s">
        <v>66</v>
      </c>
      <c r="AF506" t="s">
        <v>876</v>
      </c>
    </row>
    <row r="507" spans="1:32">
      <c r="A507" t="s">
        <v>2875</v>
      </c>
      <c r="B507" t="s">
        <v>1064</v>
      </c>
      <c r="C507" t="s">
        <v>2876</v>
      </c>
      <c r="D507" t="s">
        <v>66</v>
      </c>
      <c r="E507" t="s">
        <v>67</v>
      </c>
      <c r="F507" t="s">
        <v>110</v>
      </c>
      <c r="G507" t="s">
        <v>111</v>
      </c>
      <c r="H507" t="s">
        <v>66</v>
      </c>
      <c r="I507" t="s">
        <v>66</v>
      </c>
      <c r="J507" t="s">
        <v>67</v>
      </c>
      <c r="K507" t="s">
        <v>71</v>
      </c>
      <c r="L507" t="s">
        <v>72</v>
      </c>
      <c r="M507" t="s">
        <v>73</v>
      </c>
      <c r="N507" t="s">
        <v>66</v>
      </c>
      <c r="O507" t="s">
        <v>73</v>
      </c>
      <c r="P507" t="s">
        <v>66</v>
      </c>
      <c r="Q507" t="s">
        <v>979</v>
      </c>
      <c r="R507" t="s">
        <v>73</v>
      </c>
      <c r="S507" t="s">
        <v>979</v>
      </c>
      <c r="T507" t="s">
        <v>2877</v>
      </c>
      <c r="U507" t="s">
        <v>2878</v>
      </c>
      <c r="V507" t="s">
        <v>982</v>
      </c>
      <c r="W507" t="s">
        <v>66</v>
      </c>
      <c r="X507" t="s">
        <v>78</v>
      </c>
      <c r="Y507" t="s">
        <v>2879</v>
      </c>
      <c r="Z507" t="s">
        <v>182</v>
      </c>
      <c r="AA507" t="s">
        <v>984</v>
      </c>
      <c r="AB507" t="s">
        <v>984</v>
      </c>
      <c r="AC507" t="s">
        <v>82</v>
      </c>
      <c r="AD507" t="s">
        <v>83</v>
      </c>
      <c r="AE507" t="s">
        <v>66</v>
      </c>
      <c r="AF507" t="s">
        <v>876</v>
      </c>
    </row>
    <row r="508" spans="1:32">
      <c r="A508" t="s">
        <v>2880</v>
      </c>
      <c r="B508" t="s">
        <v>1064</v>
      </c>
      <c r="C508" t="s">
        <v>2881</v>
      </c>
      <c r="D508" t="s">
        <v>66</v>
      </c>
      <c r="E508" t="s">
        <v>67</v>
      </c>
      <c r="F508" t="s">
        <v>110</v>
      </c>
      <c r="G508" t="s">
        <v>111</v>
      </c>
      <c r="H508" t="s">
        <v>66</v>
      </c>
      <c r="I508" t="s">
        <v>66</v>
      </c>
      <c r="J508" t="s">
        <v>67</v>
      </c>
      <c r="K508" t="s">
        <v>71</v>
      </c>
      <c r="L508" t="s">
        <v>72</v>
      </c>
      <c r="M508" t="s">
        <v>73</v>
      </c>
      <c r="N508" t="s">
        <v>66</v>
      </c>
      <c r="O508" t="s">
        <v>73</v>
      </c>
      <c r="P508" t="s">
        <v>66</v>
      </c>
      <c r="Q508" t="s">
        <v>979</v>
      </c>
      <c r="R508" t="s">
        <v>73</v>
      </c>
      <c r="S508" t="s">
        <v>979</v>
      </c>
      <c r="T508" t="s">
        <v>2882</v>
      </c>
      <c r="U508" t="s">
        <v>2883</v>
      </c>
      <c r="V508" t="s">
        <v>982</v>
      </c>
      <c r="W508" t="s">
        <v>66</v>
      </c>
      <c r="X508" t="s">
        <v>78</v>
      </c>
      <c r="Y508" t="s">
        <v>2884</v>
      </c>
      <c r="Z508" t="s">
        <v>182</v>
      </c>
      <c r="AA508" t="s">
        <v>984</v>
      </c>
      <c r="AB508" t="s">
        <v>984</v>
      </c>
      <c r="AC508" t="s">
        <v>82</v>
      </c>
      <c r="AD508" t="s">
        <v>83</v>
      </c>
      <c r="AE508" t="s">
        <v>66</v>
      </c>
      <c r="AF508" t="s">
        <v>876</v>
      </c>
    </row>
    <row r="509" spans="1:32">
      <c r="A509" t="s">
        <v>2885</v>
      </c>
      <c r="B509" t="s">
        <v>308</v>
      </c>
      <c r="C509" t="s">
        <v>2886</v>
      </c>
      <c r="D509" t="s">
        <v>2886</v>
      </c>
      <c r="E509" t="s">
        <v>109</v>
      </c>
      <c r="F509" t="s">
        <v>110</v>
      </c>
      <c r="G509" t="s">
        <v>111</v>
      </c>
      <c r="H509" t="s">
        <v>66</v>
      </c>
      <c r="I509" t="s">
        <v>66</v>
      </c>
      <c r="J509" t="s">
        <v>67</v>
      </c>
      <c r="K509" t="s">
        <v>71</v>
      </c>
      <c r="L509" t="s">
        <v>72</v>
      </c>
      <c r="M509" t="s">
        <v>73</v>
      </c>
      <c r="N509" t="s">
        <v>66</v>
      </c>
      <c r="O509" t="s">
        <v>73</v>
      </c>
      <c r="P509" t="s">
        <v>66</v>
      </c>
      <c r="Q509" t="s">
        <v>979</v>
      </c>
      <c r="R509" t="s">
        <v>73</v>
      </c>
      <c r="S509" t="s">
        <v>979</v>
      </c>
      <c r="T509" t="s">
        <v>2887</v>
      </c>
      <c r="U509" t="s">
        <v>2888</v>
      </c>
      <c r="V509" t="s">
        <v>982</v>
      </c>
      <c r="W509" t="s">
        <v>66</v>
      </c>
      <c r="X509" t="s">
        <v>78</v>
      </c>
      <c r="Y509" t="s">
        <v>2889</v>
      </c>
      <c r="Z509" t="s">
        <v>182</v>
      </c>
      <c r="AA509" t="s">
        <v>984</v>
      </c>
      <c r="AB509" t="s">
        <v>984</v>
      </c>
      <c r="AC509" t="s">
        <v>82</v>
      </c>
      <c r="AD509" t="s">
        <v>83</v>
      </c>
      <c r="AE509" t="s">
        <v>66</v>
      </c>
      <c r="AF509" t="s">
        <v>876</v>
      </c>
    </row>
    <row r="510" spans="1:32">
      <c r="A510" t="s">
        <v>849</v>
      </c>
      <c r="B510" t="s">
        <v>841</v>
      </c>
      <c r="C510" t="s">
        <v>850</v>
      </c>
      <c r="D510" t="s">
        <v>850</v>
      </c>
      <c r="E510" t="s">
        <v>109</v>
      </c>
      <c r="F510" t="s">
        <v>110</v>
      </c>
      <c r="G510" t="s">
        <v>111</v>
      </c>
      <c r="H510" t="s">
        <v>66</v>
      </c>
      <c r="I510" t="s">
        <v>66</v>
      </c>
      <c r="J510" t="s">
        <v>67</v>
      </c>
      <c r="K510" t="s">
        <v>71</v>
      </c>
      <c r="L510" t="s">
        <v>72</v>
      </c>
      <c r="M510" t="s">
        <v>73</v>
      </c>
      <c r="N510" t="s">
        <v>66</v>
      </c>
      <c r="O510" t="s">
        <v>73</v>
      </c>
      <c r="P510" t="s">
        <v>66</v>
      </c>
      <c r="Q510" t="s">
        <v>979</v>
      </c>
      <c r="R510" t="s">
        <v>73</v>
      </c>
      <c r="S510" t="s">
        <v>979</v>
      </c>
      <c r="T510" t="s">
        <v>2890</v>
      </c>
      <c r="U510" t="s">
        <v>2891</v>
      </c>
      <c r="V510" t="s">
        <v>982</v>
      </c>
      <c r="W510" t="s">
        <v>66</v>
      </c>
      <c r="X510" t="s">
        <v>78</v>
      </c>
      <c r="Y510" t="s">
        <v>2892</v>
      </c>
      <c r="Z510" t="s">
        <v>182</v>
      </c>
      <c r="AA510" t="s">
        <v>984</v>
      </c>
      <c r="AB510" t="s">
        <v>984</v>
      </c>
      <c r="AC510" t="s">
        <v>82</v>
      </c>
      <c r="AD510" t="s">
        <v>83</v>
      </c>
      <c r="AE510" t="s">
        <v>66</v>
      </c>
      <c r="AF510" t="s">
        <v>876</v>
      </c>
    </row>
    <row r="511" spans="1:32">
      <c r="A511" t="s">
        <v>2893</v>
      </c>
      <c r="B511" t="s">
        <v>2894</v>
      </c>
      <c r="C511" t="s">
        <v>2895</v>
      </c>
      <c r="D511" t="s">
        <v>66</v>
      </c>
      <c r="E511" t="s">
        <v>67</v>
      </c>
      <c r="F511" t="s">
        <v>68</v>
      </c>
      <c r="G511" t="s">
        <v>69</v>
      </c>
      <c r="H511" t="s">
        <v>66</v>
      </c>
      <c r="I511" t="s">
        <v>66</v>
      </c>
      <c r="J511" t="s">
        <v>67</v>
      </c>
      <c r="K511" t="s">
        <v>71</v>
      </c>
      <c r="L511" t="s">
        <v>72</v>
      </c>
      <c r="M511" t="s">
        <v>73</v>
      </c>
      <c r="N511" t="s">
        <v>66</v>
      </c>
      <c r="O511" t="s">
        <v>73</v>
      </c>
      <c r="P511" t="s">
        <v>66</v>
      </c>
      <c r="Q511" t="s">
        <v>979</v>
      </c>
      <c r="R511" t="s">
        <v>73</v>
      </c>
      <c r="S511" t="s">
        <v>979</v>
      </c>
      <c r="T511" t="s">
        <v>2896</v>
      </c>
      <c r="U511" t="s">
        <v>2897</v>
      </c>
      <c r="V511" t="s">
        <v>982</v>
      </c>
      <c r="W511" t="s">
        <v>66</v>
      </c>
      <c r="X511" t="s">
        <v>78</v>
      </c>
      <c r="Y511" t="s">
        <v>2898</v>
      </c>
      <c r="Z511" t="s">
        <v>182</v>
      </c>
      <c r="AA511" t="s">
        <v>984</v>
      </c>
      <c r="AB511" t="s">
        <v>984</v>
      </c>
      <c r="AC511" t="s">
        <v>82</v>
      </c>
      <c r="AD511" t="s">
        <v>83</v>
      </c>
      <c r="AE511" t="s">
        <v>66</v>
      </c>
      <c r="AF511" t="s">
        <v>876</v>
      </c>
    </row>
    <row r="512" spans="1:32">
      <c r="A512" t="s">
        <v>2899</v>
      </c>
      <c r="B512" t="s">
        <v>2486</v>
      </c>
      <c r="C512" t="s">
        <v>2900</v>
      </c>
      <c r="D512" t="s">
        <v>66</v>
      </c>
      <c r="E512" t="s">
        <v>67</v>
      </c>
      <c r="F512" t="s">
        <v>68</v>
      </c>
      <c r="G512" t="s">
        <v>69</v>
      </c>
      <c r="H512" t="s">
        <v>66</v>
      </c>
      <c r="I512" t="s">
        <v>66</v>
      </c>
      <c r="J512" t="s">
        <v>67</v>
      </c>
      <c r="K512" t="s">
        <v>71</v>
      </c>
      <c r="L512" t="s">
        <v>72</v>
      </c>
      <c r="M512" t="s">
        <v>73</v>
      </c>
      <c r="N512" t="s">
        <v>66</v>
      </c>
      <c r="O512" t="s">
        <v>73</v>
      </c>
      <c r="P512" t="s">
        <v>66</v>
      </c>
      <c r="Q512" t="s">
        <v>979</v>
      </c>
      <c r="R512" t="s">
        <v>73</v>
      </c>
      <c r="S512" t="s">
        <v>979</v>
      </c>
      <c r="T512" t="s">
        <v>2901</v>
      </c>
      <c r="U512" t="s">
        <v>2902</v>
      </c>
      <c r="V512" t="s">
        <v>982</v>
      </c>
      <c r="W512" t="s">
        <v>66</v>
      </c>
      <c r="X512" t="s">
        <v>78</v>
      </c>
      <c r="Y512" t="s">
        <v>2903</v>
      </c>
      <c r="Z512" t="s">
        <v>182</v>
      </c>
      <c r="AA512" t="s">
        <v>984</v>
      </c>
      <c r="AB512" t="s">
        <v>984</v>
      </c>
      <c r="AC512" t="s">
        <v>82</v>
      </c>
      <c r="AD512" t="s">
        <v>83</v>
      </c>
      <c r="AE512" t="s">
        <v>66</v>
      </c>
      <c r="AF512" t="s">
        <v>876</v>
      </c>
    </row>
    <row r="513" spans="1:32">
      <c r="A513" t="s">
        <v>2904</v>
      </c>
      <c r="B513" t="s">
        <v>162</v>
      </c>
      <c r="C513" t="s">
        <v>2905</v>
      </c>
      <c r="D513" t="s">
        <v>66</v>
      </c>
      <c r="E513" t="s">
        <v>67</v>
      </c>
      <c r="F513" t="s">
        <v>164</v>
      </c>
      <c r="G513" t="s">
        <v>165</v>
      </c>
      <c r="H513" t="s">
        <v>66</v>
      </c>
      <c r="I513" t="s">
        <v>66</v>
      </c>
      <c r="J513" t="s">
        <v>67</v>
      </c>
      <c r="K513" t="s">
        <v>71</v>
      </c>
      <c r="L513" t="s">
        <v>72</v>
      </c>
      <c r="M513" t="s">
        <v>73</v>
      </c>
      <c r="N513" t="s">
        <v>66</v>
      </c>
      <c r="O513" t="s">
        <v>73</v>
      </c>
      <c r="P513" t="s">
        <v>66</v>
      </c>
      <c r="Q513" t="s">
        <v>979</v>
      </c>
      <c r="R513" t="s">
        <v>73</v>
      </c>
      <c r="S513" t="s">
        <v>979</v>
      </c>
      <c r="T513" t="s">
        <v>2906</v>
      </c>
      <c r="U513" t="s">
        <v>2907</v>
      </c>
      <c r="V513" t="s">
        <v>982</v>
      </c>
      <c r="W513" t="s">
        <v>66</v>
      </c>
      <c r="X513" t="s">
        <v>78</v>
      </c>
      <c r="Y513" t="s">
        <v>2908</v>
      </c>
      <c r="Z513" t="s">
        <v>182</v>
      </c>
      <c r="AA513" t="s">
        <v>984</v>
      </c>
      <c r="AB513" t="s">
        <v>984</v>
      </c>
      <c r="AC513" t="s">
        <v>82</v>
      </c>
      <c r="AD513" t="s">
        <v>83</v>
      </c>
      <c r="AE513" t="s">
        <v>66</v>
      </c>
      <c r="AF513" t="s">
        <v>876</v>
      </c>
    </row>
    <row r="514" spans="1:32">
      <c r="A514" t="s">
        <v>2909</v>
      </c>
      <c r="B514" t="s">
        <v>308</v>
      </c>
      <c r="C514" t="s">
        <v>2910</v>
      </c>
      <c r="D514" t="s">
        <v>2910</v>
      </c>
      <c r="E514" t="s">
        <v>109</v>
      </c>
      <c r="F514" t="s">
        <v>110</v>
      </c>
      <c r="G514" t="s">
        <v>111</v>
      </c>
      <c r="H514" t="s">
        <v>66</v>
      </c>
      <c r="I514" t="s">
        <v>66</v>
      </c>
      <c r="J514" t="s">
        <v>67</v>
      </c>
      <c r="K514" t="s">
        <v>71</v>
      </c>
      <c r="L514" t="s">
        <v>72</v>
      </c>
      <c r="M514" t="s">
        <v>73</v>
      </c>
      <c r="N514" t="s">
        <v>66</v>
      </c>
      <c r="O514" t="s">
        <v>73</v>
      </c>
      <c r="P514" t="s">
        <v>66</v>
      </c>
      <c r="Q514" t="s">
        <v>979</v>
      </c>
      <c r="R514" t="s">
        <v>73</v>
      </c>
      <c r="S514" t="s">
        <v>979</v>
      </c>
      <c r="T514" t="s">
        <v>2911</v>
      </c>
      <c r="U514" t="s">
        <v>2912</v>
      </c>
      <c r="V514" t="s">
        <v>982</v>
      </c>
      <c r="W514" t="s">
        <v>66</v>
      </c>
      <c r="X514" t="s">
        <v>78</v>
      </c>
      <c r="Y514" t="s">
        <v>2913</v>
      </c>
      <c r="Z514" t="s">
        <v>182</v>
      </c>
      <c r="AA514" t="s">
        <v>984</v>
      </c>
      <c r="AB514" t="s">
        <v>984</v>
      </c>
      <c r="AC514" t="s">
        <v>82</v>
      </c>
      <c r="AD514" t="s">
        <v>83</v>
      </c>
      <c r="AE514" t="s">
        <v>66</v>
      </c>
      <c r="AF514" t="s">
        <v>876</v>
      </c>
    </row>
    <row r="515" spans="1:32">
      <c r="A515" t="s">
        <v>2914</v>
      </c>
      <c r="B515" t="s">
        <v>1954</v>
      </c>
      <c r="C515" t="s">
        <v>2915</v>
      </c>
      <c r="D515" t="s">
        <v>66</v>
      </c>
      <c r="E515" t="s">
        <v>67</v>
      </c>
      <c r="F515" t="s">
        <v>68</v>
      </c>
      <c r="G515" t="s">
        <v>69</v>
      </c>
      <c r="H515" t="s">
        <v>66</v>
      </c>
      <c r="I515" t="s">
        <v>66</v>
      </c>
      <c r="J515" t="s">
        <v>67</v>
      </c>
      <c r="K515" t="s">
        <v>71</v>
      </c>
      <c r="L515" t="s">
        <v>72</v>
      </c>
      <c r="M515" t="s">
        <v>73</v>
      </c>
      <c r="N515" t="s">
        <v>66</v>
      </c>
      <c r="O515" t="s">
        <v>73</v>
      </c>
      <c r="P515" t="s">
        <v>66</v>
      </c>
      <c r="Q515" t="s">
        <v>979</v>
      </c>
      <c r="R515" t="s">
        <v>73</v>
      </c>
      <c r="S515" t="s">
        <v>979</v>
      </c>
      <c r="T515" t="s">
        <v>2916</v>
      </c>
      <c r="U515" t="s">
        <v>2917</v>
      </c>
      <c r="V515" t="s">
        <v>982</v>
      </c>
      <c r="W515" t="s">
        <v>66</v>
      </c>
      <c r="X515" t="s">
        <v>78</v>
      </c>
      <c r="Y515" t="s">
        <v>2918</v>
      </c>
      <c r="Z515" t="s">
        <v>182</v>
      </c>
      <c r="AA515" t="s">
        <v>984</v>
      </c>
      <c r="AB515" t="s">
        <v>984</v>
      </c>
      <c r="AC515" t="s">
        <v>82</v>
      </c>
      <c r="AD515" t="s">
        <v>83</v>
      </c>
      <c r="AE515" t="s">
        <v>66</v>
      </c>
      <c r="AF515" t="s">
        <v>876</v>
      </c>
    </row>
    <row r="516" spans="1:32">
      <c r="A516" t="s">
        <v>2919</v>
      </c>
      <c r="B516" t="s">
        <v>1995</v>
      </c>
      <c r="C516" t="s">
        <v>2920</v>
      </c>
      <c r="D516" t="s">
        <v>66</v>
      </c>
      <c r="E516" t="s">
        <v>67</v>
      </c>
      <c r="F516" t="s">
        <v>110</v>
      </c>
      <c r="G516" t="s">
        <v>111</v>
      </c>
      <c r="H516" t="s">
        <v>66</v>
      </c>
      <c r="I516" t="s">
        <v>66</v>
      </c>
      <c r="J516" t="s">
        <v>67</v>
      </c>
      <c r="K516" t="s">
        <v>71</v>
      </c>
      <c r="L516" t="s">
        <v>72</v>
      </c>
      <c r="M516" t="s">
        <v>73</v>
      </c>
      <c r="N516" t="s">
        <v>66</v>
      </c>
      <c r="O516" t="s">
        <v>73</v>
      </c>
      <c r="P516" t="s">
        <v>66</v>
      </c>
      <c r="Q516" t="s">
        <v>979</v>
      </c>
      <c r="R516" t="s">
        <v>73</v>
      </c>
      <c r="S516" t="s">
        <v>979</v>
      </c>
      <c r="T516" t="s">
        <v>2921</v>
      </c>
      <c r="U516" t="s">
        <v>2922</v>
      </c>
      <c r="V516" t="s">
        <v>982</v>
      </c>
      <c r="W516" t="s">
        <v>66</v>
      </c>
      <c r="X516" t="s">
        <v>78</v>
      </c>
      <c r="Y516" t="s">
        <v>2923</v>
      </c>
      <c r="Z516" t="s">
        <v>182</v>
      </c>
      <c r="AA516" t="s">
        <v>984</v>
      </c>
      <c r="AB516" t="s">
        <v>984</v>
      </c>
      <c r="AC516" t="s">
        <v>82</v>
      </c>
      <c r="AD516" t="s">
        <v>83</v>
      </c>
      <c r="AE516" t="s">
        <v>66</v>
      </c>
      <c r="AF516" t="s">
        <v>876</v>
      </c>
    </row>
    <row r="517" spans="1:32">
      <c r="A517" t="s">
        <v>2924</v>
      </c>
      <c r="B517" t="s">
        <v>173</v>
      </c>
      <c r="C517" t="s">
        <v>2925</v>
      </c>
      <c r="D517" t="s">
        <v>66</v>
      </c>
      <c r="E517" t="s">
        <v>67</v>
      </c>
      <c r="F517" t="s">
        <v>175</v>
      </c>
      <c r="G517" t="s">
        <v>176</v>
      </c>
      <c r="H517" t="s">
        <v>66</v>
      </c>
      <c r="I517" t="s">
        <v>66</v>
      </c>
      <c r="J517" t="s">
        <v>67</v>
      </c>
      <c r="K517" t="s">
        <v>71</v>
      </c>
      <c r="L517" t="s">
        <v>72</v>
      </c>
      <c r="M517" t="s">
        <v>73</v>
      </c>
      <c r="N517" t="s">
        <v>66</v>
      </c>
      <c r="O517" t="s">
        <v>73</v>
      </c>
      <c r="P517" t="s">
        <v>66</v>
      </c>
      <c r="Q517" t="s">
        <v>979</v>
      </c>
      <c r="R517" t="s">
        <v>73</v>
      </c>
      <c r="S517" t="s">
        <v>979</v>
      </c>
      <c r="T517" t="s">
        <v>2926</v>
      </c>
      <c r="U517" t="s">
        <v>2927</v>
      </c>
      <c r="V517" t="s">
        <v>982</v>
      </c>
      <c r="W517" t="s">
        <v>66</v>
      </c>
      <c r="X517" t="s">
        <v>78</v>
      </c>
      <c r="Y517" t="s">
        <v>2928</v>
      </c>
      <c r="Z517" t="s">
        <v>182</v>
      </c>
      <c r="AA517" t="s">
        <v>984</v>
      </c>
      <c r="AB517" t="s">
        <v>984</v>
      </c>
      <c r="AC517" t="s">
        <v>82</v>
      </c>
      <c r="AD517" t="s">
        <v>83</v>
      </c>
      <c r="AE517" t="s">
        <v>66</v>
      </c>
      <c r="AF517" t="s">
        <v>876</v>
      </c>
    </row>
    <row r="518" spans="1:32">
      <c r="A518" t="s">
        <v>2929</v>
      </c>
      <c r="B518" t="s">
        <v>162</v>
      </c>
      <c r="C518" t="s">
        <v>2930</v>
      </c>
      <c r="D518" t="s">
        <v>66</v>
      </c>
      <c r="E518" t="s">
        <v>67</v>
      </c>
      <c r="F518" t="s">
        <v>164</v>
      </c>
      <c r="G518" t="s">
        <v>165</v>
      </c>
      <c r="H518" t="s">
        <v>66</v>
      </c>
      <c r="I518" t="s">
        <v>66</v>
      </c>
      <c r="J518" t="s">
        <v>67</v>
      </c>
      <c r="K518" t="s">
        <v>71</v>
      </c>
      <c r="L518" t="s">
        <v>72</v>
      </c>
      <c r="M518" t="s">
        <v>73</v>
      </c>
      <c r="N518" t="s">
        <v>66</v>
      </c>
      <c r="O518" t="s">
        <v>73</v>
      </c>
      <c r="P518" t="s">
        <v>66</v>
      </c>
      <c r="Q518" t="s">
        <v>979</v>
      </c>
      <c r="R518" t="s">
        <v>73</v>
      </c>
      <c r="S518" t="s">
        <v>979</v>
      </c>
      <c r="T518" t="s">
        <v>2931</v>
      </c>
      <c r="U518" t="s">
        <v>2932</v>
      </c>
      <c r="V518" t="s">
        <v>982</v>
      </c>
      <c r="W518" t="s">
        <v>66</v>
      </c>
      <c r="X518" t="s">
        <v>78</v>
      </c>
      <c r="Y518" t="s">
        <v>2933</v>
      </c>
      <c r="Z518" t="s">
        <v>182</v>
      </c>
      <c r="AA518" t="s">
        <v>984</v>
      </c>
      <c r="AB518" t="s">
        <v>984</v>
      </c>
      <c r="AC518" t="s">
        <v>82</v>
      </c>
      <c r="AD518" t="s">
        <v>83</v>
      </c>
      <c r="AE518" t="s">
        <v>66</v>
      </c>
      <c r="AF518" t="s">
        <v>876</v>
      </c>
    </row>
    <row r="519" spans="1:32">
      <c r="A519" t="s">
        <v>2934</v>
      </c>
      <c r="B519" t="s">
        <v>162</v>
      </c>
      <c r="C519" t="s">
        <v>2935</v>
      </c>
      <c r="D519" t="s">
        <v>66</v>
      </c>
      <c r="E519" t="s">
        <v>67</v>
      </c>
      <c r="F519" t="s">
        <v>164</v>
      </c>
      <c r="G519" t="s">
        <v>165</v>
      </c>
      <c r="H519" t="s">
        <v>66</v>
      </c>
      <c r="I519" t="s">
        <v>66</v>
      </c>
      <c r="J519" t="s">
        <v>67</v>
      </c>
      <c r="K519" t="s">
        <v>71</v>
      </c>
      <c r="L519" t="s">
        <v>72</v>
      </c>
      <c r="M519" t="s">
        <v>73</v>
      </c>
      <c r="N519" t="s">
        <v>66</v>
      </c>
      <c r="O519" t="s">
        <v>73</v>
      </c>
      <c r="P519" t="s">
        <v>66</v>
      </c>
      <c r="Q519" t="s">
        <v>979</v>
      </c>
      <c r="R519" t="s">
        <v>73</v>
      </c>
      <c r="S519" t="s">
        <v>979</v>
      </c>
      <c r="T519" t="s">
        <v>2936</v>
      </c>
      <c r="U519" t="s">
        <v>2937</v>
      </c>
      <c r="V519" t="s">
        <v>982</v>
      </c>
      <c r="W519" t="s">
        <v>66</v>
      </c>
      <c r="X519" t="s">
        <v>78</v>
      </c>
      <c r="Y519" t="s">
        <v>2938</v>
      </c>
      <c r="Z519" t="s">
        <v>182</v>
      </c>
      <c r="AA519" t="s">
        <v>984</v>
      </c>
      <c r="AB519" t="s">
        <v>984</v>
      </c>
      <c r="AC519" t="s">
        <v>82</v>
      </c>
      <c r="AD519" t="s">
        <v>83</v>
      </c>
      <c r="AE519" t="s">
        <v>66</v>
      </c>
      <c r="AF519" t="s">
        <v>876</v>
      </c>
    </row>
    <row r="520" spans="1:32">
      <c r="A520" t="s">
        <v>2939</v>
      </c>
      <c r="B520" t="s">
        <v>162</v>
      </c>
      <c r="C520" t="s">
        <v>2940</v>
      </c>
      <c r="D520" t="s">
        <v>66</v>
      </c>
      <c r="E520" t="s">
        <v>67</v>
      </c>
      <c r="F520" t="s">
        <v>164</v>
      </c>
      <c r="G520" t="s">
        <v>165</v>
      </c>
      <c r="H520" t="s">
        <v>66</v>
      </c>
      <c r="I520" t="s">
        <v>66</v>
      </c>
      <c r="J520" t="s">
        <v>67</v>
      </c>
      <c r="K520" t="s">
        <v>71</v>
      </c>
      <c r="L520" t="s">
        <v>72</v>
      </c>
      <c r="M520" t="s">
        <v>73</v>
      </c>
      <c r="N520" t="s">
        <v>66</v>
      </c>
      <c r="O520" t="s">
        <v>73</v>
      </c>
      <c r="P520" t="s">
        <v>66</v>
      </c>
      <c r="Q520" t="s">
        <v>979</v>
      </c>
      <c r="R520" t="s">
        <v>73</v>
      </c>
      <c r="S520" t="s">
        <v>979</v>
      </c>
      <c r="T520" t="s">
        <v>2941</v>
      </c>
      <c r="U520" t="s">
        <v>2942</v>
      </c>
      <c r="V520" t="s">
        <v>982</v>
      </c>
      <c r="W520" t="s">
        <v>66</v>
      </c>
      <c r="X520" t="s">
        <v>78</v>
      </c>
      <c r="Y520" t="s">
        <v>2943</v>
      </c>
      <c r="Z520" t="s">
        <v>182</v>
      </c>
      <c r="AA520" t="s">
        <v>984</v>
      </c>
      <c r="AB520" t="s">
        <v>984</v>
      </c>
      <c r="AC520" t="s">
        <v>82</v>
      </c>
      <c r="AD520" t="s">
        <v>83</v>
      </c>
      <c r="AE520" t="s">
        <v>66</v>
      </c>
      <c r="AF520" t="s">
        <v>876</v>
      </c>
    </row>
    <row r="521" spans="1:32">
      <c r="A521" t="s">
        <v>2944</v>
      </c>
      <c r="B521" t="s">
        <v>162</v>
      </c>
      <c r="C521" t="s">
        <v>2945</v>
      </c>
      <c r="D521" t="s">
        <v>66</v>
      </c>
      <c r="E521" t="s">
        <v>67</v>
      </c>
      <c r="F521" t="s">
        <v>164</v>
      </c>
      <c r="G521" t="s">
        <v>165</v>
      </c>
      <c r="H521" t="s">
        <v>66</v>
      </c>
      <c r="I521" t="s">
        <v>66</v>
      </c>
      <c r="J521" t="s">
        <v>67</v>
      </c>
      <c r="K521" t="s">
        <v>71</v>
      </c>
      <c r="L521" t="s">
        <v>72</v>
      </c>
      <c r="M521" t="s">
        <v>73</v>
      </c>
      <c r="N521" t="s">
        <v>66</v>
      </c>
      <c r="O521" t="s">
        <v>73</v>
      </c>
      <c r="P521" t="s">
        <v>66</v>
      </c>
      <c r="Q521" t="s">
        <v>979</v>
      </c>
      <c r="R521" t="s">
        <v>73</v>
      </c>
      <c r="S521" t="s">
        <v>979</v>
      </c>
      <c r="T521" t="s">
        <v>2946</v>
      </c>
      <c r="U521" t="s">
        <v>2947</v>
      </c>
      <c r="V521" t="s">
        <v>982</v>
      </c>
      <c r="W521" t="s">
        <v>66</v>
      </c>
      <c r="X521" t="s">
        <v>78</v>
      </c>
      <c r="Y521" t="s">
        <v>2948</v>
      </c>
      <c r="Z521" t="s">
        <v>182</v>
      </c>
      <c r="AA521" t="s">
        <v>984</v>
      </c>
      <c r="AB521" t="s">
        <v>984</v>
      </c>
      <c r="AC521" t="s">
        <v>82</v>
      </c>
      <c r="AD521" t="s">
        <v>83</v>
      </c>
      <c r="AE521" t="s">
        <v>66</v>
      </c>
      <c r="AF521" t="s">
        <v>876</v>
      </c>
    </row>
    <row r="522" spans="1:32">
      <c r="A522" t="s">
        <v>2949</v>
      </c>
      <c r="B522" t="s">
        <v>1004</v>
      </c>
      <c r="C522" t="s">
        <v>2950</v>
      </c>
      <c r="D522" t="s">
        <v>66</v>
      </c>
      <c r="E522" t="s">
        <v>67</v>
      </c>
      <c r="F522" t="s">
        <v>68</v>
      </c>
      <c r="G522" t="s">
        <v>69</v>
      </c>
      <c r="H522" t="s">
        <v>66</v>
      </c>
      <c r="I522" t="s">
        <v>66</v>
      </c>
      <c r="J522" t="s">
        <v>67</v>
      </c>
      <c r="K522" t="s">
        <v>71</v>
      </c>
      <c r="L522" t="s">
        <v>72</v>
      </c>
      <c r="M522" t="s">
        <v>73</v>
      </c>
      <c r="N522" t="s">
        <v>66</v>
      </c>
      <c r="O522" t="s">
        <v>73</v>
      </c>
      <c r="P522" t="s">
        <v>66</v>
      </c>
      <c r="Q522" t="s">
        <v>979</v>
      </c>
      <c r="R522" t="s">
        <v>73</v>
      </c>
      <c r="S522" t="s">
        <v>979</v>
      </c>
      <c r="T522" t="s">
        <v>2951</v>
      </c>
      <c r="U522" t="s">
        <v>2952</v>
      </c>
      <c r="V522" t="s">
        <v>982</v>
      </c>
      <c r="W522" t="s">
        <v>66</v>
      </c>
      <c r="X522" t="s">
        <v>78</v>
      </c>
      <c r="Y522" t="s">
        <v>2953</v>
      </c>
      <c r="Z522" t="s">
        <v>182</v>
      </c>
      <c r="AA522" t="s">
        <v>984</v>
      </c>
      <c r="AB522" t="s">
        <v>984</v>
      </c>
      <c r="AC522" t="s">
        <v>82</v>
      </c>
      <c r="AD522" t="s">
        <v>83</v>
      </c>
      <c r="AE522" t="s">
        <v>66</v>
      </c>
      <c r="AF522" t="s">
        <v>876</v>
      </c>
    </row>
    <row r="523" spans="1:32">
      <c r="A523" t="s">
        <v>2954</v>
      </c>
      <c r="B523" t="s">
        <v>841</v>
      </c>
      <c r="C523" t="s">
        <v>2955</v>
      </c>
      <c r="D523" t="s">
        <v>2955</v>
      </c>
      <c r="E523" t="s">
        <v>109</v>
      </c>
      <c r="F523" t="s">
        <v>110</v>
      </c>
      <c r="G523" t="s">
        <v>111</v>
      </c>
      <c r="H523" t="s">
        <v>66</v>
      </c>
      <c r="I523" t="s">
        <v>66</v>
      </c>
      <c r="J523" t="s">
        <v>67</v>
      </c>
      <c r="K523" t="s">
        <v>71</v>
      </c>
      <c r="L523" t="s">
        <v>72</v>
      </c>
      <c r="M523" t="s">
        <v>73</v>
      </c>
      <c r="N523" t="s">
        <v>66</v>
      </c>
      <c r="O523" t="s">
        <v>73</v>
      </c>
      <c r="P523" t="s">
        <v>66</v>
      </c>
      <c r="Q523" t="s">
        <v>979</v>
      </c>
      <c r="R523" t="s">
        <v>73</v>
      </c>
      <c r="S523" t="s">
        <v>979</v>
      </c>
      <c r="T523" t="s">
        <v>2956</v>
      </c>
      <c r="U523" t="s">
        <v>2957</v>
      </c>
      <c r="V523" t="s">
        <v>982</v>
      </c>
      <c r="W523" t="s">
        <v>66</v>
      </c>
      <c r="X523" t="s">
        <v>78</v>
      </c>
      <c r="Y523" t="s">
        <v>2958</v>
      </c>
      <c r="Z523" t="s">
        <v>182</v>
      </c>
      <c r="AA523" t="s">
        <v>984</v>
      </c>
      <c r="AB523" t="s">
        <v>984</v>
      </c>
      <c r="AC523" t="s">
        <v>82</v>
      </c>
      <c r="AD523" t="s">
        <v>83</v>
      </c>
      <c r="AE523" t="s">
        <v>66</v>
      </c>
      <c r="AF523" t="s">
        <v>876</v>
      </c>
    </row>
    <row r="524" spans="1:32">
      <c r="A524" t="s">
        <v>2959</v>
      </c>
      <c r="B524" t="s">
        <v>986</v>
      </c>
      <c r="C524" t="s">
        <v>2960</v>
      </c>
      <c r="D524" t="s">
        <v>66</v>
      </c>
      <c r="E524" t="s">
        <v>67</v>
      </c>
      <c r="F524" t="s">
        <v>988</v>
      </c>
      <c r="G524" t="s">
        <v>989</v>
      </c>
      <c r="H524" t="s">
        <v>66</v>
      </c>
      <c r="I524" t="s">
        <v>66</v>
      </c>
      <c r="J524" t="s">
        <v>67</v>
      </c>
      <c r="K524" t="s">
        <v>71</v>
      </c>
      <c r="L524" t="s">
        <v>72</v>
      </c>
      <c r="M524" t="s">
        <v>73</v>
      </c>
      <c r="N524" t="s">
        <v>66</v>
      </c>
      <c r="O524" t="s">
        <v>73</v>
      </c>
      <c r="P524" t="s">
        <v>66</v>
      </c>
      <c r="Q524" t="s">
        <v>979</v>
      </c>
      <c r="R524" t="s">
        <v>73</v>
      </c>
      <c r="S524" t="s">
        <v>979</v>
      </c>
      <c r="T524" t="s">
        <v>2961</v>
      </c>
      <c r="U524" t="s">
        <v>2962</v>
      </c>
      <c r="V524" t="s">
        <v>982</v>
      </c>
      <c r="W524" t="s">
        <v>66</v>
      </c>
      <c r="X524" t="s">
        <v>78</v>
      </c>
      <c r="Y524" t="s">
        <v>2963</v>
      </c>
      <c r="Z524" t="s">
        <v>182</v>
      </c>
      <c r="AA524" t="s">
        <v>984</v>
      </c>
      <c r="AB524" t="s">
        <v>984</v>
      </c>
      <c r="AC524" t="s">
        <v>82</v>
      </c>
      <c r="AD524" t="s">
        <v>83</v>
      </c>
      <c r="AE524" t="s">
        <v>66</v>
      </c>
      <c r="AF524" t="s">
        <v>876</v>
      </c>
    </row>
    <row r="525" spans="1:32">
      <c r="A525" t="s">
        <v>2964</v>
      </c>
      <c r="B525" t="s">
        <v>1064</v>
      </c>
      <c r="C525" t="s">
        <v>2965</v>
      </c>
      <c r="D525" t="s">
        <v>66</v>
      </c>
      <c r="E525" t="s">
        <v>67</v>
      </c>
      <c r="F525" t="s">
        <v>110</v>
      </c>
      <c r="G525" t="s">
        <v>111</v>
      </c>
      <c r="H525" t="s">
        <v>66</v>
      </c>
      <c r="I525" t="s">
        <v>66</v>
      </c>
      <c r="J525" t="s">
        <v>67</v>
      </c>
      <c r="K525" t="s">
        <v>71</v>
      </c>
      <c r="L525" t="s">
        <v>72</v>
      </c>
      <c r="M525" t="s">
        <v>73</v>
      </c>
      <c r="N525" t="s">
        <v>66</v>
      </c>
      <c r="O525" t="s">
        <v>73</v>
      </c>
      <c r="P525" t="s">
        <v>66</v>
      </c>
      <c r="Q525" t="s">
        <v>979</v>
      </c>
      <c r="R525" t="s">
        <v>73</v>
      </c>
      <c r="S525" t="s">
        <v>979</v>
      </c>
      <c r="T525" t="s">
        <v>2966</v>
      </c>
      <c r="U525" t="s">
        <v>2967</v>
      </c>
      <c r="V525" t="s">
        <v>982</v>
      </c>
      <c r="W525" t="s">
        <v>66</v>
      </c>
      <c r="X525" t="s">
        <v>78</v>
      </c>
      <c r="Y525" t="s">
        <v>2968</v>
      </c>
      <c r="Z525" t="s">
        <v>182</v>
      </c>
      <c r="AA525" t="s">
        <v>984</v>
      </c>
      <c r="AB525" t="s">
        <v>984</v>
      </c>
      <c r="AC525" t="s">
        <v>82</v>
      </c>
      <c r="AD525" t="s">
        <v>83</v>
      </c>
      <c r="AE525" t="s">
        <v>66</v>
      </c>
      <c r="AF525" t="s">
        <v>876</v>
      </c>
    </row>
    <row r="526" spans="1:32">
      <c r="A526" t="s">
        <v>2969</v>
      </c>
      <c r="B526" t="s">
        <v>308</v>
      </c>
      <c r="C526" t="s">
        <v>2970</v>
      </c>
      <c r="D526" t="s">
        <v>2970</v>
      </c>
      <c r="E526" t="s">
        <v>109</v>
      </c>
      <c r="F526" t="s">
        <v>110</v>
      </c>
      <c r="G526" t="s">
        <v>111</v>
      </c>
      <c r="H526" t="s">
        <v>66</v>
      </c>
      <c r="I526" t="s">
        <v>66</v>
      </c>
      <c r="J526" t="s">
        <v>67</v>
      </c>
      <c r="K526" t="s">
        <v>71</v>
      </c>
      <c r="L526" t="s">
        <v>72</v>
      </c>
      <c r="M526" t="s">
        <v>73</v>
      </c>
      <c r="N526" t="s">
        <v>66</v>
      </c>
      <c r="O526" t="s">
        <v>73</v>
      </c>
      <c r="P526" t="s">
        <v>66</v>
      </c>
      <c r="Q526" t="s">
        <v>979</v>
      </c>
      <c r="R526" t="s">
        <v>73</v>
      </c>
      <c r="S526" t="s">
        <v>979</v>
      </c>
      <c r="T526" t="s">
        <v>2971</v>
      </c>
      <c r="U526" t="s">
        <v>2972</v>
      </c>
      <c r="V526" t="s">
        <v>982</v>
      </c>
      <c r="W526" t="s">
        <v>66</v>
      </c>
      <c r="X526" t="s">
        <v>78</v>
      </c>
      <c r="Y526" t="s">
        <v>2973</v>
      </c>
      <c r="Z526" t="s">
        <v>182</v>
      </c>
      <c r="AA526" t="s">
        <v>984</v>
      </c>
      <c r="AB526" t="s">
        <v>984</v>
      </c>
      <c r="AC526" t="s">
        <v>82</v>
      </c>
      <c r="AD526" t="s">
        <v>83</v>
      </c>
      <c r="AE526" t="s">
        <v>66</v>
      </c>
      <c r="AF526" t="s">
        <v>876</v>
      </c>
    </row>
    <row r="527" spans="1:32">
      <c r="A527" t="s">
        <v>2974</v>
      </c>
      <c r="B527" t="s">
        <v>308</v>
      </c>
      <c r="C527" t="s">
        <v>2975</v>
      </c>
      <c r="D527" t="s">
        <v>2975</v>
      </c>
      <c r="E527" t="s">
        <v>109</v>
      </c>
      <c r="F527" t="s">
        <v>110</v>
      </c>
      <c r="G527" t="s">
        <v>111</v>
      </c>
      <c r="H527" t="s">
        <v>66</v>
      </c>
      <c r="I527" t="s">
        <v>66</v>
      </c>
      <c r="J527" t="s">
        <v>67</v>
      </c>
      <c r="K527" t="s">
        <v>71</v>
      </c>
      <c r="L527" t="s">
        <v>72</v>
      </c>
      <c r="M527" t="s">
        <v>73</v>
      </c>
      <c r="N527" t="s">
        <v>66</v>
      </c>
      <c r="O527" t="s">
        <v>73</v>
      </c>
      <c r="P527" t="s">
        <v>66</v>
      </c>
      <c r="Q527" t="s">
        <v>979</v>
      </c>
      <c r="R527" t="s">
        <v>73</v>
      </c>
      <c r="S527" t="s">
        <v>979</v>
      </c>
      <c r="T527" t="s">
        <v>2976</v>
      </c>
      <c r="U527" t="s">
        <v>2977</v>
      </c>
      <c r="V527" t="s">
        <v>982</v>
      </c>
      <c r="W527" t="s">
        <v>66</v>
      </c>
      <c r="X527" t="s">
        <v>78</v>
      </c>
      <c r="Y527" t="s">
        <v>2978</v>
      </c>
      <c r="Z527" t="s">
        <v>182</v>
      </c>
      <c r="AA527" t="s">
        <v>984</v>
      </c>
      <c r="AB527" t="s">
        <v>984</v>
      </c>
      <c r="AC527" t="s">
        <v>82</v>
      </c>
      <c r="AD527" t="s">
        <v>83</v>
      </c>
      <c r="AE527" t="s">
        <v>66</v>
      </c>
      <c r="AF527" t="s">
        <v>876</v>
      </c>
    </row>
    <row r="528" spans="1:32">
      <c r="A528" t="s">
        <v>2979</v>
      </c>
      <c r="B528" t="s">
        <v>151</v>
      </c>
      <c r="C528" t="s">
        <v>2980</v>
      </c>
      <c r="D528" t="s">
        <v>66</v>
      </c>
      <c r="E528" t="s">
        <v>67</v>
      </c>
      <c r="F528" t="s">
        <v>68</v>
      </c>
      <c r="G528" t="s">
        <v>69</v>
      </c>
      <c r="H528" t="s">
        <v>66</v>
      </c>
      <c r="I528" t="s">
        <v>66</v>
      </c>
      <c r="J528" t="s">
        <v>67</v>
      </c>
      <c r="K528" t="s">
        <v>71</v>
      </c>
      <c r="L528" t="s">
        <v>72</v>
      </c>
      <c r="M528" t="s">
        <v>73</v>
      </c>
      <c r="N528" t="s">
        <v>66</v>
      </c>
      <c r="O528" t="s">
        <v>73</v>
      </c>
      <c r="P528" t="s">
        <v>66</v>
      </c>
      <c r="Q528" t="s">
        <v>979</v>
      </c>
      <c r="R528" t="s">
        <v>73</v>
      </c>
      <c r="S528" t="s">
        <v>979</v>
      </c>
      <c r="T528" t="s">
        <v>2981</v>
      </c>
      <c r="U528" t="s">
        <v>2982</v>
      </c>
      <c r="V528" t="s">
        <v>982</v>
      </c>
      <c r="W528" t="s">
        <v>66</v>
      </c>
      <c r="X528" t="s">
        <v>78</v>
      </c>
      <c r="Y528" t="s">
        <v>2983</v>
      </c>
      <c r="Z528" t="s">
        <v>182</v>
      </c>
      <c r="AA528" t="s">
        <v>984</v>
      </c>
      <c r="AB528" t="s">
        <v>984</v>
      </c>
      <c r="AC528" t="s">
        <v>82</v>
      </c>
      <c r="AD528" t="s">
        <v>83</v>
      </c>
      <c r="AE528" t="s">
        <v>66</v>
      </c>
      <c r="AF528" t="s">
        <v>876</v>
      </c>
    </row>
    <row r="529" spans="1:32">
      <c r="A529" t="s">
        <v>2984</v>
      </c>
      <c r="B529" t="s">
        <v>162</v>
      </c>
      <c r="C529" t="s">
        <v>2985</v>
      </c>
      <c r="D529" t="s">
        <v>2985</v>
      </c>
      <c r="E529" t="s">
        <v>67</v>
      </c>
      <c r="F529" t="s">
        <v>164</v>
      </c>
      <c r="G529" t="s">
        <v>165</v>
      </c>
      <c r="H529" t="s">
        <v>66</v>
      </c>
      <c r="I529" t="s">
        <v>66</v>
      </c>
      <c r="J529" t="s">
        <v>67</v>
      </c>
      <c r="K529" t="s">
        <v>71</v>
      </c>
      <c r="L529" t="s">
        <v>72</v>
      </c>
      <c r="M529" t="s">
        <v>73</v>
      </c>
      <c r="N529" t="s">
        <v>66</v>
      </c>
      <c r="O529" t="s">
        <v>73</v>
      </c>
      <c r="P529" t="s">
        <v>66</v>
      </c>
      <c r="Q529" t="s">
        <v>979</v>
      </c>
      <c r="R529" t="s">
        <v>73</v>
      </c>
      <c r="S529" t="s">
        <v>979</v>
      </c>
      <c r="T529" t="s">
        <v>2986</v>
      </c>
      <c r="U529" t="s">
        <v>2987</v>
      </c>
      <c r="V529" t="s">
        <v>982</v>
      </c>
      <c r="W529" t="s">
        <v>66</v>
      </c>
      <c r="X529" t="s">
        <v>78</v>
      </c>
      <c r="Y529" t="s">
        <v>2988</v>
      </c>
      <c r="Z529" t="s">
        <v>182</v>
      </c>
      <c r="AA529" t="s">
        <v>984</v>
      </c>
      <c r="AB529" t="s">
        <v>984</v>
      </c>
      <c r="AC529" t="s">
        <v>82</v>
      </c>
      <c r="AD529" t="s">
        <v>83</v>
      </c>
      <c r="AE529" t="s">
        <v>66</v>
      </c>
      <c r="AF529" t="s">
        <v>876</v>
      </c>
    </row>
    <row r="530" spans="1:32">
      <c r="A530" t="s">
        <v>2989</v>
      </c>
      <c r="B530" t="s">
        <v>1004</v>
      </c>
      <c r="C530" t="s">
        <v>2990</v>
      </c>
      <c r="D530" t="s">
        <v>66</v>
      </c>
      <c r="E530" t="s">
        <v>67</v>
      </c>
      <c r="F530" t="s">
        <v>68</v>
      </c>
      <c r="G530" t="s">
        <v>69</v>
      </c>
      <c r="H530" t="s">
        <v>66</v>
      </c>
      <c r="I530" t="s">
        <v>66</v>
      </c>
      <c r="J530" t="s">
        <v>67</v>
      </c>
      <c r="K530" t="s">
        <v>71</v>
      </c>
      <c r="L530" t="s">
        <v>72</v>
      </c>
      <c r="M530" t="s">
        <v>73</v>
      </c>
      <c r="N530" t="s">
        <v>66</v>
      </c>
      <c r="O530" t="s">
        <v>73</v>
      </c>
      <c r="P530" t="s">
        <v>66</v>
      </c>
      <c r="Q530" t="s">
        <v>979</v>
      </c>
      <c r="R530" t="s">
        <v>73</v>
      </c>
      <c r="S530" t="s">
        <v>979</v>
      </c>
      <c r="T530" t="s">
        <v>2991</v>
      </c>
      <c r="U530" t="s">
        <v>2992</v>
      </c>
      <c r="V530" t="s">
        <v>982</v>
      </c>
      <c r="W530" t="s">
        <v>66</v>
      </c>
      <c r="X530" t="s">
        <v>78</v>
      </c>
      <c r="Y530" t="s">
        <v>2993</v>
      </c>
      <c r="Z530" t="s">
        <v>182</v>
      </c>
      <c r="AA530" t="s">
        <v>984</v>
      </c>
      <c r="AB530" t="s">
        <v>984</v>
      </c>
      <c r="AC530" t="s">
        <v>82</v>
      </c>
      <c r="AD530" t="s">
        <v>83</v>
      </c>
      <c r="AE530" t="s">
        <v>66</v>
      </c>
      <c r="AF530" t="s">
        <v>876</v>
      </c>
    </row>
    <row r="531" spans="1:32">
      <c r="A531" t="s">
        <v>2994</v>
      </c>
      <c r="B531" t="s">
        <v>2995</v>
      </c>
      <c r="C531" t="s">
        <v>2996</v>
      </c>
      <c r="D531" t="s">
        <v>2996</v>
      </c>
      <c r="E531" t="s">
        <v>109</v>
      </c>
      <c r="F531" t="s">
        <v>110</v>
      </c>
      <c r="G531" t="s">
        <v>111</v>
      </c>
      <c r="H531" t="s">
        <v>66</v>
      </c>
      <c r="I531" t="s">
        <v>66</v>
      </c>
      <c r="J531" t="s">
        <v>67</v>
      </c>
      <c r="K531" t="s">
        <v>71</v>
      </c>
      <c r="L531" t="s">
        <v>72</v>
      </c>
      <c r="M531" t="s">
        <v>73</v>
      </c>
      <c r="N531" t="s">
        <v>66</v>
      </c>
      <c r="O531" t="s">
        <v>73</v>
      </c>
      <c r="P531" t="s">
        <v>66</v>
      </c>
      <c r="Q531" t="s">
        <v>979</v>
      </c>
      <c r="R531" t="s">
        <v>73</v>
      </c>
      <c r="S531" t="s">
        <v>979</v>
      </c>
      <c r="T531" t="s">
        <v>2997</v>
      </c>
      <c r="U531" t="s">
        <v>2998</v>
      </c>
      <c r="V531" t="s">
        <v>982</v>
      </c>
      <c r="W531" t="s">
        <v>66</v>
      </c>
      <c r="X531" t="s">
        <v>78</v>
      </c>
      <c r="Y531" t="s">
        <v>2999</v>
      </c>
      <c r="Z531" t="s">
        <v>182</v>
      </c>
      <c r="AA531" t="s">
        <v>984</v>
      </c>
      <c r="AB531" t="s">
        <v>984</v>
      </c>
      <c r="AC531" t="s">
        <v>82</v>
      </c>
      <c r="AD531" t="s">
        <v>83</v>
      </c>
      <c r="AE531" t="s">
        <v>66</v>
      </c>
      <c r="AF531" t="s">
        <v>876</v>
      </c>
    </row>
    <row r="532" spans="1:32">
      <c r="A532" t="s">
        <v>3000</v>
      </c>
      <c r="B532" t="s">
        <v>841</v>
      </c>
      <c r="C532" t="s">
        <v>3001</v>
      </c>
      <c r="D532" t="s">
        <v>3001</v>
      </c>
      <c r="E532" t="s">
        <v>109</v>
      </c>
      <c r="F532" t="s">
        <v>110</v>
      </c>
      <c r="G532" t="s">
        <v>111</v>
      </c>
      <c r="H532" t="s">
        <v>66</v>
      </c>
      <c r="I532" t="s">
        <v>66</v>
      </c>
      <c r="J532" t="s">
        <v>67</v>
      </c>
      <c r="K532" t="s">
        <v>71</v>
      </c>
      <c r="L532" t="s">
        <v>72</v>
      </c>
      <c r="M532" t="s">
        <v>73</v>
      </c>
      <c r="N532" t="s">
        <v>66</v>
      </c>
      <c r="O532" t="s">
        <v>73</v>
      </c>
      <c r="P532" t="s">
        <v>66</v>
      </c>
      <c r="Q532" t="s">
        <v>979</v>
      </c>
      <c r="R532" t="s">
        <v>73</v>
      </c>
      <c r="S532" t="s">
        <v>979</v>
      </c>
      <c r="T532" t="s">
        <v>3002</v>
      </c>
      <c r="U532" t="s">
        <v>3003</v>
      </c>
      <c r="V532" t="s">
        <v>982</v>
      </c>
      <c r="W532" t="s">
        <v>66</v>
      </c>
      <c r="X532" t="s">
        <v>78</v>
      </c>
      <c r="Y532" t="s">
        <v>3004</v>
      </c>
      <c r="Z532" t="s">
        <v>182</v>
      </c>
      <c r="AA532" t="s">
        <v>984</v>
      </c>
      <c r="AB532" t="s">
        <v>984</v>
      </c>
      <c r="AC532" t="s">
        <v>82</v>
      </c>
      <c r="AD532" t="s">
        <v>83</v>
      </c>
      <c r="AE532" t="s">
        <v>66</v>
      </c>
      <c r="AF532" t="s">
        <v>876</v>
      </c>
    </row>
    <row r="533" spans="1:32">
      <c r="A533" t="s">
        <v>3005</v>
      </c>
      <c r="B533" t="s">
        <v>162</v>
      </c>
      <c r="C533" t="s">
        <v>3006</v>
      </c>
      <c r="D533" t="s">
        <v>66</v>
      </c>
      <c r="E533" t="s">
        <v>67</v>
      </c>
      <c r="F533" t="s">
        <v>164</v>
      </c>
      <c r="G533" t="s">
        <v>165</v>
      </c>
      <c r="H533" t="s">
        <v>66</v>
      </c>
      <c r="I533" t="s">
        <v>66</v>
      </c>
      <c r="J533" t="s">
        <v>67</v>
      </c>
      <c r="K533" t="s">
        <v>71</v>
      </c>
      <c r="L533" t="s">
        <v>72</v>
      </c>
      <c r="M533" t="s">
        <v>73</v>
      </c>
      <c r="N533" t="s">
        <v>66</v>
      </c>
      <c r="O533" t="s">
        <v>73</v>
      </c>
      <c r="P533" t="s">
        <v>66</v>
      </c>
      <c r="Q533" t="s">
        <v>979</v>
      </c>
      <c r="R533" t="s">
        <v>73</v>
      </c>
      <c r="S533" t="s">
        <v>979</v>
      </c>
      <c r="T533" t="s">
        <v>3007</v>
      </c>
      <c r="U533" t="s">
        <v>3008</v>
      </c>
      <c r="V533" t="s">
        <v>982</v>
      </c>
      <c r="W533" t="s">
        <v>66</v>
      </c>
      <c r="X533" t="s">
        <v>78</v>
      </c>
      <c r="Y533" t="s">
        <v>3009</v>
      </c>
      <c r="Z533" t="s">
        <v>182</v>
      </c>
      <c r="AA533" t="s">
        <v>984</v>
      </c>
      <c r="AB533" t="s">
        <v>984</v>
      </c>
      <c r="AC533" t="s">
        <v>82</v>
      </c>
      <c r="AD533" t="s">
        <v>83</v>
      </c>
      <c r="AE533" t="s">
        <v>66</v>
      </c>
      <c r="AF533" t="s">
        <v>876</v>
      </c>
    </row>
    <row r="534" spans="1:32">
      <c r="A534" t="s">
        <v>3010</v>
      </c>
      <c r="B534" t="s">
        <v>841</v>
      </c>
      <c r="C534" t="s">
        <v>3011</v>
      </c>
      <c r="D534" t="s">
        <v>3011</v>
      </c>
      <c r="E534" t="s">
        <v>109</v>
      </c>
      <c r="F534" t="s">
        <v>110</v>
      </c>
      <c r="G534" t="s">
        <v>111</v>
      </c>
      <c r="H534" t="s">
        <v>66</v>
      </c>
      <c r="I534" t="s">
        <v>66</v>
      </c>
      <c r="J534" t="s">
        <v>67</v>
      </c>
      <c r="K534" t="s">
        <v>71</v>
      </c>
      <c r="L534" t="s">
        <v>72</v>
      </c>
      <c r="M534" t="s">
        <v>73</v>
      </c>
      <c r="N534" t="s">
        <v>66</v>
      </c>
      <c r="O534" t="s">
        <v>73</v>
      </c>
      <c r="P534" t="s">
        <v>66</v>
      </c>
      <c r="Q534" t="s">
        <v>979</v>
      </c>
      <c r="R534" t="s">
        <v>73</v>
      </c>
      <c r="S534" t="s">
        <v>979</v>
      </c>
      <c r="T534" t="s">
        <v>3012</v>
      </c>
      <c r="U534" t="s">
        <v>3013</v>
      </c>
      <c r="V534" t="s">
        <v>982</v>
      </c>
      <c r="W534" t="s">
        <v>66</v>
      </c>
      <c r="X534" t="s">
        <v>78</v>
      </c>
      <c r="Y534" t="s">
        <v>3014</v>
      </c>
      <c r="Z534" t="s">
        <v>182</v>
      </c>
      <c r="AA534" t="s">
        <v>984</v>
      </c>
      <c r="AB534" t="s">
        <v>984</v>
      </c>
      <c r="AC534" t="s">
        <v>82</v>
      </c>
      <c r="AD534" t="s">
        <v>83</v>
      </c>
      <c r="AE534" t="s">
        <v>66</v>
      </c>
      <c r="AF534" t="s">
        <v>876</v>
      </c>
    </row>
    <row r="535" spans="1:32">
      <c r="A535" t="s">
        <v>3015</v>
      </c>
      <c r="B535" t="s">
        <v>130</v>
      </c>
      <c r="C535" t="s">
        <v>3016</v>
      </c>
      <c r="D535" t="s">
        <v>3016</v>
      </c>
      <c r="E535" t="s">
        <v>109</v>
      </c>
      <c r="F535" t="s">
        <v>110</v>
      </c>
      <c r="G535" t="s">
        <v>111</v>
      </c>
      <c r="H535" t="s">
        <v>66</v>
      </c>
      <c r="I535" t="s">
        <v>66</v>
      </c>
      <c r="J535" t="s">
        <v>67</v>
      </c>
      <c r="K535" t="s">
        <v>71</v>
      </c>
      <c r="L535" t="s">
        <v>72</v>
      </c>
      <c r="M535" t="s">
        <v>73</v>
      </c>
      <c r="N535" t="s">
        <v>66</v>
      </c>
      <c r="O535" t="s">
        <v>73</v>
      </c>
      <c r="P535" t="s">
        <v>66</v>
      </c>
      <c r="Q535" t="s">
        <v>979</v>
      </c>
      <c r="R535" t="s">
        <v>73</v>
      </c>
      <c r="S535" t="s">
        <v>979</v>
      </c>
      <c r="T535" t="s">
        <v>3017</v>
      </c>
      <c r="U535" t="s">
        <v>3018</v>
      </c>
      <c r="V535" t="s">
        <v>982</v>
      </c>
      <c r="W535" t="s">
        <v>66</v>
      </c>
      <c r="X535" t="s">
        <v>78</v>
      </c>
      <c r="Y535" t="s">
        <v>3019</v>
      </c>
      <c r="Z535" t="s">
        <v>182</v>
      </c>
      <c r="AA535" t="s">
        <v>984</v>
      </c>
      <c r="AB535" t="s">
        <v>984</v>
      </c>
      <c r="AC535" t="s">
        <v>82</v>
      </c>
      <c r="AD535" t="s">
        <v>83</v>
      </c>
      <c r="AE535" t="s">
        <v>66</v>
      </c>
      <c r="AF535" t="s">
        <v>876</v>
      </c>
    </row>
    <row r="536" spans="1:32">
      <c r="A536" t="s">
        <v>3020</v>
      </c>
      <c r="B536" t="s">
        <v>151</v>
      </c>
      <c r="C536" t="s">
        <v>3021</v>
      </c>
      <c r="D536" t="s">
        <v>66</v>
      </c>
      <c r="E536" t="s">
        <v>67</v>
      </c>
      <c r="F536" t="s">
        <v>68</v>
      </c>
      <c r="G536" t="s">
        <v>69</v>
      </c>
      <c r="H536" t="s">
        <v>66</v>
      </c>
      <c r="I536" t="s">
        <v>66</v>
      </c>
      <c r="J536" t="s">
        <v>67</v>
      </c>
      <c r="K536" t="s">
        <v>71</v>
      </c>
      <c r="L536" t="s">
        <v>72</v>
      </c>
      <c r="M536" t="s">
        <v>73</v>
      </c>
      <c r="N536" t="s">
        <v>66</v>
      </c>
      <c r="O536" t="s">
        <v>73</v>
      </c>
      <c r="P536" t="s">
        <v>66</v>
      </c>
      <c r="Q536" t="s">
        <v>979</v>
      </c>
      <c r="R536" t="s">
        <v>73</v>
      </c>
      <c r="S536" t="s">
        <v>979</v>
      </c>
      <c r="T536" t="s">
        <v>3022</v>
      </c>
      <c r="U536" t="s">
        <v>3023</v>
      </c>
      <c r="V536" t="s">
        <v>982</v>
      </c>
      <c r="W536" t="s">
        <v>66</v>
      </c>
      <c r="X536" t="s">
        <v>78</v>
      </c>
      <c r="Y536" t="s">
        <v>3024</v>
      </c>
      <c r="Z536" t="s">
        <v>182</v>
      </c>
      <c r="AA536" t="s">
        <v>984</v>
      </c>
      <c r="AB536" t="s">
        <v>984</v>
      </c>
      <c r="AC536" t="s">
        <v>82</v>
      </c>
      <c r="AD536" t="s">
        <v>83</v>
      </c>
      <c r="AE536" t="s">
        <v>66</v>
      </c>
      <c r="AF536" t="s">
        <v>876</v>
      </c>
    </row>
    <row r="537" spans="1:32">
      <c r="A537" t="s">
        <v>3025</v>
      </c>
      <c r="B537" t="s">
        <v>1058</v>
      </c>
      <c r="C537" t="s">
        <v>3026</v>
      </c>
      <c r="D537" t="s">
        <v>3026</v>
      </c>
      <c r="E537" t="s">
        <v>109</v>
      </c>
      <c r="F537" t="s">
        <v>110</v>
      </c>
      <c r="G537" t="s">
        <v>111</v>
      </c>
      <c r="H537" t="s">
        <v>66</v>
      </c>
      <c r="I537" t="s">
        <v>66</v>
      </c>
      <c r="J537" t="s">
        <v>67</v>
      </c>
      <c r="K537" t="s">
        <v>71</v>
      </c>
      <c r="L537" t="s">
        <v>72</v>
      </c>
      <c r="M537" t="s">
        <v>73</v>
      </c>
      <c r="N537" t="s">
        <v>66</v>
      </c>
      <c r="O537" t="s">
        <v>73</v>
      </c>
      <c r="P537" t="s">
        <v>66</v>
      </c>
      <c r="Q537" t="s">
        <v>979</v>
      </c>
      <c r="R537" t="s">
        <v>73</v>
      </c>
      <c r="S537" t="s">
        <v>979</v>
      </c>
      <c r="T537" t="s">
        <v>3027</v>
      </c>
      <c r="U537" t="s">
        <v>3028</v>
      </c>
      <c r="V537" t="s">
        <v>982</v>
      </c>
      <c r="W537" t="s">
        <v>66</v>
      </c>
      <c r="X537" t="s">
        <v>78</v>
      </c>
      <c r="Y537" t="s">
        <v>3029</v>
      </c>
      <c r="Z537" t="s">
        <v>182</v>
      </c>
      <c r="AA537" t="s">
        <v>984</v>
      </c>
      <c r="AB537" t="s">
        <v>984</v>
      </c>
      <c r="AC537" t="s">
        <v>82</v>
      </c>
      <c r="AD537" t="s">
        <v>83</v>
      </c>
      <c r="AE537" t="s">
        <v>66</v>
      </c>
      <c r="AF537" t="s">
        <v>876</v>
      </c>
    </row>
    <row r="538" spans="1:32">
      <c r="A538" t="s">
        <v>3030</v>
      </c>
      <c r="B538" t="s">
        <v>1004</v>
      </c>
      <c r="C538" t="s">
        <v>3031</v>
      </c>
      <c r="D538" t="s">
        <v>66</v>
      </c>
      <c r="E538" t="s">
        <v>67</v>
      </c>
      <c r="F538" t="s">
        <v>68</v>
      </c>
      <c r="G538" t="s">
        <v>69</v>
      </c>
      <c r="H538" t="s">
        <v>66</v>
      </c>
      <c r="I538" t="s">
        <v>66</v>
      </c>
      <c r="J538" t="s">
        <v>67</v>
      </c>
      <c r="K538" t="s">
        <v>71</v>
      </c>
      <c r="L538" t="s">
        <v>72</v>
      </c>
      <c r="M538" t="s">
        <v>73</v>
      </c>
      <c r="N538" t="s">
        <v>66</v>
      </c>
      <c r="O538" t="s">
        <v>73</v>
      </c>
      <c r="P538" t="s">
        <v>66</v>
      </c>
      <c r="Q538" t="s">
        <v>979</v>
      </c>
      <c r="R538" t="s">
        <v>73</v>
      </c>
      <c r="S538" t="s">
        <v>979</v>
      </c>
      <c r="T538" t="s">
        <v>3032</v>
      </c>
      <c r="U538" t="s">
        <v>3033</v>
      </c>
      <c r="V538" t="s">
        <v>982</v>
      </c>
      <c r="W538" t="s">
        <v>66</v>
      </c>
      <c r="X538" t="s">
        <v>78</v>
      </c>
      <c r="Y538" t="s">
        <v>3034</v>
      </c>
      <c r="Z538" t="s">
        <v>182</v>
      </c>
      <c r="AA538" t="s">
        <v>984</v>
      </c>
      <c r="AB538" t="s">
        <v>984</v>
      </c>
      <c r="AC538" t="s">
        <v>82</v>
      </c>
      <c r="AD538" t="s">
        <v>83</v>
      </c>
      <c r="AE538" t="s">
        <v>66</v>
      </c>
      <c r="AF538" t="s">
        <v>876</v>
      </c>
    </row>
    <row r="539" spans="1:32">
      <c r="A539" t="s">
        <v>3035</v>
      </c>
      <c r="B539" t="s">
        <v>162</v>
      </c>
      <c r="C539" t="s">
        <v>3036</v>
      </c>
      <c r="D539" t="s">
        <v>66</v>
      </c>
      <c r="E539" t="s">
        <v>67</v>
      </c>
      <c r="F539" t="s">
        <v>164</v>
      </c>
      <c r="G539" t="s">
        <v>165</v>
      </c>
      <c r="H539" t="s">
        <v>66</v>
      </c>
      <c r="I539" t="s">
        <v>66</v>
      </c>
      <c r="J539" t="s">
        <v>67</v>
      </c>
      <c r="K539" t="s">
        <v>71</v>
      </c>
      <c r="L539" t="s">
        <v>72</v>
      </c>
      <c r="M539" t="s">
        <v>73</v>
      </c>
      <c r="N539" t="s">
        <v>66</v>
      </c>
      <c r="O539" t="s">
        <v>73</v>
      </c>
      <c r="P539" t="s">
        <v>66</v>
      </c>
      <c r="Q539" t="s">
        <v>979</v>
      </c>
      <c r="R539" t="s">
        <v>73</v>
      </c>
      <c r="S539" t="s">
        <v>979</v>
      </c>
      <c r="T539" t="s">
        <v>3037</v>
      </c>
      <c r="U539" t="s">
        <v>3038</v>
      </c>
      <c r="V539" t="s">
        <v>982</v>
      </c>
      <c r="W539" t="s">
        <v>66</v>
      </c>
      <c r="X539" t="s">
        <v>78</v>
      </c>
      <c r="Y539" t="s">
        <v>3039</v>
      </c>
      <c r="Z539" t="s">
        <v>182</v>
      </c>
      <c r="AA539" t="s">
        <v>984</v>
      </c>
      <c r="AB539" t="s">
        <v>984</v>
      </c>
      <c r="AC539" t="s">
        <v>82</v>
      </c>
      <c r="AD539" t="s">
        <v>83</v>
      </c>
      <c r="AE539" t="s">
        <v>66</v>
      </c>
      <c r="AF539" t="s">
        <v>876</v>
      </c>
    </row>
    <row r="540" spans="1:32">
      <c r="A540" t="s">
        <v>3040</v>
      </c>
      <c r="B540" t="s">
        <v>359</v>
      </c>
      <c r="C540" t="s">
        <v>3041</v>
      </c>
      <c r="D540" t="s">
        <v>3041</v>
      </c>
      <c r="E540" t="s">
        <v>109</v>
      </c>
      <c r="F540" t="s">
        <v>110</v>
      </c>
      <c r="G540" t="s">
        <v>111</v>
      </c>
      <c r="H540" t="s">
        <v>66</v>
      </c>
      <c r="I540" t="s">
        <v>66</v>
      </c>
      <c r="J540" t="s">
        <v>67</v>
      </c>
      <c r="K540" t="s">
        <v>71</v>
      </c>
      <c r="L540" t="s">
        <v>72</v>
      </c>
      <c r="M540" t="s">
        <v>73</v>
      </c>
      <c r="N540" t="s">
        <v>66</v>
      </c>
      <c r="O540" t="s">
        <v>73</v>
      </c>
      <c r="P540" t="s">
        <v>66</v>
      </c>
      <c r="Q540" t="s">
        <v>979</v>
      </c>
      <c r="R540" t="s">
        <v>73</v>
      </c>
      <c r="S540" t="s">
        <v>979</v>
      </c>
      <c r="T540" t="s">
        <v>3042</v>
      </c>
      <c r="U540" t="s">
        <v>3043</v>
      </c>
      <c r="V540" t="s">
        <v>982</v>
      </c>
      <c r="W540" t="s">
        <v>66</v>
      </c>
      <c r="X540" t="s">
        <v>78</v>
      </c>
      <c r="Y540" t="s">
        <v>3044</v>
      </c>
      <c r="Z540" t="s">
        <v>182</v>
      </c>
      <c r="AA540" t="s">
        <v>984</v>
      </c>
      <c r="AB540" t="s">
        <v>984</v>
      </c>
      <c r="AC540" t="s">
        <v>82</v>
      </c>
      <c r="AD540" t="s">
        <v>83</v>
      </c>
      <c r="AE540" t="s">
        <v>66</v>
      </c>
      <c r="AF540" t="s">
        <v>876</v>
      </c>
    </row>
    <row r="541" spans="1:32">
      <c r="A541" t="s">
        <v>3045</v>
      </c>
      <c r="B541" t="s">
        <v>308</v>
      </c>
      <c r="C541" t="s">
        <v>3046</v>
      </c>
      <c r="D541" t="s">
        <v>3046</v>
      </c>
      <c r="E541" t="s">
        <v>109</v>
      </c>
      <c r="F541" t="s">
        <v>110</v>
      </c>
      <c r="G541" t="s">
        <v>111</v>
      </c>
      <c r="H541" t="s">
        <v>66</v>
      </c>
      <c r="I541" t="s">
        <v>66</v>
      </c>
      <c r="J541" t="s">
        <v>67</v>
      </c>
      <c r="K541" t="s">
        <v>71</v>
      </c>
      <c r="L541" t="s">
        <v>72</v>
      </c>
      <c r="M541" t="s">
        <v>73</v>
      </c>
      <c r="N541" t="s">
        <v>66</v>
      </c>
      <c r="O541" t="s">
        <v>73</v>
      </c>
      <c r="P541" t="s">
        <v>66</v>
      </c>
      <c r="Q541" t="s">
        <v>979</v>
      </c>
      <c r="R541" t="s">
        <v>73</v>
      </c>
      <c r="S541" t="s">
        <v>979</v>
      </c>
      <c r="T541" t="s">
        <v>3047</v>
      </c>
      <c r="U541" t="s">
        <v>3048</v>
      </c>
      <c r="V541" t="s">
        <v>982</v>
      </c>
      <c r="W541" t="s">
        <v>66</v>
      </c>
      <c r="X541" t="s">
        <v>78</v>
      </c>
      <c r="Y541" t="s">
        <v>3049</v>
      </c>
      <c r="Z541" t="s">
        <v>182</v>
      </c>
      <c r="AA541" t="s">
        <v>984</v>
      </c>
      <c r="AB541" t="s">
        <v>984</v>
      </c>
      <c r="AC541" t="s">
        <v>82</v>
      </c>
      <c r="AD541" t="s">
        <v>83</v>
      </c>
      <c r="AE541" t="s">
        <v>66</v>
      </c>
      <c r="AF541" t="s">
        <v>876</v>
      </c>
    </row>
    <row r="542" spans="1:32">
      <c r="A542" t="s">
        <v>3050</v>
      </c>
      <c r="B542" t="s">
        <v>162</v>
      </c>
      <c r="C542" t="s">
        <v>3051</v>
      </c>
      <c r="D542" t="s">
        <v>66</v>
      </c>
      <c r="E542" t="s">
        <v>67</v>
      </c>
      <c r="F542" t="s">
        <v>164</v>
      </c>
      <c r="G542" t="s">
        <v>165</v>
      </c>
      <c r="H542" t="s">
        <v>66</v>
      </c>
      <c r="I542" t="s">
        <v>66</v>
      </c>
      <c r="J542" t="s">
        <v>67</v>
      </c>
      <c r="K542" t="s">
        <v>71</v>
      </c>
      <c r="L542" t="s">
        <v>72</v>
      </c>
      <c r="M542" t="s">
        <v>73</v>
      </c>
      <c r="N542" t="s">
        <v>66</v>
      </c>
      <c r="O542" t="s">
        <v>73</v>
      </c>
      <c r="P542" t="s">
        <v>66</v>
      </c>
      <c r="Q542" t="s">
        <v>979</v>
      </c>
      <c r="R542" t="s">
        <v>73</v>
      </c>
      <c r="S542" t="s">
        <v>979</v>
      </c>
      <c r="T542" t="s">
        <v>3052</v>
      </c>
      <c r="U542" t="s">
        <v>3053</v>
      </c>
      <c r="V542" t="s">
        <v>982</v>
      </c>
      <c r="W542" t="s">
        <v>66</v>
      </c>
      <c r="X542" t="s">
        <v>78</v>
      </c>
      <c r="Y542" t="s">
        <v>3054</v>
      </c>
      <c r="Z542" t="s">
        <v>182</v>
      </c>
      <c r="AA542" t="s">
        <v>984</v>
      </c>
      <c r="AB542" t="s">
        <v>984</v>
      </c>
      <c r="AC542" t="s">
        <v>82</v>
      </c>
      <c r="AD542" t="s">
        <v>83</v>
      </c>
      <c r="AE542" t="s">
        <v>66</v>
      </c>
      <c r="AF542" t="s">
        <v>876</v>
      </c>
    </row>
    <row r="543" spans="1:32">
      <c r="A543" t="s">
        <v>3055</v>
      </c>
      <c r="B543" t="s">
        <v>1058</v>
      </c>
      <c r="C543" t="s">
        <v>3056</v>
      </c>
      <c r="D543" t="s">
        <v>3056</v>
      </c>
      <c r="E543" t="s">
        <v>109</v>
      </c>
      <c r="F543" t="s">
        <v>110</v>
      </c>
      <c r="G543" t="s">
        <v>111</v>
      </c>
      <c r="H543" t="s">
        <v>66</v>
      </c>
      <c r="I543" t="s">
        <v>66</v>
      </c>
      <c r="J543" t="s">
        <v>67</v>
      </c>
      <c r="K543" t="s">
        <v>71</v>
      </c>
      <c r="L543" t="s">
        <v>72</v>
      </c>
      <c r="M543" t="s">
        <v>73</v>
      </c>
      <c r="N543" t="s">
        <v>66</v>
      </c>
      <c r="O543" t="s">
        <v>73</v>
      </c>
      <c r="P543" t="s">
        <v>66</v>
      </c>
      <c r="Q543" t="s">
        <v>979</v>
      </c>
      <c r="R543" t="s">
        <v>73</v>
      </c>
      <c r="S543" t="s">
        <v>979</v>
      </c>
      <c r="T543" t="s">
        <v>3057</v>
      </c>
      <c r="U543" t="s">
        <v>3058</v>
      </c>
      <c r="V543" t="s">
        <v>982</v>
      </c>
      <c r="W543" t="s">
        <v>66</v>
      </c>
      <c r="X543" t="s">
        <v>78</v>
      </c>
      <c r="Y543" t="s">
        <v>3059</v>
      </c>
      <c r="Z543" t="s">
        <v>182</v>
      </c>
      <c r="AA543" t="s">
        <v>984</v>
      </c>
      <c r="AB543" t="s">
        <v>984</v>
      </c>
      <c r="AC543" t="s">
        <v>82</v>
      </c>
      <c r="AD543" t="s">
        <v>83</v>
      </c>
      <c r="AE543" t="s">
        <v>66</v>
      </c>
      <c r="AF543" t="s">
        <v>876</v>
      </c>
    </row>
    <row r="544" spans="1:32">
      <c r="A544" t="s">
        <v>3060</v>
      </c>
      <c r="B544" t="s">
        <v>841</v>
      </c>
      <c r="C544" t="s">
        <v>3061</v>
      </c>
      <c r="D544" t="s">
        <v>3061</v>
      </c>
      <c r="E544" t="s">
        <v>109</v>
      </c>
      <c r="F544" t="s">
        <v>110</v>
      </c>
      <c r="G544" t="s">
        <v>111</v>
      </c>
      <c r="H544" t="s">
        <v>66</v>
      </c>
      <c r="I544" t="s">
        <v>66</v>
      </c>
      <c r="J544" t="s">
        <v>67</v>
      </c>
      <c r="K544" t="s">
        <v>71</v>
      </c>
      <c r="L544" t="s">
        <v>72</v>
      </c>
      <c r="M544" t="s">
        <v>73</v>
      </c>
      <c r="N544" t="s">
        <v>66</v>
      </c>
      <c r="O544" t="s">
        <v>73</v>
      </c>
      <c r="P544" t="s">
        <v>66</v>
      </c>
      <c r="Q544" t="s">
        <v>979</v>
      </c>
      <c r="R544" t="s">
        <v>73</v>
      </c>
      <c r="S544" t="s">
        <v>979</v>
      </c>
      <c r="T544" t="s">
        <v>3062</v>
      </c>
      <c r="U544" t="s">
        <v>3063</v>
      </c>
      <c r="V544" t="s">
        <v>982</v>
      </c>
      <c r="W544" t="s">
        <v>66</v>
      </c>
      <c r="X544" t="s">
        <v>78</v>
      </c>
      <c r="Y544" t="s">
        <v>3064</v>
      </c>
      <c r="Z544" t="s">
        <v>182</v>
      </c>
      <c r="AA544" t="s">
        <v>984</v>
      </c>
      <c r="AB544" t="s">
        <v>984</v>
      </c>
      <c r="AC544" t="s">
        <v>82</v>
      </c>
      <c r="AD544" t="s">
        <v>83</v>
      </c>
      <c r="AE544" t="s">
        <v>66</v>
      </c>
      <c r="AF544" t="s">
        <v>876</v>
      </c>
    </row>
    <row r="545" spans="1:32">
      <c r="A545" t="s">
        <v>3065</v>
      </c>
      <c r="B545" t="s">
        <v>1064</v>
      </c>
      <c r="C545" t="s">
        <v>3066</v>
      </c>
      <c r="D545" t="s">
        <v>66</v>
      </c>
      <c r="E545" t="s">
        <v>67</v>
      </c>
      <c r="F545" t="s">
        <v>110</v>
      </c>
      <c r="G545" t="s">
        <v>111</v>
      </c>
      <c r="H545" t="s">
        <v>66</v>
      </c>
      <c r="I545" t="s">
        <v>66</v>
      </c>
      <c r="J545" t="s">
        <v>67</v>
      </c>
      <c r="K545" t="s">
        <v>71</v>
      </c>
      <c r="L545" t="s">
        <v>72</v>
      </c>
      <c r="M545" t="s">
        <v>73</v>
      </c>
      <c r="N545" t="s">
        <v>66</v>
      </c>
      <c r="O545" t="s">
        <v>73</v>
      </c>
      <c r="P545" t="s">
        <v>66</v>
      </c>
      <c r="Q545" t="s">
        <v>979</v>
      </c>
      <c r="R545" t="s">
        <v>73</v>
      </c>
      <c r="S545" t="s">
        <v>979</v>
      </c>
      <c r="T545" t="s">
        <v>3067</v>
      </c>
      <c r="U545" t="s">
        <v>3068</v>
      </c>
      <c r="V545" t="s">
        <v>982</v>
      </c>
      <c r="W545" t="s">
        <v>66</v>
      </c>
      <c r="X545" t="s">
        <v>78</v>
      </c>
      <c r="Y545" t="s">
        <v>3069</v>
      </c>
      <c r="Z545" t="s">
        <v>182</v>
      </c>
      <c r="AA545" t="s">
        <v>984</v>
      </c>
      <c r="AB545" t="s">
        <v>984</v>
      </c>
      <c r="AC545" t="s">
        <v>82</v>
      </c>
      <c r="AD545" t="s">
        <v>83</v>
      </c>
      <c r="AE545" t="s">
        <v>66</v>
      </c>
      <c r="AF545" t="s">
        <v>876</v>
      </c>
    </row>
    <row r="546" spans="1:32">
      <c r="A546" t="s">
        <v>3070</v>
      </c>
      <c r="B546" t="s">
        <v>151</v>
      </c>
      <c r="C546" t="s">
        <v>3071</v>
      </c>
      <c r="D546" t="s">
        <v>66</v>
      </c>
      <c r="E546" t="s">
        <v>67</v>
      </c>
      <c r="F546" t="s">
        <v>68</v>
      </c>
      <c r="G546" t="s">
        <v>69</v>
      </c>
      <c r="H546" t="s">
        <v>66</v>
      </c>
      <c r="I546" t="s">
        <v>66</v>
      </c>
      <c r="J546" t="s">
        <v>67</v>
      </c>
      <c r="K546" t="s">
        <v>71</v>
      </c>
      <c r="L546" t="s">
        <v>72</v>
      </c>
      <c r="M546" t="s">
        <v>73</v>
      </c>
      <c r="N546" t="s">
        <v>66</v>
      </c>
      <c r="O546" t="s">
        <v>73</v>
      </c>
      <c r="P546" t="s">
        <v>66</v>
      </c>
      <c r="Q546" t="s">
        <v>979</v>
      </c>
      <c r="R546" t="s">
        <v>73</v>
      </c>
      <c r="S546" t="s">
        <v>979</v>
      </c>
      <c r="T546" t="s">
        <v>3072</v>
      </c>
      <c r="U546" t="s">
        <v>3073</v>
      </c>
      <c r="V546" t="s">
        <v>982</v>
      </c>
      <c r="W546" t="s">
        <v>66</v>
      </c>
      <c r="X546" t="s">
        <v>78</v>
      </c>
      <c r="Y546" t="s">
        <v>3074</v>
      </c>
      <c r="Z546" t="s">
        <v>182</v>
      </c>
      <c r="AA546" t="s">
        <v>984</v>
      </c>
      <c r="AB546" t="s">
        <v>984</v>
      </c>
      <c r="AC546" t="s">
        <v>82</v>
      </c>
      <c r="AD546" t="s">
        <v>83</v>
      </c>
      <c r="AE546" t="s">
        <v>66</v>
      </c>
      <c r="AF546" t="s">
        <v>876</v>
      </c>
    </row>
    <row r="547" spans="1:32">
      <c r="A547" t="s">
        <v>3075</v>
      </c>
      <c r="B547" t="s">
        <v>107</v>
      </c>
      <c r="C547" t="s">
        <v>3076</v>
      </c>
      <c r="D547" t="s">
        <v>3076</v>
      </c>
      <c r="E547" t="s">
        <v>109</v>
      </c>
      <c r="F547" t="s">
        <v>110</v>
      </c>
      <c r="G547" t="s">
        <v>111</v>
      </c>
      <c r="H547" t="s">
        <v>66</v>
      </c>
      <c r="I547" t="s">
        <v>66</v>
      </c>
      <c r="J547" t="s">
        <v>67</v>
      </c>
      <c r="K547" t="s">
        <v>71</v>
      </c>
      <c r="L547" t="s">
        <v>72</v>
      </c>
      <c r="M547" t="s">
        <v>73</v>
      </c>
      <c r="N547" t="s">
        <v>66</v>
      </c>
      <c r="O547" t="s">
        <v>73</v>
      </c>
      <c r="P547" t="s">
        <v>66</v>
      </c>
      <c r="Q547" t="s">
        <v>979</v>
      </c>
      <c r="R547" t="s">
        <v>73</v>
      </c>
      <c r="S547" t="s">
        <v>979</v>
      </c>
      <c r="T547" t="s">
        <v>3077</v>
      </c>
      <c r="U547" t="s">
        <v>3078</v>
      </c>
      <c r="V547" t="s">
        <v>982</v>
      </c>
      <c r="W547" t="s">
        <v>66</v>
      </c>
      <c r="X547" t="s">
        <v>78</v>
      </c>
      <c r="Y547" t="s">
        <v>3079</v>
      </c>
      <c r="Z547" t="s">
        <v>182</v>
      </c>
      <c r="AA547" t="s">
        <v>984</v>
      </c>
      <c r="AB547" t="s">
        <v>984</v>
      </c>
      <c r="AC547" t="s">
        <v>82</v>
      </c>
      <c r="AD547" t="s">
        <v>83</v>
      </c>
      <c r="AE547" t="s">
        <v>66</v>
      </c>
      <c r="AF547" t="s">
        <v>876</v>
      </c>
    </row>
    <row r="548" spans="1:32">
      <c r="A548" t="s">
        <v>3080</v>
      </c>
      <c r="B548" t="s">
        <v>1064</v>
      </c>
      <c r="C548" t="s">
        <v>3081</v>
      </c>
      <c r="D548" t="s">
        <v>66</v>
      </c>
      <c r="E548" t="s">
        <v>67</v>
      </c>
      <c r="F548" t="s">
        <v>110</v>
      </c>
      <c r="G548" t="s">
        <v>111</v>
      </c>
      <c r="H548" t="s">
        <v>66</v>
      </c>
      <c r="I548" t="s">
        <v>66</v>
      </c>
      <c r="J548" t="s">
        <v>67</v>
      </c>
      <c r="K548" t="s">
        <v>71</v>
      </c>
      <c r="L548" t="s">
        <v>72</v>
      </c>
      <c r="M548" t="s">
        <v>73</v>
      </c>
      <c r="N548" t="s">
        <v>66</v>
      </c>
      <c r="O548" t="s">
        <v>73</v>
      </c>
      <c r="P548" t="s">
        <v>66</v>
      </c>
      <c r="Q548" t="s">
        <v>979</v>
      </c>
      <c r="R548" t="s">
        <v>73</v>
      </c>
      <c r="S548" t="s">
        <v>979</v>
      </c>
      <c r="T548" t="s">
        <v>3082</v>
      </c>
      <c r="U548" t="s">
        <v>3083</v>
      </c>
      <c r="V548" t="s">
        <v>982</v>
      </c>
      <c r="W548" t="s">
        <v>66</v>
      </c>
      <c r="X548" t="s">
        <v>78</v>
      </c>
      <c r="Y548" t="s">
        <v>3084</v>
      </c>
      <c r="Z548" t="s">
        <v>182</v>
      </c>
      <c r="AA548" t="s">
        <v>984</v>
      </c>
      <c r="AB548" t="s">
        <v>984</v>
      </c>
      <c r="AC548" t="s">
        <v>82</v>
      </c>
      <c r="AD548" t="s">
        <v>83</v>
      </c>
      <c r="AE548" t="s">
        <v>66</v>
      </c>
      <c r="AF548" t="s">
        <v>876</v>
      </c>
    </row>
    <row r="549" spans="1:32">
      <c r="A549" t="s">
        <v>3085</v>
      </c>
      <c r="B549" t="s">
        <v>1058</v>
      </c>
      <c r="C549" t="s">
        <v>3086</v>
      </c>
      <c r="D549" t="s">
        <v>3086</v>
      </c>
      <c r="E549" t="s">
        <v>109</v>
      </c>
      <c r="F549" t="s">
        <v>110</v>
      </c>
      <c r="G549" t="s">
        <v>111</v>
      </c>
      <c r="H549" t="s">
        <v>66</v>
      </c>
      <c r="I549" t="s">
        <v>66</v>
      </c>
      <c r="J549" t="s">
        <v>67</v>
      </c>
      <c r="K549" t="s">
        <v>71</v>
      </c>
      <c r="L549" t="s">
        <v>72</v>
      </c>
      <c r="M549" t="s">
        <v>73</v>
      </c>
      <c r="N549" t="s">
        <v>66</v>
      </c>
      <c r="O549" t="s">
        <v>73</v>
      </c>
      <c r="P549" t="s">
        <v>66</v>
      </c>
      <c r="Q549" t="s">
        <v>979</v>
      </c>
      <c r="R549" t="s">
        <v>73</v>
      </c>
      <c r="S549" t="s">
        <v>979</v>
      </c>
      <c r="T549" t="s">
        <v>3087</v>
      </c>
      <c r="U549" t="s">
        <v>3088</v>
      </c>
      <c r="V549" t="s">
        <v>982</v>
      </c>
      <c r="W549" t="s">
        <v>66</v>
      </c>
      <c r="X549" t="s">
        <v>78</v>
      </c>
      <c r="Y549" t="s">
        <v>3089</v>
      </c>
      <c r="Z549" t="s">
        <v>182</v>
      </c>
      <c r="AA549" t="s">
        <v>984</v>
      </c>
      <c r="AB549" t="s">
        <v>984</v>
      </c>
      <c r="AC549" t="s">
        <v>82</v>
      </c>
      <c r="AD549" t="s">
        <v>83</v>
      </c>
      <c r="AE549" t="s">
        <v>66</v>
      </c>
      <c r="AF549" t="s">
        <v>876</v>
      </c>
    </row>
    <row r="550" spans="1:32">
      <c r="A550" t="s">
        <v>3090</v>
      </c>
      <c r="B550" t="s">
        <v>308</v>
      </c>
      <c r="C550" t="s">
        <v>3091</v>
      </c>
      <c r="D550" t="s">
        <v>3091</v>
      </c>
      <c r="E550" t="s">
        <v>109</v>
      </c>
      <c r="F550" t="s">
        <v>110</v>
      </c>
      <c r="G550" t="s">
        <v>111</v>
      </c>
      <c r="H550" t="s">
        <v>66</v>
      </c>
      <c r="I550" t="s">
        <v>66</v>
      </c>
      <c r="J550" t="s">
        <v>67</v>
      </c>
      <c r="K550" t="s">
        <v>71</v>
      </c>
      <c r="L550" t="s">
        <v>72</v>
      </c>
      <c r="M550" t="s">
        <v>73</v>
      </c>
      <c r="N550" t="s">
        <v>66</v>
      </c>
      <c r="O550" t="s">
        <v>73</v>
      </c>
      <c r="P550" t="s">
        <v>66</v>
      </c>
      <c r="Q550" t="s">
        <v>979</v>
      </c>
      <c r="R550" t="s">
        <v>73</v>
      </c>
      <c r="S550" t="s">
        <v>979</v>
      </c>
      <c r="T550" t="s">
        <v>3092</v>
      </c>
      <c r="U550" t="s">
        <v>3093</v>
      </c>
      <c r="V550" t="s">
        <v>982</v>
      </c>
      <c r="W550" t="s">
        <v>66</v>
      </c>
      <c r="X550" t="s">
        <v>78</v>
      </c>
      <c r="Y550" t="s">
        <v>3094</v>
      </c>
      <c r="Z550" t="s">
        <v>182</v>
      </c>
      <c r="AA550" t="s">
        <v>984</v>
      </c>
      <c r="AB550" t="s">
        <v>984</v>
      </c>
      <c r="AC550" t="s">
        <v>82</v>
      </c>
      <c r="AD550" t="s">
        <v>83</v>
      </c>
      <c r="AE550" t="s">
        <v>66</v>
      </c>
      <c r="AF550" t="s">
        <v>876</v>
      </c>
    </row>
    <row r="551" spans="1:32">
      <c r="A551" t="s">
        <v>3095</v>
      </c>
      <c r="B551" t="s">
        <v>1457</v>
      </c>
      <c r="C551" t="s">
        <v>3096</v>
      </c>
      <c r="D551" t="s">
        <v>66</v>
      </c>
      <c r="E551" t="s">
        <v>67</v>
      </c>
      <c r="F551" t="s">
        <v>68</v>
      </c>
      <c r="G551" t="s">
        <v>69</v>
      </c>
      <c r="H551" t="s">
        <v>66</v>
      </c>
      <c r="I551" t="s">
        <v>66</v>
      </c>
      <c r="J551" t="s">
        <v>67</v>
      </c>
      <c r="K551" t="s">
        <v>71</v>
      </c>
      <c r="L551" t="s">
        <v>72</v>
      </c>
      <c r="M551" t="s">
        <v>73</v>
      </c>
      <c r="N551" t="s">
        <v>66</v>
      </c>
      <c r="O551" t="s">
        <v>73</v>
      </c>
      <c r="P551" t="s">
        <v>66</v>
      </c>
      <c r="Q551" t="s">
        <v>979</v>
      </c>
      <c r="R551" t="s">
        <v>73</v>
      </c>
      <c r="S551" t="s">
        <v>979</v>
      </c>
      <c r="T551" t="s">
        <v>3097</v>
      </c>
      <c r="U551" t="s">
        <v>3098</v>
      </c>
      <c r="V551" t="s">
        <v>982</v>
      </c>
      <c r="W551" t="s">
        <v>66</v>
      </c>
      <c r="X551" t="s">
        <v>78</v>
      </c>
      <c r="Y551" t="s">
        <v>3099</v>
      </c>
      <c r="Z551" t="s">
        <v>182</v>
      </c>
      <c r="AA551" t="s">
        <v>984</v>
      </c>
      <c r="AB551" t="s">
        <v>984</v>
      </c>
      <c r="AC551" t="s">
        <v>82</v>
      </c>
      <c r="AD551" t="s">
        <v>83</v>
      </c>
      <c r="AE551" t="s">
        <v>66</v>
      </c>
      <c r="AF551" t="s">
        <v>876</v>
      </c>
    </row>
    <row r="552" spans="1:32">
      <c r="A552" t="s">
        <v>3100</v>
      </c>
      <c r="B552" t="s">
        <v>1004</v>
      </c>
      <c r="C552" t="s">
        <v>3101</v>
      </c>
      <c r="D552" t="s">
        <v>66</v>
      </c>
      <c r="E552" t="s">
        <v>67</v>
      </c>
      <c r="F552" t="s">
        <v>68</v>
      </c>
      <c r="G552" t="s">
        <v>69</v>
      </c>
      <c r="H552" t="s">
        <v>66</v>
      </c>
      <c r="I552" t="s">
        <v>66</v>
      </c>
      <c r="J552" t="s">
        <v>67</v>
      </c>
      <c r="K552" t="s">
        <v>71</v>
      </c>
      <c r="L552" t="s">
        <v>72</v>
      </c>
      <c r="M552" t="s">
        <v>73</v>
      </c>
      <c r="N552" t="s">
        <v>66</v>
      </c>
      <c r="O552" t="s">
        <v>73</v>
      </c>
      <c r="P552" t="s">
        <v>66</v>
      </c>
      <c r="Q552" t="s">
        <v>979</v>
      </c>
      <c r="R552" t="s">
        <v>73</v>
      </c>
      <c r="S552" t="s">
        <v>979</v>
      </c>
      <c r="T552" t="s">
        <v>3102</v>
      </c>
      <c r="U552" t="s">
        <v>3103</v>
      </c>
      <c r="V552" t="s">
        <v>982</v>
      </c>
      <c r="W552" t="s">
        <v>66</v>
      </c>
      <c r="X552" t="s">
        <v>78</v>
      </c>
      <c r="Y552" t="s">
        <v>3104</v>
      </c>
      <c r="Z552" t="s">
        <v>182</v>
      </c>
      <c r="AA552" t="s">
        <v>984</v>
      </c>
      <c r="AB552" t="s">
        <v>984</v>
      </c>
      <c r="AC552" t="s">
        <v>82</v>
      </c>
      <c r="AD552" t="s">
        <v>83</v>
      </c>
      <c r="AE552" t="s">
        <v>66</v>
      </c>
      <c r="AF552" t="s">
        <v>876</v>
      </c>
    </row>
    <row r="553" spans="1:32">
      <c r="A553" t="s">
        <v>3105</v>
      </c>
      <c r="B553" t="s">
        <v>1123</v>
      </c>
      <c r="C553" t="s">
        <v>3106</v>
      </c>
      <c r="D553" t="s">
        <v>66</v>
      </c>
      <c r="E553" t="s">
        <v>67</v>
      </c>
      <c r="F553" t="s">
        <v>68</v>
      </c>
      <c r="G553" t="s">
        <v>69</v>
      </c>
      <c r="H553" t="s">
        <v>66</v>
      </c>
      <c r="I553" t="s">
        <v>66</v>
      </c>
      <c r="J553" t="s">
        <v>67</v>
      </c>
      <c r="K553" t="s">
        <v>71</v>
      </c>
      <c r="L553" t="s">
        <v>72</v>
      </c>
      <c r="M553" t="s">
        <v>73</v>
      </c>
      <c r="N553" t="s">
        <v>66</v>
      </c>
      <c r="O553" t="s">
        <v>73</v>
      </c>
      <c r="P553" t="s">
        <v>66</v>
      </c>
      <c r="Q553" t="s">
        <v>979</v>
      </c>
      <c r="R553" t="s">
        <v>73</v>
      </c>
      <c r="S553" t="s">
        <v>979</v>
      </c>
      <c r="T553" t="s">
        <v>3107</v>
      </c>
      <c r="U553" t="s">
        <v>3108</v>
      </c>
      <c r="V553" t="s">
        <v>982</v>
      </c>
      <c r="W553" t="s">
        <v>66</v>
      </c>
      <c r="X553" t="s">
        <v>78</v>
      </c>
      <c r="Y553" t="s">
        <v>3109</v>
      </c>
      <c r="Z553" t="s">
        <v>182</v>
      </c>
      <c r="AA553" t="s">
        <v>984</v>
      </c>
      <c r="AB553" t="s">
        <v>984</v>
      </c>
      <c r="AC553" t="s">
        <v>82</v>
      </c>
      <c r="AD553" t="s">
        <v>83</v>
      </c>
      <c r="AE553" t="s">
        <v>66</v>
      </c>
      <c r="AF553" t="s">
        <v>876</v>
      </c>
    </row>
    <row r="554" spans="1:32">
      <c r="A554" t="s">
        <v>3110</v>
      </c>
      <c r="B554" t="s">
        <v>308</v>
      </c>
      <c r="C554" t="s">
        <v>3111</v>
      </c>
      <c r="D554" t="s">
        <v>3111</v>
      </c>
      <c r="E554" t="s">
        <v>109</v>
      </c>
      <c r="F554" t="s">
        <v>110</v>
      </c>
      <c r="G554" t="s">
        <v>111</v>
      </c>
      <c r="H554" t="s">
        <v>66</v>
      </c>
      <c r="I554" t="s">
        <v>66</v>
      </c>
      <c r="J554" t="s">
        <v>67</v>
      </c>
      <c r="K554" t="s">
        <v>71</v>
      </c>
      <c r="L554" t="s">
        <v>72</v>
      </c>
      <c r="M554" t="s">
        <v>73</v>
      </c>
      <c r="N554" t="s">
        <v>66</v>
      </c>
      <c r="O554" t="s">
        <v>73</v>
      </c>
      <c r="P554" t="s">
        <v>66</v>
      </c>
      <c r="Q554" t="s">
        <v>979</v>
      </c>
      <c r="R554" t="s">
        <v>73</v>
      </c>
      <c r="S554" t="s">
        <v>979</v>
      </c>
      <c r="T554" t="s">
        <v>3112</v>
      </c>
      <c r="U554" t="s">
        <v>3113</v>
      </c>
      <c r="V554" t="s">
        <v>982</v>
      </c>
      <c r="W554" t="s">
        <v>66</v>
      </c>
      <c r="X554" t="s">
        <v>78</v>
      </c>
      <c r="Y554" t="s">
        <v>3114</v>
      </c>
      <c r="Z554" t="s">
        <v>182</v>
      </c>
      <c r="AA554" t="s">
        <v>984</v>
      </c>
      <c r="AB554" t="s">
        <v>984</v>
      </c>
      <c r="AC554" t="s">
        <v>82</v>
      </c>
      <c r="AD554" t="s">
        <v>83</v>
      </c>
      <c r="AE554" t="s">
        <v>66</v>
      </c>
      <c r="AF554" t="s">
        <v>876</v>
      </c>
    </row>
    <row r="555" spans="1:32">
      <c r="A555" t="s">
        <v>3115</v>
      </c>
      <c r="B555" t="s">
        <v>162</v>
      </c>
      <c r="C555" t="s">
        <v>3116</v>
      </c>
      <c r="D555" t="s">
        <v>66</v>
      </c>
      <c r="E555" t="s">
        <v>67</v>
      </c>
      <c r="F555" t="s">
        <v>164</v>
      </c>
      <c r="G555" t="s">
        <v>165</v>
      </c>
      <c r="H555" t="s">
        <v>66</v>
      </c>
      <c r="I555" t="s">
        <v>66</v>
      </c>
      <c r="J555" t="s">
        <v>67</v>
      </c>
      <c r="K555" t="s">
        <v>71</v>
      </c>
      <c r="L555" t="s">
        <v>72</v>
      </c>
      <c r="M555" t="s">
        <v>73</v>
      </c>
      <c r="N555" t="s">
        <v>66</v>
      </c>
      <c r="O555" t="s">
        <v>73</v>
      </c>
      <c r="P555" t="s">
        <v>66</v>
      </c>
      <c r="Q555" t="s">
        <v>979</v>
      </c>
      <c r="R555" t="s">
        <v>73</v>
      </c>
      <c r="S555" t="s">
        <v>979</v>
      </c>
      <c r="T555" t="s">
        <v>3117</v>
      </c>
      <c r="U555" t="s">
        <v>3118</v>
      </c>
      <c r="V555" t="s">
        <v>982</v>
      </c>
      <c r="W555" t="s">
        <v>66</v>
      </c>
      <c r="X555" t="s">
        <v>78</v>
      </c>
      <c r="Y555" t="s">
        <v>3119</v>
      </c>
      <c r="Z555" t="s">
        <v>182</v>
      </c>
      <c r="AA555" t="s">
        <v>984</v>
      </c>
      <c r="AB555" t="s">
        <v>984</v>
      </c>
      <c r="AC555" t="s">
        <v>82</v>
      </c>
      <c r="AD555" t="s">
        <v>83</v>
      </c>
      <c r="AE555" t="s">
        <v>66</v>
      </c>
      <c r="AF555" t="s">
        <v>876</v>
      </c>
    </row>
    <row r="556" spans="1:32">
      <c r="A556" t="s">
        <v>3120</v>
      </c>
      <c r="B556" t="s">
        <v>1064</v>
      </c>
      <c r="C556" t="s">
        <v>3121</v>
      </c>
      <c r="D556" t="s">
        <v>66</v>
      </c>
      <c r="E556" t="s">
        <v>67</v>
      </c>
      <c r="F556" t="s">
        <v>110</v>
      </c>
      <c r="G556" t="s">
        <v>111</v>
      </c>
      <c r="H556" t="s">
        <v>66</v>
      </c>
      <c r="I556" t="s">
        <v>66</v>
      </c>
      <c r="J556" t="s">
        <v>67</v>
      </c>
      <c r="K556" t="s">
        <v>71</v>
      </c>
      <c r="L556" t="s">
        <v>72</v>
      </c>
      <c r="M556" t="s">
        <v>73</v>
      </c>
      <c r="N556" t="s">
        <v>66</v>
      </c>
      <c r="O556" t="s">
        <v>73</v>
      </c>
      <c r="P556" t="s">
        <v>66</v>
      </c>
      <c r="Q556" t="s">
        <v>979</v>
      </c>
      <c r="R556" t="s">
        <v>73</v>
      </c>
      <c r="S556" t="s">
        <v>979</v>
      </c>
      <c r="T556" t="s">
        <v>3122</v>
      </c>
      <c r="U556" t="s">
        <v>3123</v>
      </c>
      <c r="V556" t="s">
        <v>982</v>
      </c>
      <c r="W556" t="s">
        <v>66</v>
      </c>
      <c r="X556" t="s">
        <v>78</v>
      </c>
      <c r="Y556" t="s">
        <v>3124</v>
      </c>
      <c r="Z556" t="s">
        <v>182</v>
      </c>
      <c r="AA556" t="s">
        <v>984</v>
      </c>
      <c r="AB556" t="s">
        <v>984</v>
      </c>
      <c r="AC556" t="s">
        <v>82</v>
      </c>
      <c r="AD556" t="s">
        <v>83</v>
      </c>
      <c r="AE556" t="s">
        <v>66</v>
      </c>
      <c r="AF556" t="s">
        <v>876</v>
      </c>
    </row>
    <row r="557" spans="1:32">
      <c r="A557" t="s">
        <v>3125</v>
      </c>
      <c r="B557" t="s">
        <v>841</v>
      </c>
      <c r="C557" t="s">
        <v>3126</v>
      </c>
      <c r="D557" t="s">
        <v>3126</v>
      </c>
      <c r="E557" t="s">
        <v>109</v>
      </c>
      <c r="F557" t="s">
        <v>110</v>
      </c>
      <c r="G557" t="s">
        <v>111</v>
      </c>
      <c r="H557" t="s">
        <v>66</v>
      </c>
      <c r="I557" t="s">
        <v>66</v>
      </c>
      <c r="J557" t="s">
        <v>67</v>
      </c>
      <c r="K557" t="s">
        <v>71</v>
      </c>
      <c r="L557" t="s">
        <v>72</v>
      </c>
      <c r="M557" t="s">
        <v>73</v>
      </c>
      <c r="N557" t="s">
        <v>66</v>
      </c>
      <c r="O557" t="s">
        <v>73</v>
      </c>
      <c r="P557" t="s">
        <v>66</v>
      </c>
      <c r="Q557" t="s">
        <v>979</v>
      </c>
      <c r="R557" t="s">
        <v>73</v>
      </c>
      <c r="S557" t="s">
        <v>979</v>
      </c>
      <c r="T557" t="s">
        <v>3127</v>
      </c>
      <c r="U557" t="s">
        <v>3128</v>
      </c>
      <c r="V557" t="s">
        <v>982</v>
      </c>
      <c r="W557" t="s">
        <v>66</v>
      </c>
      <c r="X557" t="s">
        <v>78</v>
      </c>
      <c r="Y557" t="s">
        <v>3129</v>
      </c>
      <c r="Z557" t="s">
        <v>182</v>
      </c>
      <c r="AA557" t="s">
        <v>984</v>
      </c>
      <c r="AB557" t="s">
        <v>984</v>
      </c>
      <c r="AC557" t="s">
        <v>82</v>
      </c>
      <c r="AD557" t="s">
        <v>83</v>
      </c>
      <c r="AE557" t="s">
        <v>66</v>
      </c>
      <c r="AF557" t="s">
        <v>876</v>
      </c>
    </row>
    <row r="558" spans="1:32">
      <c r="A558" t="s">
        <v>3130</v>
      </c>
      <c r="B558" t="s">
        <v>841</v>
      </c>
      <c r="C558" t="s">
        <v>3131</v>
      </c>
      <c r="D558" t="s">
        <v>3131</v>
      </c>
      <c r="E558" t="s">
        <v>109</v>
      </c>
      <c r="F558" t="s">
        <v>110</v>
      </c>
      <c r="G558" t="s">
        <v>111</v>
      </c>
      <c r="H558" t="s">
        <v>66</v>
      </c>
      <c r="I558" t="s">
        <v>66</v>
      </c>
      <c r="J558" t="s">
        <v>67</v>
      </c>
      <c r="K558" t="s">
        <v>71</v>
      </c>
      <c r="L558" t="s">
        <v>72</v>
      </c>
      <c r="M558" t="s">
        <v>73</v>
      </c>
      <c r="N558" t="s">
        <v>66</v>
      </c>
      <c r="O558" t="s">
        <v>73</v>
      </c>
      <c r="P558" t="s">
        <v>66</v>
      </c>
      <c r="Q558" t="s">
        <v>979</v>
      </c>
      <c r="R558" t="s">
        <v>73</v>
      </c>
      <c r="S558" t="s">
        <v>979</v>
      </c>
      <c r="T558" t="s">
        <v>3132</v>
      </c>
      <c r="U558" t="s">
        <v>3133</v>
      </c>
      <c r="V558" t="s">
        <v>982</v>
      </c>
      <c r="W558" t="s">
        <v>66</v>
      </c>
      <c r="X558" t="s">
        <v>78</v>
      </c>
      <c r="Y558" t="s">
        <v>3134</v>
      </c>
      <c r="Z558" t="s">
        <v>182</v>
      </c>
      <c r="AA558" t="s">
        <v>984</v>
      </c>
      <c r="AB558" t="s">
        <v>984</v>
      </c>
      <c r="AC558" t="s">
        <v>82</v>
      </c>
      <c r="AD558" t="s">
        <v>83</v>
      </c>
      <c r="AE558" t="s">
        <v>66</v>
      </c>
      <c r="AF558" t="s">
        <v>876</v>
      </c>
    </row>
    <row r="559" spans="1:32">
      <c r="A559" t="s">
        <v>3135</v>
      </c>
      <c r="B559" t="s">
        <v>841</v>
      </c>
      <c r="C559" t="s">
        <v>3136</v>
      </c>
      <c r="D559" t="s">
        <v>3136</v>
      </c>
      <c r="E559" t="s">
        <v>109</v>
      </c>
      <c r="F559" t="s">
        <v>110</v>
      </c>
      <c r="G559" t="s">
        <v>111</v>
      </c>
      <c r="H559" t="s">
        <v>66</v>
      </c>
      <c r="I559" t="s">
        <v>66</v>
      </c>
      <c r="J559" t="s">
        <v>67</v>
      </c>
      <c r="K559" t="s">
        <v>71</v>
      </c>
      <c r="L559" t="s">
        <v>72</v>
      </c>
      <c r="M559" t="s">
        <v>73</v>
      </c>
      <c r="N559" t="s">
        <v>66</v>
      </c>
      <c r="O559" t="s">
        <v>73</v>
      </c>
      <c r="P559" t="s">
        <v>66</v>
      </c>
      <c r="Q559" t="s">
        <v>979</v>
      </c>
      <c r="R559" t="s">
        <v>73</v>
      </c>
      <c r="S559" t="s">
        <v>979</v>
      </c>
      <c r="T559" t="s">
        <v>3137</v>
      </c>
      <c r="U559" t="s">
        <v>3138</v>
      </c>
      <c r="V559" t="s">
        <v>982</v>
      </c>
      <c r="W559" t="s">
        <v>66</v>
      </c>
      <c r="X559" t="s">
        <v>78</v>
      </c>
      <c r="Y559" t="s">
        <v>3139</v>
      </c>
      <c r="Z559" t="s">
        <v>182</v>
      </c>
      <c r="AA559" t="s">
        <v>984</v>
      </c>
      <c r="AB559" t="s">
        <v>984</v>
      </c>
      <c r="AC559" t="s">
        <v>82</v>
      </c>
      <c r="AD559" t="s">
        <v>83</v>
      </c>
      <c r="AE559" t="s">
        <v>66</v>
      </c>
      <c r="AF559" t="s">
        <v>876</v>
      </c>
    </row>
    <row r="560" spans="1:32">
      <c r="A560" t="s">
        <v>3140</v>
      </c>
      <c r="B560" t="s">
        <v>1729</v>
      </c>
      <c r="C560" t="s">
        <v>3141</v>
      </c>
      <c r="D560" t="s">
        <v>3141</v>
      </c>
      <c r="E560" t="s">
        <v>109</v>
      </c>
      <c r="F560" t="s">
        <v>68</v>
      </c>
      <c r="G560" t="s">
        <v>69</v>
      </c>
      <c r="H560" t="s">
        <v>66</v>
      </c>
      <c r="I560" t="s">
        <v>66</v>
      </c>
      <c r="J560" t="s">
        <v>67</v>
      </c>
      <c r="K560" t="s">
        <v>71</v>
      </c>
      <c r="L560" t="s">
        <v>72</v>
      </c>
      <c r="M560" t="s">
        <v>73</v>
      </c>
      <c r="N560" t="s">
        <v>66</v>
      </c>
      <c r="O560" t="s">
        <v>73</v>
      </c>
      <c r="P560" t="s">
        <v>66</v>
      </c>
      <c r="Q560" t="s">
        <v>979</v>
      </c>
      <c r="R560" t="s">
        <v>73</v>
      </c>
      <c r="S560" t="s">
        <v>979</v>
      </c>
      <c r="T560" t="s">
        <v>3142</v>
      </c>
      <c r="U560" t="s">
        <v>3143</v>
      </c>
      <c r="V560" t="s">
        <v>982</v>
      </c>
      <c r="W560" t="s">
        <v>66</v>
      </c>
      <c r="X560" t="s">
        <v>78</v>
      </c>
      <c r="Y560" t="s">
        <v>3144</v>
      </c>
      <c r="Z560" t="s">
        <v>182</v>
      </c>
      <c r="AA560" t="s">
        <v>984</v>
      </c>
      <c r="AB560" t="s">
        <v>984</v>
      </c>
      <c r="AC560" t="s">
        <v>82</v>
      </c>
      <c r="AD560" t="s">
        <v>83</v>
      </c>
      <c r="AE560" t="s">
        <v>66</v>
      </c>
      <c r="AF560" t="s">
        <v>876</v>
      </c>
    </row>
    <row r="561" spans="1:32">
      <c r="A561" t="s">
        <v>3145</v>
      </c>
      <c r="B561" t="s">
        <v>841</v>
      </c>
      <c r="C561" t="s">
        <v>3146</v>
      </c>
      <c r="D561" t="s">
        <v>3146</v>
      </c>
      <c r="E561" t="s">
        <v>109</v>
      </c>
      <c r="F561" t="s">
        <v>110</v>
      </c>
      <c r="G561" t="s">
        <v>111</v>
      </c>
      <c r="H561" t="s">
        <v>66</v>
      </c>
      <c r="I561" t="s">
        <v>66</v>
      </c>
      <c r="J561" t="s">
        <v>67</v>
      </c>
      <c r="K561" t="s">
        <v>71</v>
      </c>
      <c r="L561" t="s">
        <v>72</v>
      </c>
      <c r="M561" t="s">
        <v>73</v>
      </c>
      <c r="N561" t="s">
        <v>66</v>
      </c>
      <c r="O561" t="s">
        <v>73</v>
      </c>
      <c r="P561" t="s">
        <v>66</v>
      </c>
      <c r="Q561" t="s">
        <v>979</v>
      </c>
      <c r="R561" t="s">
        <v>73</v>
      </c>
      <c r="S561" t="s">
        <v>979</v>
      </c>
      <c r="T561" t="s">
        <v>3147</v>
      </c>
      <c r="U561" t="s">
        <v>3148</v>
      </c>
      <c r="V561" t="s">
        <v>982</v>
      </c>
      <c r="W561" t="s">
        <v>66</v>
      </c>
      <c r="X561" t="s">
        <v>78</v>
      </c>
      <c r="Y561" t="s">
        <v>3149</v>
      </c>
      <c r="Z561" t="s">
        <v>182</v>
      </c>
      <c r="AA561" t="s">
        <v>984</v>
      </c>
      <c r="AB561" t="s">
        <v>984</v>
      </c>
      <c r="AC561" t="s">
        <v>82</v>
      </c>
      <c r="AD561" t="s">
        <v>83</v>
      </c>
      <c r="AE561" t="s">
        <v>66</v>
      </c>
      <c r="AF561" t="s">
        <v>876</v>
      </c>
    </row>
    <row r="562" spans="1:32">
      <c r="A562" t="s">
        <v>3150</v>
      </c>
      <c r="B562" t="s">
        <v>1064</v>
      </c>
      <c r="C562" t="s">
        <v>3151</v>
      </c>
      <c r="D562" t="s">
        <v>66</v>
      </c>
      <c r="E562" t="s">
        <v>67</v>
      </c>
      <c r="F562" t="s">
        <v>110</v>
      </c>
      <c r="G562" t="s">
        <v>111</v>
      </c>
      <c r="H562" t="s">
        <v>66</v>
      </c>
      <c r="I562" t="s">
        <v>66</v>
      </c>
      <c r="J562" t="s">
        <v>67</v>
      </c>
      <c r="K562" t="s">
        <v>71</v>
      </c>
      <c r="L562" t="s">
        <v>72</v>
      </c>
      <c r="M562" t="s">
        <v>73</v>
      </c>
      <c r="N562" t="s">
        <v>66</v>
      </c>
      <c r="O562" t="s">
        <v>73</v>
      </c>
      <c r="P562" t="s">
        <v>66</v>
      </c>
      <c r="Q562" t="s">
        <v>979</v>
      </c>
      <c r="R562" t="s">
        <v>73</v>
      </c>
      <c r="S562" t="s">
        <v>979</v>
      </c>
      <c r="T562" t="s">
        <v>3152</v>
      </c>
      <c r="U562" t="s">
        <v>3153</v>
      </c>
      <c r="V562" t="s">
        <v>982</v>
      </c>
      <c r="W562" t="s">
        <v>66</v>
      </c>
      <c r="X562" t="s">
        <v>78</v>
      </c>
      <c r="Y562" t="s">
        <v>3154</v>
      </c>
      <c r="Z562" t="s">
        <v>182</v>
      </c>
      <c r="AA562" t="s">
        <v>984</v>
      </c>
      <c r="AB562" t="s">
        <v>984</v>
      </c>
      <c r="AC562" t="s">
        <v>82</v>
      </c>
      <c r="AD562" t="s">
        <v>83</v>
      </c>
      <c r="AE562" t="s">
        <v>66</v>
      </c>
      <c r="AF562" t="s">
        <v>876</v>
      </c>
    </row>
    <row r="563" spans="1:32">
      <c r="A563" t="s">
        <v>3155</v>
      </c>
      <c r="B563" t="s">
        <v>1995</v>
      </c>
      <c r="C563" t="s">
        <v>3156</v>
      </c>
      <c r="D563" t="s">
        <v>66</v>
      </c>
      <c r="E563" t="s">
        <v>67</v>
      </c>
      <c r="F563" t="s">
        <v>110</v>
      </c>
      <c r="G563" t="s">
        <v>111</v>
      </c>
      <c r="H563" t="s">
        <v>66</v>
      </c>
      <c r="I563" t="s">
        <v>66</v>
      </c>
      <c r="J563" t="s">
        <v>67</v>
      </c>
      <c r="K563" t="s">
        <v>71</v>
      </c>
      <c r="L563" t="s">
        <v>72</v>
      </c>
      <c r="M563" t="s">
        <v>73</v>
      </c>
      <c r="N563" t="s">
        <v>66</v>
      </c>
      <c r="O563" t="s">
        <v>73</v>
      </c>
      <c r="P563" t="s">
        <v>66</v>
      </c>
      <c r="Q563" t="s">
        <v>979</v>
      </c>
      <c r="R563" t="s">
        <v>73</v>
      </c>
      <c r="S563" t="s">
        <v>979</v>
      </c>
      <c r="T563" t="s">
        <v>3157</v>
      </c>
      <c r="U563" t="s">
        <v>3158</v>
      </c>
      <c r="V563" t="s">
        <v>982</v>
      </c>
      <c r="W563" t="s">
        <v>66</v>
      </c>
      <c r="X563" t="s">
        <v>78</v>
      </c>
      <c r="Y563" t="s">
        <v>3159</v>
      </c>
      <c r="Z563" t="s">
        <v>182</v>
      </c>
      <c r="AA563" t="s">
        <v>984</v>
      </c>
      <c r="AB563" t="s">
        <v>984</v>
      </c>
      <c r="AC563" t="s">
        <v>82</v>
      </c>
      <c r="AD563" t="s">
        <v>83</v>
      </c>
      <c r="AE563" t="s">
        <v>66</v>
      </c>
      <c r="AF563" t="s">
        <v>876</v>
      </c>
    </row>
    <row r="564" spans="1:32">
      <c r="A564" t="s">
        <v>3160</v>
      </c>
      <c r="B564" t="s">
        <v>841</v>
      </c>
      <c r="C564" t="s">
        <v>3161</v>
      </c>
      <c r="D564" t="s">
        <v>3161</v>
      </c>
      <c r="E564" t="s">
        <v>109</v>
      </c>
      <c r="F564" t="s">
        <v>110</v>
      </c>
      <c r="G564" t="s">
        <v>111</v>
      </c>
      <c r="H564" t="s">
        <v>66</v>
      </c>
      <c r="I564" t="s">
        <v>66</v>
      </c>
      <c r="J564" t="s">
        <v>67</v>
      </c>
      <c r="K564" t="s">
        <v>71</v>
      </c>
      <c r="L564" t="s">
        <v>72</v>
      </c>
      <c r="M564" t="s">
        <v>73</v>
      </c>
      <c r="N564" t="s">
        <v>66</v>
      </c>
      <c r="O564" t="s">
        <v>73</v>
      </c>
      <c r="P564" t="s">
        <v>66</v>
      </c>
      <c r="Q564" t="s">
        <v>979</v>
      </c>
      <c r="R564" t="s">
        <v>73</v>
      </c>
      <c r="S564" t="s">
        <v>979</v>
      </c>
      <c r="T564" t="s">
        <v>3162</v>
      </c>
      <c r="U564" t="s">
        <v>3163</v>
      </c>
      <c r="V564" t="s">
        <v>982</v>
      </c>
      <c r="W564" t="s">
        <v>66</v>
      </c>
      <c r="X564" t="s">
        <v>78</v>
      </c>
      <c r="Y564" t="s">
        <v>3164</v>
      </c>
      <c r="Z564" t="s">
        <v>182</v>
      </c>
      <c r="AA564" t="s">
        <v>984</v>
      </c>
      <c r="AB564" t="s">
        <v>984</v>
      </c>
      <c r="AC564" t="s">
        <v>82</v>
      </c>
      <c r="AD564" t="s">
        <v>83</v>
      </c>
      <c r="AE564" t="s">
        <v>66</v>
      </c>
      <c r="AF564" t="s">
        <v>876</v>
      </c>
    </row>
    <row r="565" spans="1:32">
      <c r="A565" t="s">
        <v>3165</v>
      </c>
      <c r="B565" t="s">
        <v>173</v>
      </c>
      <c r="C565" t="s">
        <v>3166</v>
      </c>
      <c r="D565" t="s">
        <v>66</v>
      </c>
      <c r="E565" t="s">
        <v>67</v>
      </c>
      <c r="F565" t="s">
        <v>175</v>
      </c>
      <c r="G565" t="s">
        <v>176</v>
      </c>
      <c r="H565" t="s">
        <v>66</v>
      </c>
      <c r="I565" t="s">
        <v>66</v>
      </c>
      <c r="J565" t="s">
        <v>67</v>
      </c>
      <c r="K565" t="s">
        <v>71</v>
      </c>
      <c r="L565" t="s">
        <v>72</v>
      </c>
      <c r="M565" t="s">
        <v>73</v>
      </c>
      <c r="N565" t="s">
        <v>66</v>
      </c>
      <c r="O565" t="s">
        <v>73</v>
      </c>
      <c r="P565" t="s">
        <v>66</v>
      </c>
      <c r="Q565" t="s">
        <v>979</v>
      </c>
      <c r="R565" t="s">
        <v>73</v>
      </c>
      <c r="S565" t="s">
        <v>979</v>
      </c>
      <c r="T565" t="s">
        <v>3167</v>
      </c>
      <c r="U565" t="s">
        <v>3168</v>
      </c>
      <c r="V565" t="s">
        <v>982</v>
      </c>
      <c r="W565" t="s">
        <v>66</v>
      </c>
      <c r="X565" t="s">
        <v>78</v>
      </c>
      <c r="Y565" t="s">
        <v>3169</v>
      </c>
      <c r="Z565" t="s">
        <v>182</v>
      </c>
      <c r="AA565" t="s">
        <v>984</v>
      </c>
      <c r="AB565" t="s">
        <v>984</v>
      </c>
      <c r="AC565" t="s">
        <v>82</v>
      </c>
      <c r="AD565" t="s">
        <v>83</v>
      </c>
      <c r="AE565" t="s">
        <v>66</v>
      </c>
      <c r="AF565" t="s">
        <v>876</v>
      </c>
    </row>
    <row r="566" spans="1:32">
      <c r="A566" t="s">
        <v>3170</v>
      </c>
      <c r="B566" t="s">
        <v>841</v>
      </c>
      <c r="C566" t="s">
        <v>3171</v>
      </c>
      <c r="D566" t="s">
        <v>3171</v>
      </c>
      <c r="E566" t="s">
        <v>109</v>
      </c>
      <c r="F566" t="s">
        <v>110</v>
      </c>
      <c r="G566" t="s">
        <v>111</v>
      </c>
      <c r="H566" t="s">
        <v>66</v>
      </c>
      <c r="I566" t="s">
        <v>66</v>
      </c>
      <c r="J566" t="s">
        <v>67</v>
      </c>
      <c r="K566" t="s">
        <v>71</v>
      </c>
      <c r="L566" t="s">
        <v>72</v>
      </c>
      <c r="M566" t="s">
        <v>73</v>
      </c>
      <c r="N566" t="s">
        <v>66</v>
      </c>
      <c r="O566" t="s">
        <v>73</v>
      </c>
      <c r="P566" t="s">
        <v>66</v>
      </c>
      <c r="Q566" t="s">
        <v>979</v>
      </c>
      <c r="R566" t="s">
        <v>73</v>
      </c>
      <c r="S566" t="s">
        <v>979</v>
      </c>
      <c r="T566" t="s">
        <v>3172</v>
      </c>
      <c r="U566" t="s">
        <v>3173</v>
      </c>
      <c r="V566" t="s">
        <v>982</v>
      </c>
      <c r="W566" t="s">
        <v>66</v>
      </c>
      <c r="X566" t="s">
        <v>78</v>
      </c>
      <c r="Y566" t="s">
        <v>3174</v>
      </c>
      <c r="Z566" t="s">
        <v>182</v>
      </c>
      <c r="AA566" t="s">
        <v>984</v>
      </c>
      <c r="AB566" t="s">
        <v>984</v>
      </c>
      <c r="AC566" t="s">
        <v>82</v>
      </c>
      <c r="AD566" t="s">
        <v>83</v>
      </c>
      <c r="AE566" t="s">
        <v>66</v>
      </c>
      <c r="AF566" t="s">
        <v>876</v>
      </c>
    </row>
    <row r="567" spans="1:32">
      <c r="A567" t="s">
        <v>3175</v>
      </c>
      <c r="B567" t="s">
        <v>3176</v>
      </c>
      <c r="C567" t="s">
        <v>3177</v>
      </c>
      <c r="D567" t="s">
        <v>66</v>
      </c>
      <c r="E567" t="s">
        <v>67</v>
      </c>
      <c r="F567" t="s">
        <v>68</v>
      </c>
      <c r="G567" t="s">
        <v>69</v>
      </c>
      <c r="H567" t="s">
        <v>66</v>
      </c>
      <c r="I567" t="s">
        <v>66</v>
      </c>
      <c r="J567" t="s">
        <v>67</v>
      </c>
      <c r="K567" t="s">
        <v>71</v>
      </c>
      <c r="L567" t="s">
        <v>72</v>
      </c>
      <c r="M567" t="s">
        <v>73</v>
      </c>
      <c r="N567" t="s">
        <v>66</v>
      </c>
      <c r="O567" t="s">
        <v>73</v>
      </c>
      <c r="P567" t="s">
        <v>66</v>
      </c>
      <c r="Q567" t="s">
        <v>979</v>
      </c>
      <c r="R567" t="s">
        <v>73</v>
      </c>
      <c r="S567" t="s">
        <v>979</v>
      </c>
      <c r="T567" t="s">
        <v>3178</v>
      </c>
      <c r="U567" t="s">
        <v>3179</v>
      </c>
      <c r="V567" t="s">
        <v>982</v>
      </c>
      <c r="W567" t="s">
        <v>66</v>
      </c>
      <c r="X567" t="s">
        <v>78</v>
      </c>
      <c r="Y567" t="s">
        <v>3180</v>
      </c>
      <c r="Z567" t="s">
        <v>182</v>
      </c>
      <c r="AA567" t="s">
        <v>984</v>
      </c>
      <c r="AB567" t="s">
        <v>984</v>
      </c>
      <c r="AC567" t="s">
        <v>82</v>
      </c>
      <c r="AD567" t="s">
        <v>83</v>
      </c>
      <c r="AE567" t="s">
        <v>66</v>
      </c>
      <c r="AF567" t="s">
        <v>876</v>
      </c>
    </row>
    <row r="568" spans="1:32">
      <c r="A568" t="s">
        <v>3181</v>
      </c>
      <c r="B568" t="s">
        <v>162</v>
      </c>
      <c r="C568" t="s">
        <v>3182</v>
      </c>
      <c r="D568" t="s">
        <v>66</v>
      </c>
      <c r="E568" t="s">
        <v>67</v>
      </c>
      <c r="F568" t="s">
        <v>164</v>
      </c>
      <c r="G568" t="s">
        <v>165</v>
      </c>
      <c r="H568" t="s">
        <v>66</v>
      </c>
      <c r="I568" t="s">
        <v>66</v>
      </c>
      <c r="J568" t="s">
        <v>67</v>
      </c>
      <c r="K568" t="s">
        <v>71</v>
      </c>
      <c r="L568" t="s">
        <v>72</v>
      </c>
      <c r="M568" t="s">
        <v>73</v>
      </c>
      <c r="N568" t="s">
        <v>66</v>
      </c>
      <c r="O568" t="s">
        <v>73</v>
      </c>
      <c r="P568" t="s">
        <v>66</v>
      </c>
      <c r="Q568" t="s">
        <v>979</v>
      </c>
      <c r="R568" t="s">
        <v>73</v>
      </c>
      <c r="S568" t="s">
        <v>979</v>
      </c>
      <c r="T568" t="s">
        <v>3183</v>
      </c>
      <c r="U568" t="s">
        <v>3184</v>
      </c>
      <c r="V568" t="s">
        <v>982</v>
      </c>
      <c r="W568" t="s">
        <v>66</v>
      </c>
      <c r="X568" t="s">
        <v>78</v>
      </c>
      <c r="Y568" t="s">
        <v>3185</v>
      </c>
      <c r="Z568" t="s">
        <v>182</v>
      </c>
      <c r="AA568" t="s">
        <v>984</v>
      </c>
      <c r="AB568" t="s">
        <v>984</v>
      </c>
      <c r="AC568" t="s">
        <v>82</v>
      </c>
      <c r="AD568" t="s">
        <v>83</v>
      </c>
      <c r="AE568" t="s">
        <v>66</v>
      </c>
      <c r="AF568" t="s">
        <v>876</v>
      </c>
    </row>
    <row r="569" spans="1:32">
      <c r="A569" t="s">
        <v>3186</v>
      </c>
      <c r="B569" t="s">
        <v>308</v>
      </c>
      <c r="C569" t="s">
        <v>3187</v>
      </c>
      <c r="D569" t="s">
        <v>3187</v>
      </c>
      <c r="E569" t="s">
        <v>109</v>
      </c>
      <c r="F569" t="s">
        <v>110</v>
      </c>
      <c r="G569" t="s">
        <v>111</v>
      </c>
      <c r="H569" t="s">
        <v>66</v>
      </c>
      <c r="I569" t="s">
        <v>66</v>
      </c>
      <c r="J569" t="s">
        <v>67</v>
      </c>
      <c r="K569" t="s">
        <v>71</v>
      </c>
      <c r="L569" t="s">
        <v>72</v>
      </c>
      <c r="M569" t="s">
        <v>73</v>
      </c>
      <c r="N569" t="s">
        <v>66</v>
      </c>
      <c r="O569" t="s">
        <v>73</v>
      </c>
      <c r="P569" t="s">
        <v>66</v>
      </c>
      <c r="Q569" t="s">
        <v>979</v>
      </c>
      <c r="R569" t="s">
        <v>73</v>
      </c>
      <c r="S569" t="s">
        <v>979</v>
      </c>
      <c r="T569" t="s">
        <v>3188</v>
      </c>
      <c r="U569" t="s">
        <v>3189</v>
      </c>
      <c r="V569" t="s">
        <v>982</v>
      </c>
      <c r="W569" t="s">
        <v>66</v>
      </c>
      <c r="X569" t="s">
        <v>78</v>
      </c>
      <c r="Y569" t="s">
        <v>3190</v>
      </c>
      <c r="Z569" t="s">
        <v>182</v>
      </c>
      <c r="AA569" t="s">
        <v>984</v>
      </c>
      <c r="AB569" t="s">
        <v>984</v>
      </c>
      <c r="AC569" t="s">
        <v>82</v>
      </c>
      <c r="AD569" t="s">
        <v>83</v>
      </c>
      <c r="AE569" t="s">
        <v>66</v>
      </c>
      <c r="AF569" t="s">
        <v>876</v>
      </c>
    </row>
    <row r="570" spans="1:32">
      <c r="A570" t="s">
        <v>3191</v>
      </c>
      <c r="B570" t="s">
        <v>151</v>
      </c>
      <c r="C570" t="s">
        <v>3192</v>
      </c>
      <c r="D570" t="s">
        <v>66</v>
      </c>
      <c r="E570" t="s">
        <v>67</v>
      </c>
      <c r="F570" t="s">
        <v>68</v>
      </c>
      <c r="G570" t="s">
        <v>69</v>
      </c>
      <c r="H570" t="s">
        <v>66</v>
      </c>
      <c r="I570" t="s">
        <v>66</v>
      </c>
      <c r="J570" t="s">
        <v>67</v>
      </c>
      <c r="K570" t="s">
        <v>71</v>
      </c>
      <c r="L570" t="s">
        <v>72</v>
      </c>
      <c r="M570" t="s">
        <v>73</v>
      </c>
      <c r="N570" t="s">
        <v>66</v>
      </c>
      <c r="O570" t="s">
        <v>73</v>
      </c>
      <c r="P570" t="s">
        <v>66</v>
      </c>
      <c r="Q570" t="s">
        <v>979</v>
      </c>
      <c r="R570" t="s">
        <v>73</v>
      </c>
      <c r="S570" t="s">
        <v>979</v>
      </c>
      <c r="T570" t="s">
        <v>3193</v>
      </c>
      <c r="U570" t="s">
        <v>3194</v>
      </c>
      <c r="V570" t="s">
        <v>982</v>
      </c>
      <c r="W570" t="s">
        <v>66</v>
      </c>
      <c r="X570" t="s">
        <v>78</v>
      </c>
      <c r="Y570" t="s">
        <v>3195</v>
      </c>
      <c r="Z570" t="s">
        <v>182</v>
      </c>
      <c r="AA570" t="s">
        <v>984</v>
      </c>
      <c r="AB570" t="s">
        <v>984</v>
      </c>
      <c r="AC570" t="s">
        <v>82</v>
      </c>
      <c r="AD570" t="s">
        <v>83</v>
      </c>
      <c r="AE570" t="s">
        <v>66</v>
      </c>
      <c r="AF570" t="s">
        <v>876</v>
      </c>
    </row>
    <row r="571" spans="1:32">
      <c r="A571" t="s">
        <v>3196</v>
      </c>
      <c r="B571" t="s">
        <v>162</v>
      </c>
      <c r="C571" t="s">
        <v>3197</v>
      </c>
      <c r="D571" t="s">
        <v>66</v>
      </c>
      <c r="E571" t="s">
        <v>67</v>
      </c>
      <c r="F571" t="s">
        <v>164</v>
      </c>
      <c r="G571" t="s">
        <v>165</v>
      </c>
      <c r="H571" t="s">
        <v>66</v>
      </c>
      <c r="I571" t="s">
        <v>66</v>
      </c>
      <c r="J571" t="s">
        <v>67</v>
      </c>
      <c r="K571" t="s">
        <v>71</v>
      </c>
      <c r="L571" t="s">
        <v>72</v>
      </c>
      <c r="M571" t="s">
        <v>73</v>
      </c>
      <c r="N571" t="s">
        <v>66</v>
      </c>
      <c r="O571" t="s">
        <v>73</v>
      </c>
      <c r="P571" t="s">
        <v>66</v>
      </c>
      <c r="Q571" t="s">
        <v>979</v>
      </c>
      <c r="R571" t="s">
        <v>73</v>
      </c>
      <c r="S571" t="s">
        <v>979</v>
      </c>
      <c r="T571" t="s">
        <v>3198</v>
      </c>
      <c r="U571" t="s">
        <v>3199</v>
      </c>
      <c r="V571" t="s">
        <v>982</v>
      </c>
      <c r="W571" t="s">
        <v>66</v>
      </c>
      <c r="X571" t="s">
        <v>78</v>
      </c>
      <c r="Y571" t="s">
        <v>3200</v>
      </c>
      <c r="Z571" t="s">
        <v>182</v>
      </c>
      <c r="AA571" t="s">
        <v>984</v>
      </c>
      <c r="AB571" t="s">
        <v>984</v>
      </c>
      <c r="AC571" t="s">
        <v>82</v>
      </c>
      <c r="AD571" t="s">
        <v>83</v>
      </c>
      <c r="AE571" t="s">
        <v>66</v>
      </c>
      <c r="AF571" t="s">
        <v>876</v>
      </c>
    </row>
    <row r="572" spans="1:32">
      <c r="A572" t="s">
        <v>3201</v>
      </c>
      <c r="B572" t="s">
        <v>1004</v>
      </c>
      <c r="C572" t="s">
        <v>3202</v>
      </c>
      <c r="D572" t="s">
        <v>66</v>
      </c>
      <c r="E572" t="s">
        <v>67</v>
      </c>
      <c r="F572" t="s">
        <v>68</v>
      </c>
      <c r="G572" t="s">
        <v>69</v>
      </c>
      <c r="H572" t="s">
        <v>66</v>
      </c>
      <c r="I572" t="s">
        <v>66</v>
      </c>
      <c r="J572" t="s">
        <v>67</v>
      </c>
      <c r="K572" t="s">
        <v>71</v>
      </c>
      <c r="L572" t="s">
        <v>72</v>
      </c>
      <c r="M572" t="s">
        <v>73</v>
      </c>
      <c r="N572" t="s">
        <v>66</v>
      </c>
      <c r="O572" t="s">
        <v>73</v>
      </c>
      <c r="P572" t="s">
        <v>66</v>
      </c>
      <c r="Q572" t="s">
        <v>979</v>
      </c>
      <c r="R572" t="s">
        <v>73</v>
      </c>
      <c r="S572" t="s">
        <v>979</v>
      </c>
      <c r="T572" t="s">
        <v>3203</v>
      </c>
      <c r="U572" t="s">
        <v>3204</v>
      </c>
      <c r="V572" t="s">
        <v>982</v>
      </c>
      <c r="W572" t="s">
        <v>66</v>
      </c>
      <c r="X572" t="s">
        <v>78</v>
      </c>
      <c r="Y572" t="s">
        <v>3205</v>
      </c>
      <c r="Z572" t="s">
        <v>182</v>
      </c>
      <c r="AA572" t="s">
        <v>984</v>
      </c>
      <c r="AB572" t="s">
        <v>984</v>
      </c>
      <c r="AC572" t="s">
        <v>82</v>
      </c>
      <c r="AD572" t="s">
        <v>83</v>
      </c>
      <c r="AE572" t="s">
        <v>66</v>
      </c>
      <c r="AF572" t="s">
        <v>876</v>
      </c>
    </row>
    <row r="573" spans="1:32">
      <c r="A573" t="s">
        <v>3206</v>
      </c>
      <c r="B573" t="s">
        <v>3207</v>
      </c>
      <c r="C573" t="s">
        <v>3208</v>
      </c>
      <c r="D573" t="s">
        <v>66</v>
      </c>
      <c r="E573" t="s">
        <v>67</v>
      </c>
      <c r="F573" t="s">
        <v>947</v>
      </c>
      <c r="G573" t="s">
        <v>948</v>
      </c>
      <c r="H573" t="s">
        <v>66</v>
      </c>
      <c r="I573" t="s">
        <v>66</v>
      </c>
      <c r="J573" t="s">
        <v>67</v>
      </c>
      <c r="K573" t="s">
        <v>71</v>
      </c>
      <c r="L573" t="s">
        <v>72</v>
      </c>
      <c r="M573" t="s">
        <v>73</v>
      </c>
      <c r="N573" t="s">
        <v>66</v>
      </c>
      <c r="O573" t="s">
        <v>73</v>
      </c>
      <c r="P573" t="s">
        <v>66</v>
      </c>
      <c r="Q573" t="s">
        <v>979</v>
      </c>
      <c r="R573" t="s">
        <v>73</v>
      </c>
      <c r="S573" t="s">
        <v>979</v>
      </c>
      <c r="T573" t="s">
        <v>3209</v>
      </c>
      <c r="U573" t="s">
        <v>3210</v>
      </c>
      <c r="V573" t="s">
        <v>982</v>
      </c>
      <c r="W573" t="s">
        <v>66</v>
      </c>
      <c r="X573" t="s">
        <v>78</v>
      </c>
      <c r="Y573" t="s">
        <v>3211</v>
      </c>
      <c r="Z573" t="s">
        <v>182</v>
      </c>
      <c r="AA573" t="s">
        <v>984</v>
      </c>
      <c r="AB573" t="s">
        <v>984</v>
      </c>
      <c r="AC573" t="s">
        <v>82</v>
      </c>
      <c r="AD573" t="s">
        <v>83</v>
      </c>
      <c r="AE573" t="s">
        <v>66</v>
      </c>
      <c r="AF573" t="s">
        <v>876</v>
      </c>
    </row>
    <row r="574" spans="1:32">
      <c r="A574" t="s">
        <v>3212</v>
      </c>
      <c r="B574" t="s">
        <v>841</v>
      </c>
      <c r="C574" t="s">
        <v>3213</v>
      </c>
      <c r="D574" t="s">
        <v>3213</v>
      </c>
      <c r="E574" t="s">
        <v>109</v>
      </c>
      <c r="F574" t="s">
        <v>110</v>
      </c>
      <c r="G574" t="s">
        <v>111</v>
      </c>
      <c r="H574" t="s">
        <v>66</v>
      </c>
      <c r="I574" t="s">
        <v>66</v>
      </c>
      <c r="J574" t="s">
        <v>67</v>
      </c>
      <c r="K574" t="s">
        <v>71</v>
      </c>
      <c r="L574" t="s">
        <v>72</v>
      </c>
      <c r="M574" t="s">
        <v>73</v>
      </c>
      <c r="N574" t="s">
        <v>66</v>
      </c>
      <c r="O574" t="s">
        <v>73</v>
      </c>
      <c r="P574" t="s">
        <v>66</v>
      </c>
      <c r="Q574" t="s">
        <v>979</v>
      </c>
      <c r="R574" t="s">
        <v>73</v>
      </c>
      <c r="S574" t="s">
        <v>979</v>
      </c>
      <c r="T574" t="s">
        <v>3214</v>
      </c>
      <c r="U574" t="s">
        <v>3215</v>
      </c>
      <c r="V574" t="s">
        <v>982</v>
      </c>
      <c r="W574" t="s">
        <v>66</v>
      </c>
      <c r="X574" t="s">
        <v>78</v>
      </c>
      <c r="Y574" t="s">
        <v>3216</v>
      </c>
      <c r="Z574" t="s">
        <v>182</v>
      </c>
      <c r="AA574" t="s">
        <v>984</v>
      </c>
      <c r="AB574" t="s">
        <v>984</v>
      </c>
      <c r="AC574" t="s">
        <v>82</v>
      </c>
      <c r="AD574" t="s">
        <v>83</v>
      </c>
      <c r="AE574" t="s">
        <v>66</v>
      </c>
      <c r="AF574" t="s">
        <v>876</v>
      </c>
    </row>
    <row r="575" spans="1:32">
      <c r="A575" t="s">
        <v>3217</v>
      </c>
      <c r="B575" t="s">
        <v>1041</v>
      </c>
      <c r="C575" t="s">
        <v>3218</v>
      </c>
      <c r="D575" t="s">
        <v>3218</v>
      </c>
      <c r="E575" t="s">
        <v>109</v>
      </c>
      <c r="F575" t="s">
        <v>110</v>
      </c>
      <c r="G575" t="s">
        <v>111</v>
      </c>
      <c r="H575" t="s">
        <v>66</v>
      </c>
      <c r="I575" t="s">
        <v>66</v>
      </c>
      <c r="J575" t="s">
        <v>67</v>
      </c>
      <c r="K575" t="s">
        <v>71</v>
      </c>
      <c r="L575" t="s">
        <v>72</v>
      </c>
      <c r="M575" t="s">
        <v>73</v>
      </c>
      <c r="N575" t="s">
        <v>66</v>
      </c>
      <c r="O575" t="s">
        <v>73</v>
      </c>
      <c r="P575" t="s">
        <v>66</v>
      </c>
      <c r="Q575" t="s">
        <v>979</v>
      </c>
      <c r="R575" t="s">
        <v>73</v>
      </c>
      <c r="S575" t="s">
        <v>979</v>
      </c>
      <c r="T575" t="s">
        <v>3219</v>
      </c>
      <c r="U575" t="s">
        <v>3220</v>
      </c>
      <c r="V575" t="s">
        <v>982</v>
      </c>
      <c r="W575" t="s">
        <v>66</v>
      </c>
      <c r="X575" t="s">
        <v>78</v>
      </c>
      <c r="Y575" t="s">
        <v>3221</v>
      </c>
      <c r="Z575" t="s">
        <v>182</v>
      </c>
      <c r="AA575" t="s">
        <v>984</v>
      </c>
      <c r="AB575" t="s">
        <v>984</v>
      </c>
      <c r="AC575" t="s">
        <v>82</v>
      </c>
      <c r="AD575" t="s">
        <v>83</v>
      </c>
      <c r="AE575" t="s">
        <v>66</v>
      </c>
      <c r="AF575" t="s">
        <v>876</v>
      </c>
    </row>
    <row r="576" spans="1:32">
      <c r="A576" t="s">
        <v>3222</v>
      </c>
      <c r="B576" t="s">
        <v>86</v>
      </c>
      <c r="C576" t="s">
        <v>3223</v>
      </c>
      <c r="D576" t="s">
        <v>66</v>
      </c>
      <c r="E576" t="s">
        <v>67</v>
      </c>
      <c r="F576" t="s">
        <v>68</v>
      </c>
      <c r="G576" t="s">
        <v>69</v>
      </c>
      <c r="H576" t="s">
        <v>66</v>
      </c>
      <c r="I576" t="s">
        <v>66</v>
      </c>
      <c r="J576" t="s">
        <v>67</v>
      </c>
      <c r="K576" t="s">
        <v>71</v>
      </c>
      <c r="L576" t="s">
        <v>72</v>
      </c>
      <c r="M576" t="s">
        <v>73</v>
      </c>
      <c r="N576" t="s">
        <v>66</v>
      </c>
      <c r="O576" t="s">
        <v>73</v>
      </c>
      <c r="P576" t="s">
        <v>66</v>
      </c>
      <c r="Q576" t="s">
        <v>979</v>
      </c>
      <c r="R576" t="s">
        <v>73</v>
      </c>
      <c r="S576" t="s">
        <v>979</v>
      </c>
      <c r="T576" t="s">
        <v>3224</v>
      </c>
      <c r="U576" t="s">
        <v>3225</v>
      </c>
      <c r="V576" t="s">
        <v>982</v>
      </c>
      <c r="W576" t="s">
        <v>66</v>
      </c>
      <c r="X576" t="s">
        <v>78</v>
      </c>
      <c r="Y576" t="s">
        <v>3226</v>
      </c>
      <c r="Z576" t="s">
        <v>182</v>
      </c>
      <c r="AA576" t="s">
        <v>984</v>
      </c>
      <c r="AB576" t="s">
        <v>984</v>
      </c>
      <c r="AC576" t="s">
        <v>82</v>
      </c>
      <c r="AD576" t="s">
        <v>83</v>
      </c>
      <c r="AE576" t="s">
        <v>66</v>
      </c>
      <c r="AF576" t="s">
        <v>876</v>
      </c>
    </row>
    <row r="577" spans="1:32">
      <c r="A577" t="s">
        <v>3227</v>
      </c>
      <c r="B577" t="s">
        <v>308</v>
      </c>
      <c r="C577" t="s">
        <v>3228</v>
      </c>
      <c r="D577" t="s">
        <v>3228</v>
      </c>
      <c r="E577" t="s">
        <v>109</v>
      </c>
      <c r="F577" t="s">
        <v>110</v>
      </c>
      <c r="G577" t="s">
        <v>111</v>
      </c>
      <c r="H577" t="s">
        <v>66</v>
      </c>
      <c r="I577" t="s">
        <v>66</v>
      </c>
      <c r="J577" t="s">
        <v>67</v>
      </c>
      <c r="K577" t="s">
        <v>71</v>
      </c>
      <c r="L577" t="s">
        <v>72</v>
      </c>
      <c r="M577" t="s">
        <v>73</v>
      </c>
      <c r="N577" t="s">
        <v>66</v>
      </c>
      <c r="O577" t="s">
        <v>73</v>
      </c>
      <c r="P577" t="s">
        <v>66</v>
      </c>
      <c r="Q577" t="s">
        <v>979</v>
      </c>
      <c r="R577" t="s">
        <v>73</v>
      </c>
      <c r="S577" t="s">
        <v>979</v>
      </c>
      <c r="T577" t="s">
        <v>3229</v>
      </c>
      <c r="U577" t="s">
        <v>3230</v>
      </c>
      <c r="V577" t="s">
        <v>982</v>
      </c>
      <c r="W577" t="s">
        <v>66</v>
      </c>
      <c r="X577" t="s">
        <v>78</v>
      </c>
      <c r="Y577" t="s">
        <v>3231</v>
      </c>
      <c r="Z577" t="s">
        <v>182</v>
      </c>
      <c r="AA577" t="s">
        <v>984</v>
      </c>
      <c r="AB577" t="s">
        <v>984</v>
      </c>
      <c r="AC577" t="s">
        <v>82</v>
      </c>
      <c r="AD577" t="s">
        <v>83</v>
      </c>
      <c r="AE577" t="s">
        <v>66</v>
      </c>
      <c r="AF577" t="s">
        <v>876</v>
      </c>
    </row>
    <row r="578" spans="1:32">
      <c r="A578" t="s">
        <v>3232</v>
      </c>
      <c r="B578" t="s">
        <v>162</v>
      </c>
      <c r="C578" t="s">
        <v>3233</v>
      </c>
      <c r="D578" t="s">
        <v>66</v>
      </c>
      <c r="E578" t="s">
        <v>67</v>
      </c>
      <c r="F578" t="s">
        <v>164</v>
      </c>
      <c r="G578" t="s">
        <v>165</v>
      </c>
      <c r="H578" t="s">
        <v>66</v>
      </c>
      <c r="I578" t="s">
        <v>66</v>
      </c>
      <c r="J578" t="s">
        <v>67</v>
      </c>
      <c r="K578" t="s">
        <v>71</v>
      </c>
      <c r="L578" t="s">
        <v>72</v>
      </c>
      <c r="M578" t="s">
        <v>73</v>
      </c>
      <c r="N578" t="s">
        <v>66</v>
      </c>
      <c r="O578" t="s">
        <v>73</v>
      </c>
      <c r="P578" t="s">
        <v>66</v>
      </c>
      <c r="Q578" t="s">
        <v>979</v>
      </c>
      <c r="R578" t="s">
        <v>73</v>
      </c>
      <c r="S578" t="s">
        <v>979</v>
      </c>
      <c r="T578" t="s">
        <v>3234</v>
      </c>
      <c r="U578" t="s">
        <v>3235</v>
      </c>
      <c r="V578" t="s">
        <v>982</v>
      </c>
      <c r="W578" t="s">
        <v>66</v>
      </c>
      <c r="X578" t="s">
        <v>78</v>
      </c>
      <c r="Y578" t="s">
        <v>3236</v>
      </c>
      <c r="Z578" t="s">
        <v>182</v>
      </c>
      <c r="AA578" t="s">
        <v>984</v>
      </c>
      <c r="AB578" t="s">
        <v>984</v>
      </c>
      <c r="AC578" t="s">
        <v>82</v>
      </c>
      <c r="AD578" t="s">
        <v>83</v>
      </c>
      <c r="AE578" t="s">
        <v>66</v>
      </c>
      <c r="AF578" t="s">
        <v>876</v>
      </c>
    </row>
    <row r="579" spans="1:32">
      <c r="A579" t="s">
        <v>3237</v>
      </c>
      <c r="B579" t="s">
        <v>1004</v>
      </c>
      <c r="C579" t="s">
        <v>3238</v>
      </c>
      <c r="D579" t="s">
        <v>66</v>
      </c>
      <c r="E579" t="s">
        <v>67</v>
      </c>
      <c r="F579" t="s">
        <v>68</v>
      </c>
      <c r="G579" t="s">
        <v>69</v>
      </c>
      <c r="H579" t="s">
        <v>66</v>
      </c>
      <c r="I579" t="s">
        <v>66</v>
      </c>
      <c r="J579" t="s">
        <v>67</v>
      </c>
      <c r="K579" t="s">
        <v>71</v>
      </c>
      <c r="L579" t="s">
        <v>72</v>
      </c>
      <c r="M579" t="s">
        <v>73</v>
      </c>
      <c r="N579" t="s">
        <v>66</v>
      </c>
      <c r="O579" t="s">
        <v>73</v>
      </c>
      <c r="P579" t="s">
        <v>66</v>
      </c>
      <c r="Q579" t="s">
        <v>979</v>
      </c>
      <c r="R579" t="s">
        <v>73</v>
      </c>
      <c r="S579" t="s">
        <v>979</v>
      </c>
      <c r="T579" t="s">
        <v>3239</v>
      </c>
      <c r="U579" t="s">
        <v>3240</v>
      </c>
      <c r="V579" t="s">
        <v>982</v>
      </c>
      <c r="W579" t="s">
        <v>66</v>
      </c>
      <c r="X579" t="s">
        <v>78</v>
      </c>
      <c r="Y579" t="s">
        <v>3241</v>
      </c>
      <c r="Z579" t="s">
        <v>182</v>
      </c>
      <c r="AA579" t="s">
        <v>984</v>
      </c>
      <c r="AB579" t="s">
        <v>984</v>
      </c>
      <c r="AC579" t="s">
        <v>82</v>
      </c>
      <c r="AD579" t="s">
        <v>83</v>
      </c>
      <c r="AE579" t="s">
        <v>66</v>
      </c>
      <c r="AF579" t="s">
        <v>876</v>
      </c>
    </row>
    <row r="580" spans="1:32">
      <c r="A580" t="s">
        <v>3242</v>
      </c>
      <c r="B580" t="s">
        <v>1223</v>
      </c>
      <c r="C580" t="s">
        <v>3243</v>
      </c>
      <c r="D580" t="s">
        <v>66</v>
      </c>
      <c r="E580" t="s">
        <v>67</v>
      </c>
      <c r="F580" t="s">
        <v>988</v>
      </c>
      <c r="G580" t="s">
        <v>989</v>
      </c>
      <c r="H580" t="s">
        <v>66</v>
      </c>
      <c r="I580" t="s">
        <v>66</v>
      </c>
      <c r="J580" t="s">
        <v>67</v>
      </c>
      <c r="K580" t="s">
        <v>71</v>
      </c>
      <c r="L580" t="s">
        <v>72</v>
      </c>
      <c r="M580" t="s">
        <v>73</v>
      </c>
      <c r="N580" t="s">
        <v>66</v>
      </c>
      <c r="O580" t="s">
        <v>73</v>
      </c>
      <c r="P580" t="s">
        <v>66</v>
      </c>
      <c r="Q580" t="s">
        <v>979</v>
      </c>
      <c r="R580" t="s">
        <v>73</v>
      </c>
      <c r="S580" t="s">
        <v>979</v>
      </c>
      <c r="T580" t="s">
        <v>3244</v>
      </c>
      <c r="U580" t="s">
        <v>3245</v>
      </c>
      <c r="V580" t="s">
        <v>982</v>
      </c>
      <c r="W580" t="s">
        <v>66</v>
      </c>
      <c r="X580" t="s">
        <v>78</v>
      </c>
      <c r="Y580" t="s">
        <v>3246</v>
      </c>
      <c r="Z580" t="s">
        <v>182</v>
      </c>
      <c r="AA580" t="s">
        <v>984</v>
      </c>
      <c r="AB580" t="s">
        <v>984</v>
      </c>
      <c r="AC580" t="s">
        <v>82</v>
      </c>
      <c r="AD580" t="s">
        <v>83</v>
      </c>
      <c r="AE580" t="s">
        <v>66</v>
      </c>
      <c r="AF580" t="s">
        <v>876</v>
      </c>
    </row>
    <row r="581" spans="1:32">
      <c r="A581" t="s">
        <v>3247</v>
      </c>
      <c r="B581" t="s">
        <v>1546</v>
      </c>
      <c r="C581" t="s">
        <v>3248</v>
      </c>
      <c r="D581" t="s">
        <v>3248</v>
      </c>
      <c r="E581" t="s">
        <v>109</v>
      </c>
      <c r="F581" t="s">
        <v>110</v>
      </c>
      <c r="G581" t="s">
        <v>111</v>
      </c>
      <c r="H581" t="s">
        <v>66</v>
      </c>
      <c r="I581" t="s">
        <v>66</v>
      </c>
      <c r="J581" t="s">
        <v>67</v>
      </c>
      <c r="K581" t="s">
        <v>71</v>
      </c>
      <c r="L581" t="s">
        <v>72</v>
      </c>
      <c r="M581" t="s">
        <v>73</v>
      </c>
      <c r="N581" t="s">
        <v>66</v>
      </c>
      <c r="O581" t="s">
        <v>73</v>
      </c>
      <c r="P581" t="s">
        <v>66</v>
      </c>
      <c r="Q581" t="s">
        <v>979</v>
      </c>
      <c r="R581" t="s">
        <v>73</v>
      </c>
      <c r="S581" t="s">
        <v>979</v>
      </c>
      <c r="T581" t="s">
        <v>3249</v>
      </c>
      <c r="U581" t="s">
        <v>3250</v>
      </c>
      <c r="V581" t="s">
        <v>982</v>
      </c>
      <c r="W581" t="s">
        <v>66</v>
      </c>
      <c r="X581" t="s">
        <v>78</v>
      </c>
      <c r="Y581" t="s">
        <v>3251</v>
      </c>
      <c r="Z581" t="s">
        <v>182</v>
      </c>
      <c r="AA581" t="s">
        <v>984</v>
      </c>
      <c r="AB581" t="s">
        <v>984</v>
      </c>
      <c r="AC581" t="s">
        <v>82</v>
      </c>
      <c r="AD581" t="s">
        <v>83</v>
      </c>
      <c r="AE581" t="s">
        <v>66</v>
      </c>
      <c r="AF581" t="s">
        <v>876</v>
      </c>
    </row>
    <row r="582" spans="1:32">
      <c r="A582" t="s">
        <v>3252</v>
      </c>
      <c r="B582" t="s">
        <v>1064</v>
      </c>
      <c r="C582" t="s">
        <v>3253</v>
      </c>
      <c r="D582" t="s">
        <v>66</v>
      </c>
      <c r="E582" t="s">
        <v>67</v>
      </c>
      <c r="F582" t="s">
        <v>110</v>
      </c>
      <c r="G582" t="s">
        <v>111</v>
      </c>
      <c r="H582" t="s">
        <v>66</v>
      </c>
      <c r="I582" t="s">
        <v>66</v>
      </c>
      <c r="J582" t="s">
        <v>67</v>
      </c>
      <c r="K582" t="s">
        <v>71</v>
      </c>
      <c r="L582" t="s">
        <v>72</v>
      </c>
      <c r="M582" t="s">
        <v>73</v>
      </c>
      <c r="N582" t="s">
        <v>66</v>
      </c>
      <c r="O582" t="s">
        <v>73</v>
      </c>
      <c r="P582" t="s">
        <v>66</v>
      </c>
      <c r="Q582" t="s">
        <v>979</v>
      </c>
      <c r="R582" t="s">
        <v>73</v>
      </c>
      <c r="S582" t="s">
        <v>979</v>
      </c>
      <c r="T582" t="s">
        <v>3254</v>
      </c>
      <c r="U582" t="s">
        <v>3255</v>
      </c>
      <c r="V582" t="s">
        <v>982</v>
      </c>
      <c r="W582" t="s">
        <v>66</v>
      </c>
      <c r="X582" t="s">
        <v>78</v>
      </c>
      <c r="Y582" t="s">
        <v>3256</v>
      </c>
      <c r="Z582" t="s">
        <v>182</v>
      </c>
      <c r="AA582" t="s">
        <v>984</v>
      </c>
      <c r="AB582" t="s">
        <v>984</v>
      </c>
      <c r="AC582" t="s">
        <v>82</v>
      </c>
      <c r="AD582" t="s">
        <v>83</v>
      </c>
      <c r="AE582" t="s">
        <v>66</v>
      </c>
      <c r="AF582" t="s">
        <v>876</v>
      </c>
    </row>
    <row r="583" spans="1:32">
      <c r="A583" t="s">
        <v>3257</v>
      </c>
      <c r="B583" t="s">
        <v>841</v>
      </c>
      <c r="C583" t="s">
        <v>3258</v>
      </c>
      <c r="D583" t="s">
        <v>3258</v>
      </c>
      <c r="E583" t="s">
        <v>109</v>
      </c>
      <c r="F583" t="s">
        <v>110</v>
      </c>
      <c r="G583" t="s">
        <v>111</v>
      </c>
      <c r="H583" t="s">
        <v>66</v>
      </c>
      <c r="I583" t="s">
        <v>66</v>
      </c>
      <c r="J583" t="s">
        <v>67</v>
      </c>
      <c r="K583" t="s">
        <v>71</v>
      </c>
      <c r="L583" t="s">
        <v>72</v>
      </c>
      <c r="M583" t="s">
        <v>73</v>
      </c>
      <c r="N583" t="s">
        <v>66</v>
      </c>
      <c r="O583" t="s">
        <v>73</v>
      </c>
      <c r="P583" t="s">
        <v>66</v>
      </c>
      <c r="Q583" t="s">
        <v>979</v>
      </c>
      <c r="R583" t="s">
        <v>73</v>
      </c>
      <c r="S583" t="s">
        <v>979</v>
      </c>
      <c r="T583" t="s">
        <v>3259</v>
      </c>
      <c r="U583" t="s">
        <v>3260</v>
      </c>
      <c r="V583" t="s">
        <v>982</v>
      </c>
      <c r="W583" t="s">
        <v>66</v>
      </c>
      <c r="X583" t="s">
        <v>78</v>
      </c>
      <c r="Y583" t="s">
        <v>3261</v>
      </c>
      <c r="Z583" t="s">
        <v>182</v>
      </c>
      <c r="AA583" t="s">
        <v>984</v>
      </c>
      <c r="AB583" t="s">
        <v>984</v>
      </c>
      <c r="AC583" t="s">
        <v>82</v>
      </c>
      <c r="AD583" t="s">
        <v>83</v>
      </c>
      <c r="AE583" t="s">
        <v>66</v>
      </c>
      <c r="AF583" t="s">
        <v>876</v>
      </c>
    </row>
    <row r="584" spans="1:32">
      <c r="A584" t="s">
        <v>3262</v>
      </c>
      <c r="B584" t="s">
        <v>308</v>
      </c>
      <c r="C584" t="s">
        <v>3263</v>
      </c>
      <c r="D584" t="s">
        <v>3263</v>
      </c>
      <c r="E584" t="s">
        <v>109</v>
      </c>
      <c r="F584" t="s">
        <v>110</v>
      </c>
      <c r="G584" t="s">
        <v>111</v>
      </c>
      <c r="H584" t="s">
        <v>66</v>
      </c>
      <c r="I584" t="s">
        <v>66</v>
      </c>
      <c r="J584" t="s">
        <v>67</v>
      </c>
      <c r="K584" t="s">
        <v>71</v>
      </c>
      <c r="L584" t="s">
        <v>72</v>
      </c>
      <c r="M584" t="s">
        <v>73</v>
      </c>
      <c r="N584" t="s">
        <v>66</v>
      </c>
      <c r="O584" t="s">
        <v>73</v>
      </c>
      <c r="P584" t="s">
        <v>66</v>
      </c>
      <c r="Q584" t="s">
        <v>979</v>
      </c>
      <c r="R584" t="s">
        <v>73</v>
      </c>
      <c r="S584" t="s">
        <v>979</v>
      </c>
      <c r="T584" t="s">
        <v>3264</v>
      </c>
      <c r="U584" t="s">
        <v>3265</v>
      </c>
      <c r="V584" t="s">
        <v>982</v>
      </c>
      <c r="W584" t="s">
        <v>66</v>
      </c>
      <c r="X584" t="s">
        <v>78</v>
      </c>
      <c r="Y584" t="s">
        <v>3266</v>
      </c>
      <c r="Z584" t="s">
        <v>182</v>
      </c>
      <c r="AA584" t="s">
        <v>984</v>
      </c>
      <c r="AB584" t="s">
        <v>984</v>
      </c>
      <c r="AC584" t="s">
        <v>82</v>
      </c>
      <c r="AD584" t="s">
        <v>83</v>
      </c>
      <c r="AE584" t="s">
        <v>66</v>
      </c>
      <c r="AF584" t="s">
        <v>876</v>
      </c>
    </row>
    <row r="585" spans="1:32">
      <c r="A585" t="s">
        <v>3267</v>
      </c>
      <c r="B585" t="s">
        <v>130</v>
      </c>
      <c r="C585" t="s">
        <v>3268</v>
      </c>
      <c r="D585" t="s">
        <v>3268</v>
      </c>
      <c r="E585" t="s">
        <v>109</v>
      </c>
      <c r="F585" t="s">
        <v>110</v>
      </c>
      <c r="G585" t="s">
        <v>111</v>
      </c>
      <c r="H585" t="s">
        <v>66</v>
      </c>
      <c r="I585" t="s">
        <v>66</v>
      </c>
      <c r="J585" t="s">
        <v>67</v>
      </c>
      <c r="K585" t="s">
        <v>71</v>
      </c>
      <c r="L585" t="s">
        <v>72</v>
      </c>
      <c r="M585" t="s">
        <v>73</v>
      </c>
      <c r="N585" t="s">
        <v>66</v>
      </c>
      <c r="O585" t="s">
        <v>73</v>
      </c>
      <c r="P585" t="s">
        <v>66</v>
      </c>
      <c r="Q585" t="s">
        <v>979</v>
      </c>
      <c r="R585" t="s">
        <v>73</v>
      </c>
      <c r="S585" t="s">
        <v>979</v>
      </c>
      <c r="T585" t="s">
        <v>3269</v>
      </c>
      <c r="U585" t="s">
        <v>3270</v>
      </c>
      <c r="V585" t="s">
        <v>982</v>
      </c>
      <c r="W585" t="s">
        <v>66</v>
      </c>
      <c r="X585" t="s">
        <v>78</v>
      </c>
      <c r="Y585" t="s">
        <v>3271</v>
      </c>
      <c r="Z585" t="s">
        <v>182</v>
      </c>
      <c r="AA585" t="s">
        <v>984</v>
      </c>
      <c r="AB585" t="s">
        <v>984</v>
      </c>
      <c r="AC585" t="s">
        <v>82</v>
      </c>
      <c r="AD585" t="s">
        <v>83</v>
      </c>
      <c r="AE585" t="s">
        <v>66</v>
      </c>
      <c r="AF585" t="s">
        <v>876</v>
      </c>
    </row>
    <row r="586" spans="1:32">
      <c r="A586" t="s">
        <v>3272</v>
      </c>
      <c r="B586" t="s">
        <v>841</v>
      </c>
      <c r="C586" t="s">
        <v>3273</v>
      </c>
      <c r="D586" t="s">
        <v>3273</v>
      </c>
      <c r="E586" t="s">
        <v>109</v>
      </c>
      <c r="F586" t="s">
        <v>110</v>
      </c>
      <c r="G586" t="s">
        <v>111</v>
      </c>
      <c r="H586" t="s">
        <v>66</v>
      </c>
      <c r="I586" t="s">
        <v>66</v>
      </c>
      <c r="J586" t="s">
        <v>67</v>
      </c>
      <c r="K586" t="s">
        <v>71</v>
      </c>
      <c r="L586" t="s">
        <v>72</v>
      </c>
      <c r="M586" t="s">
        <v>73</v>
      </c>
      <c r="N586" t="s">
        <v>66</v>
      </c>
      <c r="O586" t="s">
        <v>73</v>
      </c>
      <c r="P586" t="s">
        <v>66</v>
      </c>
      <c r="Q586" t="s">
        <v>979</v>
      </c>
      <c r="R586" t="s">
        <v>73</v>
      </c>
      <c r="S586" t="s">
        <v>979</v>
      </c>
      <c r="T586" t="s">
        <v>3274</v>
      </c>
      <c r="U586" t="s">
        <v>3275</v>
      </c>
      <c r="V586" t="s">
        <v>982</v>
      </c>
      <c r="W586" t="s">
        <v>66</v>
      </c>
      <c r="X586" t="s">
        <v>78</v>
      </c>
      <c r="Y586" t="s">
        <v>3276</v>
      </c>
      <c r="Z586" t="s">
        <v>182</v>
      </c>
      <c r="AA586" t="s">
        <v>984</v>
      </c>
      <c r="AB586" t="s">
        <v>984</v>
      </c>
      <c r="AC586" t="s">
        <v>82</v>
      </c>
      <c r="AD586" t="s">
        <v>83</v>
      </c>
      <c r="AE586" t="s">
        <v>66</v>
      </c>
      <c r="AF586" t="s">
        <v>876</v>
      </c>
    </row>
    <row r="587" spans="1:32">
      <c r="A587" t="s">
        <v>3277</v>
      </c>
      <c r="B587" t="s">
        <v>173</v>
      </c>
      <c r="C587" t="s">
        <v>3278</v>
      </c>
      <c r="D587" t="s">
        <v>66</v>
      </c>
      <c r="E587" t="s">
        <v>67</v>
      </c>
      <c r="F587" t="s">
        <v>175</v>
      </c>
      <c r="G587" t="s">
        <v>176</v>
      </c>
      <c r="H587" t="s">
        <v>66</v>
      </c>
      <c r="I587" t="s">
        <v>66</v>
      </c>
      <c r="J587" t="s">
        <v>67</v>
      </c>
      <c r="K587" t="s">
        <v>71</v>
      </c>
      <c r="L587" t="s">
        <v>72</v>
      </c>
      <c r="M587" t="s">
        <v>73</v>
      </c>
      <c r="N587" t="s">
        <v>66</v>
      </c>
      <c r="O587" t="s">
        <v>73</v>
      </c>
      <c r="P587" t="s">
        <v>66</v>
      </c>
      <c r="Q587" t="s">
        <v>979</v>
      </c>
      <c r="R587" t="s">
        <v>73</v>
      </c>
      <c r="S587" t="s">
        <v>979</v>
      </c>
      <c r="T587" t="s">
        <v>3279</v>
      </c>
      <c r="U587" t="s">
        <v>3280</v>
      </c>
      <c r="V587" t="s">
        <v>982</v>
      </c>
      <c r="W587" t="s">
        <v>66</v>
      </c>
      <c r="X587" t="s">
        <v>78</v>
      </c>
      <c r="Y587" t="s">
        <v>3281</v>
      </c>
      <c r="Z587" t="s">
        <v>182</v>
      </c>
      <c r="AA587" t="s">
        <v>984</v>
      </c>
      <c r="AB587" t="s">
        <v>984</v>
      </c>
      <c r="AC587" t="s">
        <v>82</v>
      </c>
      <c r="AD587" t="s">
        <v>83</v>
      </c>
      <c r="AE587" t="s">
        <v>66</v>
      </c>
      <c r="AF587" t="s">
        <v>876</v>
      </c>
    </row>
    <row r="588" spans="1:32">
      <c r="A588" t="s">
        <v>3282</v>
      </c>
      <c r="B588" t="s">
        <v>130</v>
      </c>
      <c r="C588" t="s">
        <v>3283</v>
      </c>
      <c r="D588" t="s">
        <v>3283</v>
      </c>
      <c r="E588" t="s">
        <v>109</v>
      </c>
      <c r="F588" t="s">
        <v>110</v>
      </c>
      <c r="G588" t="s">
        <v>111</v>
      </c>
      <c r="H588" t="s">
        <v>66</v>
      </c>
      <c r="I588" t="s">
        <v>66</v>
      </c>
      <c r="J588" t="s">
        <v>67</v>
      </c>
      <c r="K588" t="s">
        <v>71</v>
      </c>
      <c r="L588" t="s">
        <v>72</v>
      </c>
      <c r="M588" t="s">
        <v>73</v>
      </c>
      <c r="N588" t="s">
        <v>66</v>
      </c>
      <c r="O588" t="s">
        <v>73</v>
      </c>
      <c r="P588" t="s">
        <v>66</v>
      </c>
      <c r="Q588" t="s">
        <v>979</v>
      </c>
      <c r="R588" t="s">
        <v>73</v>
      </c>
      <c r="S588" t="s">
        <v>979</v>
      </c>
      <c r="T588" t="s">
        <v>3284</v>
      </c>
      <c r="U588" t="s">
        <v>3285</v>
      </c>
      <c r="V588" t="s">
        <v>982</v>
      </c>
      <c r="W588" t="s">
        <v>66</v>
      </c>
      <c r="X588" t="s">
        <v>78</v>
      </c>
      <c r="Y588" t="s">
        <v>3286</v>
      </c>
      <c r="Z588" t="s">
        <v>182</v>
      </c>
      <c r="AA588" t="s">
        <v>984</v>
      </c>
      <c r="AB588" t="s">
        <v>984</v>
      </c>
      <c r="AC588" t="s">
        <v>82</v>
      </c>
      <c r="AD588" t="s">
        <v>83</v>
      </c>
      <c r="AE588" t="s">
        <v>66</v>
      </c>
      <c r="AF588" t="s">
        <v>876</v>
      </c>
    </row>
    <row r="589" spans="1:32">
      <c r="A589" t="s">
        <v>3287</v>
      </c>
      <c r="B589" t="s">
        <v>151</v>
      </c>
      <c r="C589" t="s">
        <v>3288</v>
      </c>
      <c r="D589" t="s">
        <v>66</v>
      </c>
      <c r="E589" t="s">
        <v>67</v>
      </c>
      <c r="F589" t="s">
        <v>68</v>
      </c>
      <c r="G589" t="s">
        <v>69</v>
      </c>
      <c r="H589" t="s">
        <v>66</v>
      </c>
      <c r="I589" t="s">
        <v>66</v>
      </c>
      <c r="J589" t="s">
        <v>67</v>
      </c>
      <c r="K589" t="s">
        <v>71</v>
      </c>
      <c r="L589" t="s">
        <v>72</v>
      </c>
      <c r="M589" t="s">
        <v>73</v>
      </c>
      <c r="N589" t="s">
        <v>66</v>
      </c>
      <c r="O589" t="s">
        <v>73</v>
      </c>
      <c r="P589" t="s">
        <v>66</v>
      </c>
      <c r="Q589" t="s">
        <v>979</v>
      </c>
      <c r="R589" t="s">
        <v>73</v>
      </c>
      <c r="S589" t="s">
        <v>979</v>
      </c>
      <c r="T589" t="s">
        <v>3289</v>
      </c>
      <c r="U589" t="s">
        <v>3290</v>
      </c>
      <c r="V589" t="s">
        <v>982</v>
      </c>
      <c r="W589" t="s">
        <v>66</v>
      </c>
      <c r="X589" t="s">
        <v>78</v>
      </c>
      <c r="Y589" t="s">
        <v>3291</v>
      </c>
      <c r="Z589" t="s">
        <v>182</v>
      </c>
      <c r="AA589" t="s">
        <v>984</v>
      </c>
      <c r="AB589" t="s">
        <v>984</v>
      </c>
      <c r="AC589" t="s">
        <v>82</v>
      </c>
      <c r="AD589" t="s">
        <v>83</v>
      </c>
      <c r="AE589" t="s">
        <v>66</v>
      </c>
      <c r="AF589" t="s">
        <v>876</v>
      </c>
    </row>
    <row r="590" spans="1:32">
      <c r="A590" t="s">
        <v>3292</v>
      </c>
      <c r="B590" t="s">
        <v>2698</v>
      </c>
      <c r="C590" t="s">
        <v>3293</v>
      </c>
      <c r="D590" t="s">
        <v>66</v>
      </c>
      <c r="E590" t="s">
        <v>67</v>
      </c>
      <c r="F590" t="s">
        <v>1321</v>
      </c>
      <c r="G590" t="s">
        <v>1322</v>
      </c>
      <c r="H590" t="s">
        <v>66</v>
      </c>
      <c r="I590" t="s">
        <v>66</v>
      </c>
      <c r="J590" t="s">
        <v>67</v>
      </c>
      <c r="K590" t="s">
        <v>71</v>
      </c>
      <c r="L590" t="s">
        <v>72</v>
      </c>
      <c r="M590" t="s">
        <v>73</v>
      </c>
      <c r="N590" t="s">
        <v>66</v>
      </c>
      <c r="O590" t="s">
        <v>73</v>
      </c>
      <c r="P590" t="s">
        <v>66</v>
      </c>
      <c r="Q590" t="s">
        <v>979</v>
      </c>
      <c r="R590" t="s">
        <v>73</v>
      </c>
      <c r="S590" t="s">
        <v>979</v>
      </c>
      <c r="T590" t="s">
        <v>3294</v>
      </c>
      <c r="U590" t="s">
        <v>3295</v>
      </c>
      <c r="V590" t="s">
        <v>982</v>
      </c>
      <c r="W590" t="s">
        <v>66</v>
      </c>
      <c r="X590" t="s">
        <v>78</v>
      </c>
      <c r="Y590" t="s">
        <v>3296</v>
      </c>
      <c r="Z590" t="s">
        <v>182</v>
      </c>
      <c r="AA590" t="s">
        <v>984</v>
      </c>
      <c r="AB590" t="s">
        <v>984</v>
      </c>
      <c r="AC590" t="s">
        <v>82</v>
      </c>
      <c r="AD590" t="s">
        <v>83</v>
      </c>
      <c r="AE590" t="s">
        <v>66</v>
      </c>
      <c r="AF590" t="s">
        <v>876</v>
      </c>
    </row>
    <row r="591" spans="1:32">
      <c r="A591" t="s">
        <v>3297</v>
      </c>
      <c r="B591" t="s">
        <v>1223</v>
      </c>
      <c r="C591" t="s">
        <v>3298</v>
      </c>
      <c r="D591" t="s">
        <v>66</v>
      </c>
      <c r="E591" t="s">
        <v>67</v>
      </c>
      <c r="F591" t="s">
        <v>988</v>
      </c>
      <c r="G591" t="s">
        <v>989</v>
      </c>
      <c r="H591" t="s">
        <v>66</v>
      </c>
      <c r="I591" t="s">
        <v>66</v>
      </c>
      <c r="J591" t="s">
        <v>67</v>
      </c>
      <c r="K591" t="s">
        <v>71</v>
      </c>
      <c r="L591" t="s">
        <v>72</v>
      </c>
      <c r="M591" t="s">
        <v>73</v>
      </c>
      <c r="N591" t="s">
        <v>66</v>
      </c>
      <c r="O591" t="s">
        <v>73</v>
      </c>
      <c r="P591" t="s">
        <v>66</v>
      </c>
      <c r="Q591" t="s">
        <v>979</v>
      </c>
      <c r="R591" t="s">
        <v>73</v>
      </c>
      <c r="S591" t="s">
        <v>979</v>
      </c>
      <c r="T591" t="s">
        <v>3299</v>
      </c>
      <c r="U591" t="s">
        <v>3300</v>
      </c>
      <c r="V591" t="s">
        <v>982</v>
      </c>
      <c r="W591" t="s">
        <v>66</v>
      </c>
      <c r="X591" t="s">
        <v>78</v>
      </c>
      <c r="Y591" t="s">
        <v>3301</v>
      </c>
      <c r="Z591" t="s">
        <v>182</v>
      </c>
      <c r="AA591" t="s">
        <v>984</v>
      </c>
      <c r="AB591" t="s">
        <v>984</v>
      </c>
      <c r="AC591" t="s">
        <v>82</v>
      </c>
      <c r="AD591" t="s">
        <v>83</v>
      </c>
      <c r="AE591" t="s">
        <v>66</v>
      </c>
      <c r="AF591" t="s">
        <v>876</v>
      </c>
    </row>
    <row r="592" spans="1:32">
      <c r="A592" t="s">
        <v>3302</v>
      </c>
      <c r="B592" t="s">
        <v>107</v>
      </c>
      <c r="C592" t="s">
        <v>3303</v>
      </c>
      <c r="D592" t="s">
        <v>3303</v>
      </c>
      <c r="E592" t="s">
        <v>109</v>
      </c>
      <c r="F592" t="s">
        <v>110</v>
      </c>
      <c r="G592" t="s">
        <v>111</v>
      </c>
      <c r="H592" t="s">
        <v>66</v>
      </c>
      <c r="I592" t="s">
        <v>66</v>
      </c>
      <c r="J592" t="s">
        <v>67</v>
      </c>
      <c r="K592" t="s">
        <v>71</v>
      </c>
      <c r="L592" t="s">
        <v>72</v>
      </c>
      <c r="M592" t="s">
        <v>73</v>
      </c>
      <c r="N592" t="s">
        <v>66</v>
      </c>
      <c r="O592" t="s">
        <v>73</v>
      </c>
      <c r="P592" t="s">
        <v>66</v>
      </c>
      <c r="Q592" t="s">
        <v>979</v>
      </c>
      <c r="R592" t="s">
        <v>73</v>
      </c>
      <c r="S592" t="s">
        <v>979</v>
      </c>
      <c r="T592" t="s">
        <v>3304</v>
      </c>
      <c r="U592" t="s">
        <v>3305</v>
      </c>
      <c r="V592" t="s">
        <v>982</v>
      </c>
      <c r="W592" t="s">
        <v>66</v>
      </c>
      <c r="X592" t="s">
        <v>78</v>
      </c>
      <c r="Y592" t="s">
        <v>3306</v>
      </c>
      <c r="Z592" t="s">
        <v>182</v>
      </c>
      <c r="AA592" t="s">
        <v>984</v>
      </c>
      <c r="AB592" t="s">
        <v>984</v>
      </c>
      <c r="AC592" t="s">
        <v>82</v>
      </c>
      <c r="AD592" t="s">
        <v>83</v>
      </c>
      <c r="AE592" t="s">
        <v>66</v>
      </c>
      <c r="AF592" t="s">
        <v>876</v>
      </c>
    </row>
    <row r="593" spans="1:32">
      <c r="A593" t="s">
        <v>3307</v>
      </c>
      <c r="B593" t="s">
        <v>1004</v>
      </c>
      <c r="C593" t="s">
        <v>3308</v>
      </c>
      <c r="D593" t="s">
        <v>66</v>
      </c>
      <c r="E593" t="s">
        <v>67</v>
      </c>
      <c r="F593" t="s">
        <v>68</v>
      </c>
      <c r="G593" t="s">
        <v>69</v>
      </c>
      <c r="H593" t="s">
        <v>66</v>
      </c>
      <c r="I593" t="s">
        <v>66</v>
      </c>
      <c r="J593" t="s">
        <v>67</v>
      </c>
      <c r="K593" t="s">
        <v>71</v>
      </c>
      <c r="L593" t="s">
        <v>72</v>
      </c>
      <c r="M593" t="s">
        <v>73</v>
      </c>
      <c r="N593" t="s">
        <v>66</v>
      </c>
      <c r="O593" t="s">
        <v>73</v>
      </c>
      <c r="P593" t="s">
        <v>66</v>
      </c>
      <c r="Q593" t="s">
        <v>979</v>
      </c>
      <c r="R593" t="s">
        <v>73</v>
      </c>
      <c r="S593" t="s">
        <v>979</v>
      </c>
      <c r="T593" t="s">
        <v>3309</v>
      </c>
      <c r="U593" t="s">
        <v>3310</v>
      </c>
      <c r="V593" t="s">
        <v>982</v>
      </c>
      <c r="W593" t="s">
        <v>66</v>
      </c>
      <c r="X593" t="s">
        <v>78</v>
      </c>
      <c r="Y593" t="s">
        <v>3311</v>
      </c>
      <c r="Z593" t="s">
        <v>182</v>
      </c>
      <c r="AA593" t="s">
        <v>984</v>
      </c>
      <c r="AB593" t="s">
        <v>984</v>
      </c>
      <c r="AC593" t="s">
        <v>82</v>
      </c>
      <c r="AD593" t="s">
        <v>83</v>
      </c>
      <c r="AE593" t="s">
        <v>66</v>
      </c>
      <c r="AF593" t="s">
        <v>876</v>
      </c>
    </row>
    <row r="594" spans="1:32">
      <c r="A594" t="s">
        <v>3312</v>
      </c>
      <c r="B594" t="s">
        <v>130</v>
      </c>
      <c r="C594" t="s">
        <v>3313</v>
      </c>
      <c r="D594" t="s">
        <v>3313</v>
      </c>
      <c r="E594" t="s">
        <v>109</v>
      </c>
      <c r="F594" t="s">
        <v>110</v>
      </c>
      <c r="G594" t="s">
        <v>111</v>
      </c>
      <c r="H594" t="s">
        <v>66</v>
      </c>
      <c r="I594" t="s">
        <v>66</v>
      </c>
      <c r="J594" t="s">
        <v>67</v>
      </c>
      <c r="K594" t="s">
        <v>71</v>
      </c>
      <c r="L594" t="s">
        <v>72</v>
      </c>
      <c r="M594" t="s">
        <v>73</v>
      </c>
      <c r="N594" t="s">
        <v>66</v>
      </c>
      <c r="O594" t="s">
        <v>73</v>
      </c>
      <c r="P594" t="s">
        <v>66</v>
      </c>
      <c r="Q594" t="s">
        <v>979</v>
      </c>
      <c r="R594" t="s">
        <v>73</v>
      </c>
      <c r="S594" t="s">
        <v>979</v>
      </c>
      <c r="T594" t="s">
        <v>3314</v>
      </c>
      <c r="U594" t="s">
        <v>3315</v>
      </c>
      <c r="V594" t="s">
        <v>982</v>
      </c>
      <c r="W594" t="s">
        <v>66</v>
      </c>
      <c r="X594" t="s">
        <v>78</v>
      </c>
      <c r="Y594" t="s">
        <v>3316</v>
      </c>
      <c r="Z594" t="s">
        <v>182</v>
      </c>
      <c r="AA594" t="s">
        <v>984</v>
      </c>
      <c r="AB594" t="s">
        <v>984</v>
      </c>
      <c r="AC594" t="s">
        <v>82</v>
      </c>
      <c r="AD594" t="s">
        <v>83</v>
      </c>
      <c r="AE594" t="s">
        <v>66</v>
      </c>
      <c r="AF594" t="s">
        <v>876</v>
      </c>
    </row>
    <row r="595" spans="1:32">
      <c r="A595" t="s">
        <v>3317</v>
      </c>
      <c r="B595" t="s">
        <v>151</v>
      </c>
      <c r="C595" t="s">
        <v>3318</v>
      </c>
      <c r="D595" t="s">
        <v>66</v>
      </c>
      <c r="E595" t="s">
        <v>67</v>
      </c>
      <c r="F595" t="s">
        <v>68</v>
      </c>
      <c r="G595" t="s">
        <v>69</v>
      </c>
      <c r="H595" t="s">
        <v>66</v>
      </c>
      <c r="I595" t="s">
        <v>66</v>
      </c>
      <c r="J595" t="s">
        <v>67</v>
      </c>
      <c r="K595" t="s">
        <v>71</v>
      </c>
      <c r="L595" t="s">
        <v>72</v>
      </c>
      <c r="M595" t="s">
        <v>73</v>
      </c>
      <c r="N595" t="s">
        <v>66</v>
      </c>
      <c r="O595" t="s">
        <v>73</v>
      </c>
      <c r="P595" t="s">
        <v>66</v>
      </c>
      <c r="Q595" t="s">
        <v>979</v>
      </c>
      <c r="R595" t="s">
        <v>73</v>
      </c>
      <c r="S595" t="s">
        <v>979</v>
      </c>
      <c r="T595" t="s">
        <v>3319</v>
      </c>
      <c r="U595" t="s">
        <v>3320</v>
      </c>
      <c r="V595" t="s">
        <v>982</v>
      </c>
      <c r="W595" t="s">
        <v>66</v>
      </c>
      <c r="X595" t="s">
        <v>78</v>
      </c>
      <c r="Y595" t="s">
        <v>3321</v>
      </c>
      <c r="Z595" t="s">
        <v>182</v>
      </c>
      <c r="AA595" t="s">
        <v>984</v>
      </c>
      <c r="AB595" t="s">
        <v>984</v>
      </c>
      <c r="AC595" t="s">
        <v>82</v>
      </c>
      <c r="AD595" t="s">
        <v>83</v>
      </c>
      <c r="AE595" t="s">
        <v>66</v>
      </c>
      <c r="AF595" t="s">
        <v>876</v>
      </c>
    </row>
    <row r="596" spans="1:32">
      <c r="A596" t="s">
        <v>3322</v>
      </c>
      <c r="B596" t="s">
        <v>1860</v>
      </c>
      <c r="C596" t="s">
        <v>3323</v>
      </c>
      <c r="D596" t="s">
        <v>66</v>
      </c>
      <c r="E596" t="s">
        <v>67</v>
      </c>
      <c r="F596" t="s">
        <v>110</v>
      </c>
      <c r="G596" t="s">
        <v>111</v>
      </c>
      <c r="H596" t="s">
        <v>66</v>
      </c>
      <c r="I596" t="s">
        <v>66</v>
      </c>
      <c r="J596" t="s">
        <v>67</v>
      </c>
      <c r="K596" t="s">
        <v>71</v>
      </c>
      <c r="L596" t="s">
        <v>72</v>
      </c>
      <c r="M596" t="s">
        <v>73</v>
      </c>
      <c r="N596" t="s">
        <v>66</v>
      </c>
      <c r="O596" t="s">
        <v>73</v>
      </c>
      <c r="P596" t="s">
        <v>66</v>
      </c>
      <c r="Q596" t="s">
        <v>979</v>
      </c>
      <c r="R596" t="s">
        <v>73</v>
      </c>
      <c r="S596" t="s">
        <v>979</v>
      </c>
      <c r="T596" t="s">
        <v>3324</v>
      </c>
      <c r="U596" t="s">
        <v>3325</v>
      </c>
      <c r="V596" t="s">
        <v>982</v>
      </c>
      <c r="W596" t="s">
        <v>66</v>
      </c>
      <c r="X596" t="s">
        <v>78</v>
      </c>
      <c r="Y596" t="s">
        <v>3326</v>
      </c>
      <c r="Z596" t="s">
        <v>182</v>
      </c>
      <c r="AA596" t="s">
        <v>984</v>
      </c>
      <c r="AB596" t="s">
        <v>984</v>
      </c>
      <c r="AC596" t="s">
        <v>82</v>
      </c>
      <c r="AD596" t="s">
        <v>83</v>
      </c>
      <c r="AE596" t="s">
        <v>66</v>
      </c>
      <c r="AF596" t="s">
        <v>876</v>
      </c>
    </row>
    <row r="597" spans="1:32">
      <c r="A597" t="s">
        <v>3327</v>
      </c>
      <c r="B597" t="s">
        <v>86</v>
      </c>
      <c r="C597" t="s">
        <v>3328</v>
      </c>
      <c r="D597" t="s">
        <v>66</v>
      </c>
      <c r="E597" t="s">
        <v>67</v>
      </c>
      <c r="F597" t="s">
        <v>68</v>
      </c>
      <c r="G597" t="s">
        <v>69</v>
      </c>
      <c r="H597" t="s">
        <v>66</v>
      </c>
      <c r="I597" t="s">
        <v>66</v>
      </c>
      <c r="J597" t="s">
        <v>67</v>
      </c>
      <c r="K597" t="s">
        <v>71</v>
      </c>
      <c r="L597" t="s">
        <v>72</v>
      </c>
      <c r="M597" t="s">
        <v>73</v>
      </c>
      <c r="N597" t="s">
        <v>66</v>
      </c>
      <c r="O597" t="s">
        <v>73</v>
      </c>
      <c r="P597" t="s">
        <v>66</v>
      </c>
      <c r="Q597" t="s">
        <v>979</v>
      </c>
      <c r="R597" t="s">
        <v>73</v>
      </c>
      <c r="S597" t="s">
        <v>979</v>
      </c>
      <c r="T597" t="s">
        <v>3329</v>
      </c>
      <c r="U597" t="s">
        <v>3330</v>
      </c>
      <c r="V597" t="s">
        <v>982</v>
      </c>
      <c r="W597" t="s">
        <v>66</v>
      </c>
      <c r="X597" t="s">
        <v>78</v>
      </c>
      <c r="Y597" t="s">
        <v>3331</v>
      </c>
      <c r="Z597" t="s">
        <v>182</v>
      </c>
      <c r="AA597" t="s">
        <v>984</v>
      </c>
      <c r="AB597" t="s">
        <v>984</v>
      </c>
      <c r="AC597" t="s">
        <v>82</v>
      </c>
      <c r="AD597" t="s">
        <v>83</v>
      </c>
      <c r="AE597" t="s">
        <v>66</v>
      </c>
      <c r="AF597" t="s">
        <v>876</v>
      </c>
    </row>
    <row r="598" spans="1:32">
      <c r="A598" t="s">
        <v>3332</v>
      </c>
      <c r="B598" t="s">
        <v>162</v>
      </c>
      <c r="C598" t="s">
        <v>3333</v>
      </c>
      <c r="D598" t="s">
        <v>66</v>
      </c>
      <c r="E598" t="s">
        <v>67</v>
      </c>
      <c r="F598" t="s">
        <v>164</v>
      </c>
      <c r="G598" t="s">
        <v>165</v>
      </c>
      <c r="H598" t="s">
        <v>66</v>
      </c>
      <c r="I598" t="s">
        <v>66</v>
      </c>
      <c r="J598" t="s">
        <v>67</v>
      </c>
      <c r="K598" t="s">
        <v>71</v>
      </c>
      <c r="L598" t="s">
        <v>72</v>
      </c>
      <c r="M598" t="s">
        <v>73</v>
      </c>
      <c r="N598" t="s">
        <v>66</v>
      </c>
      <c r="O598" t="s">
        <v>73</v>
      </c>
      <c r="P598" t="s">
        <v>66</v>
      </c>
      <c r="Q598" t="s">
        <v>979</v>
      </c>
      <c r="R598" t="s">
        <v>73</v>
      </c>
      <c r="S598" t="s">
        <v>979</v>
      </c>
      <c r="T598" t="s">
        <v>3334</v>
      </c>
      <c r="U598" t="s">
        <v>3335</v>
      </c>
      <c r="V598" t="s">
        <v>982</v>
      </c>
      <c r="W598" t="s">
        <v>66</v>
      </c>
      <c r="X598" t="s">
        <v>78</v>
      </c>
      <c r="Y598" t="s">
        <v>3336</v>
      </c>
      <c r="Z598" t="s">
        <v>182</v>
      </c>
      <c r="AA598" t="s">
        <v>984</v>
      </c>
      <c r="AB598" t="s">
        <v>984</v>
      </c>
      <c r="AC598" t="s">
        <v>82</v>
      </c>
      <c r="AD598" t="s">
        <v>83</v>
      </c>
      <c r="AE598" t="s">
        <v>66</v>
      </c>
      <c r="AF598" t="s">
        <v>876</v>
      </c>
    </row>
    <row r="599" spans="1:32">
      <c r="A599" t="s">
        <v>3337</v>
      </c>
      <c r="B599" t="s">
        <v>308</v>
      </c>
      <c r="C599" t="s">
        <v>3338</v>
      </c>
      <c r="D599" t="s">
        <v>3338</v>
      </c>
      <c r="E599" t="s">
        <v>109</v>
      </c>
      <c r="F599" t="s">
        <v>110</v>
      </c>
      <c r="G599" t="s">
        <v>111</v>
      </c>
      <c r="H599" t="s">
        <v>66</v>
      </c>
      <c r="I599" t="s">
        <v>66</v>
      </c>
      <c r="J599" t="s">
        <v>67</v>
      </c>
      <c r="K599" t="s">
        <v>71</v>
      </c>
      <c r="L599" t="s">
        <v>72</v>
      </c>
      <c r="M599" t="s">
        <v>73</v>
      </c>
      <c r="N599" t="s">
        <v>66</v>
      </c>
      <c r="O599" t="s">
        <v>73</v>
      </c>
      <c r="P599" t="s">
        <v>66</v>
      </c>
      <c r="Q599" t="s">
        <v>979</v>
      </c>
      <c r="R599" t="s">
        <v>73</v>
      </c>
      <c r="S599" t="s">
        <v>979</v>
      </c>
      <c r="T599" t="s">
        <v>3339</v>
      </c>
      <c r="U599" t="s">
        <v>3340</v>
      </c>
      <c r="V599" t="s">
        <v>982</v>
      </c>
      <c r="W599" t="s">
        <v>66</v>
      </c>
      <c r="X599" t="s">
        <v>78</v>
      </c>
      <c r="Y599" t="s">
        <v>3341</v>
      </c>
      <c r="Z599" t="s">
        <v>182</v>
      </c>
      <c r="AA599" t="s">
        <v>984</v>
      </c>
      <c r="AB599" t="s">
        <v>984</v>
      </c>
      <c r="AC599" t="s">
        <v>82</v>
      </c>
      <c r="AD599" t="s">
        <v>83</v>
      </c>
      <c r="AE599" t="s">
        <v>66</v>
      </c>
      <c r="AF599" t="s">
        <v>876</v>
      </c>
    </row>
    <row r="600" spans="1:32">
      <c r="A600" t="s">
        <v>3342</v>
      </c>
      <c r="B600" t="s">
        <v>107</v>
      </c>
      <c r="C600" t="s">
        <v>3343</v>
      </c>
      <c r="D600" t="s">
        <v>3343</v>
      </c>
      <c r="E600" t="s">
        <v>109</v>
      </c>
      <c r="F600" t="s">
        <v>110</v>
      </c>
      <c r="G600" t="s">
        <v>111</v>
      </c>
      <c r="H600" t="s">
        <v>66</v>
      </c>
      <c r="I600" t="s">
        <v>66</v>
      </c>
      <c r="J600" t="s">
        <v>67</v>
      </c>
      <c r="K600" t="s">
        <v>71</v>
      </c>
      <c r="L600" t="s">
        <v>72</v>
      </c>
      <c r="M600" t="s">
        <v>73</v>
      </c>
      <c r="N600" t="s">
        <v>66</v>
      </c>
      <c r="O600" t="s">
        <v>73</v>
      </c>
      <c r="P600" t="s">
        <v>66</v>
      </c>
      <c r="Q600" t="s">
        <v>979</v>
      </c>
      <c r="R600" t="s">
        <v>73</v>
      </c>
      <c r="S600" t="s">
        <v>979</v>
      </c>
      <c r="T600" t="s">
        <v>3344</v>
      </c>
      <c r="U600" t="s">
        <v>3345</v>
      </c>
      <c r="V600" t="s">
        <v>982</v>
      </c>
      <c r="W600" t="s">
        <v>66</v>
      </c>
      <c r="X600" t="s">
        <v>78</v>
      </c>
      <c r="Y600" t="s">
        <v>3346</v>
      </c>
      <c r="Z600" t="s">
        <v>182</v>
      </c>
      <c r="AA600" t="s">
        <v>984</v>
      </c>
      <c r="AB600" t="s">
        <v>984</v>
      </c>
      <c r="AC600" t="s">
        <v>82</v>
      </c>
      <c r="AD600" t="s">
        <v>83</v>
      </c>
      <c r="AE600" t="s">
        <v>66</v>
      </c>
      <c r="AF600" t="s">
        <v>876</v>
      </c>
    </row>
    <row r="601" spans="1:32">
      <c r="A601" t="s">
        <v>3347</v>
      </c>
      <c r="B601" t="s">
        <v>359</v>
      </c>
      <c r="C601" t="s">
        <v>3348</v>
      </c>
      <c r="D601" t="s">
        <v>3348</v>
      </c>
      <c r="E601" t="s">
        <v>109</v>
      </c>
      <c r="F601" t="s">
        <v>110</v>
      </c>
      <c r="G601" t="s">
        <v>111</v>
      </c>
      <c r="H601" t="s">
        <v>66</v>
      </c>
      <c r="I601" t="s">
        <v>66</v>
      </c>
      <c r="J601" t="s">
        <v>67</v>
      </c>
      <c r="K601" t="s">
        <v>71</v>
      </c>
      <c r="L601" t="s">
        <v>72</v>
      </c>
      <c r="M601" t="s">
        <v>73</v>
      </c>
      <c r="N601" t="s">
        <v>66</v>
      </c>
      <c r="O601" t="s">
        <v>73</v>
      </c>
      <c r="P601" t="s">
        <v>66</v>
      </c>
      <c r="Q601" t="s">
        <v>979</v>
      </c>
      <c r="R601" t="s">
        <v>73</v>
      </c>
      <c r="S601" t="s">
        <v>979</v>
      </c>
      <c r="T601" t="s">
        <v>3349</v>
      </c>
      <c r="U601" t="s">
        <v>3350</v>
      </c>
      <c r="V601" t="s">
        <v>982</v>
      </c>
      <c r="W601" t="s">
        <v>66</v>
      </c>
      <c r="X601" t="s">
        <v>78</v>
      </c>
      <c r="Y601" t="s">
        <v>3351</v>
      </c>
      <c r="Z601" t="s">
        <v>182</v>
      </c>
      <c r="AA601" t="s">
        <v>984</v>
      </c>
      <c r="AB601" t="s">
        <v>984</v>
      </c>
      <c r="AC601" t="s">
        <v>82</v>
      </c>
      <c r="AD601" t="s">
        <v>83</v>
      </c>
      <c r="AE601" t="s">
        <v>66</v>
      </c>
      <c r="AF601" t="s">
        <v>876</v>
      </c>
    </row>
    <row r="602" spans="1:32">
      <c r="A602" t="s">
        <v>3352</v>
      </c>
      <c r="B602" t="s">
        <v>308</v>
      </c>
      <c r="C602" t="s">
        <v>3353</v>
      </c>
      <c r="D602" t="s">
        <v>66</v>
      </c>
      <c r="E602" t="s">
        <v>109</v>
      </c>
      <c r="F602" t="s">
        <v>947</v>
      </c>
      <c r="G602" t="s">
        <v>948</v>
      </c>
      <c r="H602" t="s">
        <v>66</v>
      </c>
      <c r="I602" t="s">
        <v>66</v>
      </c>
      <c r="J602" t="s">
        <v>67</v>
      </c>
      <c r="K602" t="s">
        <v>71</v>
      </c>
      <c r="L602" t="s">
        <v>72</v>
      </c>
      <c r="M602" t="s">
        <v>73</v>
      </c>
      <c r="N602" t="s">
        <v>66</v>
      </c>
      <c r="O602" t="s">
        <v>73</v>
      </c>
      <c r="P602" t="s">
        <v>66</v>
      </c>
      <c r="Q602" t="s">
        <v>979</v>
      </c>
      <c r="R602" t="s">
        <v>73</v>
      </c>
      <c r="S602" t="s">
        <v>979</v>
      </c>
      <c r="T602" t="s">
        <v>3354</v>
      </c>
      <c r="U602" t="s">
        <v>3355</v>
      </c>
      <c r="V602" t="s">
        <v>982</v>
      </c>
      <c r="W602" t="s">
        <v>66</v>
      </c>
      <c r="X602" t="s">
        <v>78</v>
      </c>
      <c r="Y602" t="s">
        <v>3356</v>
      </c>
      <c r="Z602" t="s">
        <v>182</v>
      </c>
      <c r="AA602" t="s">
        <v>984</v>
      </c>
      <c r="AB602" t="s">
        <v>984</v>
      </c>
      <c r="AC602" t="s">
        <v>82</v>
      </c>
      <c r="AD602" t="s">
        <v>83</v>
      </c>
      <c r="AE602" t="s">
        <v>66</v>
      </c>
      <c r="AF602" t="s">
        <v>876</v>
      </c>
    </row>
    <row r="603" spans="1:32">
      <c r="A603" t="s">
        <v>3357</v>
      </c>
      <c r="B603" t="s">
        <v>151</v>
      </c>
      <c r="C603" t="s">
        <v>3358</v>
      </c>
      <c r="D603" t="s">
        <v>66</v>
      </c>
      <c r="E603" t="s">
        <v>67</v>
      </c>
      <c r="F603" t="s">
        <v>68</v>
      </c>
      <c r="G603" t="s">
        <v>69</v>
      </c>
      <c r="H603" t="s">
        <v>66</v>
      </c>
      <c r="I603" t="s">
        <v>66</v>
      </c>
      <c r="J603" t="s">
        <v>67</v>
      </c>
      <c r="K603" t="s">
        <v>71</v>
      </c>
      <c r="L603" t="s">
        <v>72</v>
      </c>
      <c r="M603" t="s">
        <v>73</v>
      </c>
      <c r="N603" t="s">
        <v>66</v>
      </c>
      <c r="O603" t="s">
        <v>73</v>
      </c>
      <c r="P603" t="s">
        <v>66</v>
      </c>
      <c r="Q603" t="s">
        <v>979</v>
      </c>
      <c r="R603" t="s">
        <v>73</v>
      </c>
      <c r="S603" t="s">
        <v>979</v>
      </c>
      <c r="T603" t="s">
        <v>3359</v>
      </c>
      <c r="U603" t="s">
        <v>3360</v>
      </c>
      <c r="V603" t="s">
        <v>982</v>
      </c>
      <c r="W603" t="s">
        <v>66</v>
      </c>
      <c r="X603" t="s">
        <v>78</v>
      </c>
      <c r="Y603" t="s">
        <v>3361</v>
      </c>
      <c r="Z603" t="s">
        <v>182</v>
      </c>
      <c r="AA603" t="s">
        <v>984</v>
      </c>
      <c r="AB603" t="s">
        <v>984</v>
      </c>
      <c r="AC603" t="s">
        <v>82</v>
      </c>
      <c r="AD603" t="s">
        <v>83</v>
      </c>
      <c r="AE603" t="s">
        <v>66</v>
      </c>
      <c r="AF603" t="s">
        <v>876</v>
      </c>
    </row>
    <row r="604" spans="1:32">
      <c r="A604" t="s">
        <v>3362</v>
      </c>
      <c r="B604" t="s">
        <v>1197</v>
      </c>
      <c r="C604" t="s">
        <v>3363</v>
      </c>
      <c r="D604" t="s">
        <v>3363</v>
      </c>
      <c r="E604" t="s">
        <v>109</v>
      </c>
      <c r="F604" t="s">
        <v>110</v>
      </c>
      <c r="G604" t="s">
        <v>111</v>
      </c>
      <c r="H604" t="s">
        <v>66</v>
      </c>
      <c r="I604" t="s">
        <v>66</v>
      </c>
      <c r="J604" t="s">
        <v>67</v>
      </c>
      <c r="K604" t="s">
        <v>71</v>
      </c>
      <c r="L604" t="s">
        <v>72</v>
      </c>
      <c r="M604" t="s">
        <v>73</v>
      </c>
      <c r="N604" t="s">
        <v>66</v>
      </c>
      <c r="O604" t="s">
        <v>73</v>
      </c>
      <c r="P604" t="s">
        <v>66</v>
      </c>
      <c r="Q604" t="s">
        <v>979</v>
      </c>
      <c r="R604" t="s">
        <v>73</v>
      </c>
      <c r="S604" t="s">
        <v>979</v>
      </c>
      <c r="T604" t="s">
        <v>3364</v>
      </c>
      <c r="U604" t="s">
        <v>3365</v>
      </c>
      <c r="V604" t="s">
        <v>982</v>
      </c>
      <c r="W604" t="s">
        <v>66</v>
      </c>
      <c r="X604" t="s">
        <v>78</v>
      </c>
      <c r="Y604" t="s">
        <v>3366</v>
      </c>
      <c r="Z604" t="s">
        <v>182</v>
      </c>
      <c r="AA604" t="s">
        <v>984</v>
      </c>
      <c r="AB604" t="s">
        <v>984</v>
      </c>
      <c r="AC604" t="s">
        <v>82</v>
      </c>
      <c r="AD604" t="s">
        <v>83</v>
      </c>
      <c r="AE604" t="s">
        <v>66</v>
      </c>
      <c r="AF604" t="s">
        <v>876</v>
      </c>
    </row>
    <row r="605" spans="1:32">
      <c r="A605" t="s">
        <v>3367</v>
      </c>
      <c r="B605" t="s">
        <v>86</v>
      </c>
      <c r="C605" t="s">
        <v>3368</v>
      </c>
      <c r="D605" t="s">
        <v>66</v>
      </c>
      <c r="E605" t="s">
        <v>67</v>
      </c>
      <c r="F605" t="s">
        <v>68</v>
      </c>
      <c r="G605" t="s">
        <v>69</v>
      </c>
      <c r="H605" t="s">
        <v>66</v>
      </c>
      <c r="I605" t="s">
        <v>66</v>
      </c>
      <c r="J605" t="s">
        <v>67</v>
      </c>
      <c r="K605" t="s">
        <v>71</v>
      </c>
      <c r="L605" t="s">
        <v>72</v>
      </c>
      <c r="M605" t="s">
        <v>73</v>
      </c>
      <c r="N605" t="s">
        <v>66</v>
      </c>
      <c r="O605" t="s">
        <v>73</v>
      </c>
      <c r="P605" t="s">
        <v>66</v>
      </c>
      <c r="Q605" t="s">
        <v>979</v>
      </c>
      <c r="R605" t="s">
        <v>73</v>
      </c>
      <c r="S605" t="s">
        <v>979</v>
      </c>
      <c r="T605" t="s">
        <v>3369</v>
      </c>
      <c r="U605" t="s">
        <v>3370</v>
      </c>
      <c r="V605" t="s">
        <v>982</v>
      </c>
      <c r="W605" t="s">
        <v>66</v>
      </c>
      <c r="X605" t="s">
        <v>78</v>
      </c>
      <c r="Y605" t="s">
        <v>3371</v>
      </c>
      <c r="Z605" t="s">
        <v>182</v>
      </c>
      <c r="AA605" t="s">
        <v>984</v>
      </c>
      <c r="AB605" t="s">
        <v>984</v>
      </c>
      <c r="AC605" t="s">
        <v>82</v>
      </c>
      <c r="AD605" t="s">
        <v>83</v>
      </c>
      <c r="AE605" t="s">
        <v>66</v>
      </c>
      <c r="AF605" t="s">
        <v>876</v>
      </c>
    </row>
    <row r="606" spans="1:32">
      <c r="A606" t="s">
        <v>3372</v>
      </c>
      <c r="B606" t="s">
        <v>107</v>
      </c>
      <c r="C606" t="s">
        <v>3373</v>
      </c>
      <c r="D606" t="s">
        <v>3373</v>
      </c>
      <c r="E606" t="s">
        <v>109</v>
      </c>
      <c r="F606" t="s">
        <v>947</v>
      </c>
      <c r="G606" t="s">
        <v>948</v>
      </c>
      <c r="H606" t="s">
        <v>66</v>
      </c>
      <c r="I606" t="s">
        <v>66</v>
      </c>
      <c r="J606" t="s">
        <v>67</v>
      </c>
      <c r="K606" t="s">
        <v>71</v>
      </c>
      <c r="L606" t="s">
        <v>72</v>
      </c>
      <c r="M606" t="s">
        <v>73</v>
      </c>
      <c r="N606" t="s">
        <v>66</v>
      </c>
      <c r="O606" t="s">
        <v>73</v>
      </c>
      <c r="P606" t="s">
        <v>66</v>
      </c>
      <c r="Q606" t="s">
        <v>979</v>
      </c>
      <c r="R606" t="s">
        <v>73</v>
      </c>
      <c r="S606" t="s">
        <v>979</v>
      </c>
      <c r="T606" t="s">
        <v>3374</v>
      </c>
      <c r="U606" t="s">
        <v>3375</v>
      </c>
      <c r="V606" t="s">
        <v>982</v>
      </c>
      <c r="W606" t="s">
        <v>66</v>
      </c>
      <c r="X606" t="s">
        <v>78</v>
      </c>
      <c r="Y606" t="s">
        <v>3376</v>
      </c>
      <c r="Z606" t="s">
        <v>182</v>
      </c>
      <c r="AA606" t="s">
        <v>984</v>
      </c>
      <c r="AB606" t="s">
        <v>984</v>
      </c>
      <c r="AC606" t="s">
        <v>82</v>
      </c>
      <c r="AD606" t="s">
        <v>83</v>
      </c>
      <c r="AE606" t="s">
        <v>66</v>
      </c>
      <c r="AF606" t="s">
        <v>876</v>
      </c>
    </row>
    <row r="607" spans="1:32">
      <c r="A607" t="s">
        <v>3377</v>
      </c>
      <c r="B607" t="s">
        <v>1101</v>
      </c>
      <c r="C607" t="s">
        <v>3378</v>
      </c>
      <c r="D607" t="s">
        <v>66</v>
      </c>
      <c r="E607" t="s">
        <v>67</v>
      </c>
      <c r="F607" t="s">
        <v>110</v>
      </c>
      <c r="G607" t="s">
        <v>111</v>
      </c>
      <c r="H607" t="s">
        <v>66</v>
      </c>
      <c r="I607" t="s">
        <v>66</v>
      </c>
      <c r="J607" t="s">
        <v>67</v>
      </c>
      <c r="K607" t="s">
        <v>71</v>
      </c>
      <c r="L607" t="s">
        <v>72</v>
      </c>
      <c r="M607" t="s">
        <v>73</v>
      </c>
      <c r="N607" t="s">
        <v>66</v>
      </c>
      <c r="O607" t="s">
        <v>73</v>
      </c>
      <c r="P607" t="s">
        <v>66</v>
      </c>
      <c r="Q607" t="s">
        <v>979</v>
      </c>
      <c r="R607" t="s">
        <v>73</v>
      </c>
      <c r="S607" t="s">
        <v>979</v>
      </c>
      <c r="T607" t="s">
        <v>3379</v>
      </c>
      <c r="U607" t="s">
        <v>3380</v>
      </c>
      <c r="V607" t="s">
        <v>982</v>
      </c>
      <c r="W607" t="s">
        <v>66</v>
      </c>
      <c r="X607" t="s">
        <v>78</v>
      </c>
      <c r="Y607" t="s">
        <v>3381</v>
      </c>
      <c r="Z607" t="s">
        <v>182</v>
      </c>
      <c r="AA607" t="s">
        <v>984</v>
      </c>
      <c r="AB607" t="s">
        <v>984</v>
      </c>
      <c r="AC607" t="s">
        <v>82</v>
      </c>
      <c r="AD607" t="s">
        <v>83</v>
      </c>
      <c r="AE607" t="s">
        <v>66</v>
      </c>
      <c r="AF607" t="s">
        <v>876</v>
      </c>
    </row>
    <row r="608" spans="1:32">
      <c r="A608" t="s">
        <v>3382</v>
      </c>
      <c r="B608" t="s">
        <v>1004</v>
      </c>
      <c r="C608" t="s">
        <v>3383</v>
      </c>
      <c r="D608" t="s">
        <v>66</v>
      </c>
      <c r="E608" t="s">
        <v>67</v>
      </c>
      <c r="F608" t="s">
        <v>68</v>
      </c>
      <c r="G608" t="s">
        <v>69</v>
      </c>
      <c r="H608" t="s">
        <v>66</v>
      </c>
      <c r="I608" t="s">
        <v>66</v>
      </c>
      <c r="J608" t="s">
        <v>67</v>
      </c>
      <c r="K608" t="s">
        <v>71</v>
      </c>
      <c r="L608" t="s">
        <v>72</v>
      </c>
      <c r="M608" t="s">
        <v>73</v>
      </c>
      <c r="N608" t="s">
        <v>66</v>
      </c>
      <c r="O608" t="s">
        <v>73</v>
      </c>
      <c r="P608" t="s">
        <v>66</v>
      </c>
      <c r="Q608" t="s">
        <v>979</v>
      </c>
      <c r="R608" t="s">
        <v>73</v>
      </c>
      <c r="S608" t="s">
        <v>979</v>
      </c>
      <c r="T608" t="s">
        <v>3384</v>
      </c>
      <c r="U608" t="s">
        <v>3385</v>
      </c>
      <c r="V608" t="s">
        <v>982</v>
      </c>
      <c r="W608" t="s">
        <v>66</v>
      </c>
      <c r="X608" t="s">
        <v>78</v>
      </c>
      <c r="Y608" t="s">
        <v>3386</v>
      </c>
      <c r="Z608" t="s">
        <v>182</v>
      </c>
      <c r="AA608" t="s">
        <v>984</v>
      </c>
      <c r="AB608" t="s">
        <v>984</v>
      </c>
      <c r="AC608" t="s">
        <v>82</v>
      </c>
      <c r="AD608" t="s">
        <v>83</v>
      </c>
      <c r="AE608" t="s">
        <v>66</v>
      </c>
      <c r="AF608" t="s">
        <v>876</v>
      </c>
    </row>
    <row r="609" spans="1:32">
      <c r="A609" t="s">
        <v>3387</v>
      </c>
      <c r="B609" t="s">
        <v>308</v>
      </c>
      <c r="C609" t="s">
        <v>3388</v>
      </c>
      <c r="D609" t="s">
        <v>3388</v>
      </c>
      <c r="E609" t="s">
        <v>109</v>
      </c>
      <c r="F609" t="s">
        <v>110</v>
      </c>
      <c r="G609" t="s">
        <v>111</v>
      </c>
      <c r="H609" t="s">
        <v>66</v>
      </c>
      <c r="I609" t="s">
        <v>66</v>
      </c>
      <c r="J609" t="s">
        <v>67</v>
      </c>
      <c r="K609" t="s">
        <v>71</v>
      </c>
      <c r="L609" t="s">
        <v>72</v>
      </c>
      <c r="M609" t="s">
        <v>73</v>
      </c>
      <c r="N609" t="s">
        <v>66</v>
      </c>
      <c r="O609" t="s">
        <v>73</v>
      </c>
      <c r="P609" t="s">
        <v>66</v>
      </c>
      <c r="Q609" t="s">
        <v>979</v>
      </c>
      <c r="R609" t="s">
        <v>73</v>
      </c>
      <c r="S609" t="s">
        <v>979</v>
      </c>
      <c r="T609" t="s">
        <v>3389</v>
      </c>
      <c r="U609" t="s">
        <v>3390</v>
      </c>
      <c r="V609" t="s">
        <v>982</v>
      </c>
      <c r="W609" t="s">
        <v>66</v>
      </c>
      <c r="X609" t="s">
        <v>78</v>
      </c>
      <c r="Y609" t="s">
        <v>3391</v>
      </c>
      <c r="Z609" t="s">
        <v>182</v>
      </c>
      <c r="AA609" t="s">
        <v>984</v>
      </c>
      <c r="AB609" t="s">
        <v>984</v>
      </c>
      <c r="AC609" t="s">
        <v>82</v>
      </c>
      <c r="AD609" t="s">
        <v>83</v>
      </c>
      <c r="AE609" t="s">
        <v>66</v>
      </c>
      <c r="AF609" t="s">
        <v>876</v>
      </c>
    </row>
    <row r="610" spans="1:32">
      <c r="A610" t="s">
        <v>3392</v>
      </c>
      <c r="B610" t="s">
        <v>162</v>
      </c>
      <c r="C610" t="s">
        <v>3393</v>
      </c>
      <c r="D610" t="s">
        <v>66</v>
      </c>
      <c r="E610" t="s">
        <v>67</v>
      </c>
      <c r="F610" t="s">
        <v>164</v>
      </c>
      <c r="G610" t="s">
        <v>165</v>
      </c>
      <c r="H610" t="s">
        <v>66</v>
      </c>
      <c r="I610" t="s">
        <v>66</v>
      </c>
      <c r="J610" t="s">
        <v>67</v>
      </c>
      <c r="K610" t="s">
        <v>71</v>
      </c>
      <c r="L610" t="s">
        <v>72</v>
      </c>
      <c r="M610" t="s">
        <v>73</v>
      </c>
      <c r="N610" t="s">
        <v>66</v>
      </c>
      <c r="O610" t="s">
        <v>73</v>
      </c>
      <c r="P610" t="s">
        <v>66</v>
      </c>
      <c r="Q610" t="s">
        <v>979</v>
      </c>
      <c r="R610" t="s">
        <v>73</v>
      </c>
      <c r="S610" t="s">
        <v>979</v>
      </c>
      <c r="T610" t="s">
        <v>3394</v>
      </c>
      <c r="U610" t="s">
        <v>3395</v>
      </c>
      <c r="V610" t="s">
        <v>982</v>
      </c>
      <c r="W610" t="s">
        <v>66</v>
      </c>
      <c r="X610" t="s">
        <v>78</v>
      </c>
      <c r="Y610" t="s">
        <v>3396</v>
      </c>
      <c r="Z610" t="s">
        <v>182</v>
      </c>
      <c r="AA610" t="s">
        <v>984</v>
      </c>
      <c r="AB610" t="s">
        <v>984</v>
      </c>
      <c r="AC610" t="s">
        <v>82</v>
      </c>
      <c r="AD610" t="s">
        <v>83</v>
      </c>
      <c r="AE610" t="s">
        <v>66</v>
      </c>
      <c r="AF610" t="s">
        <v>876</v>
      </c>
    </row>
    <row r="611" spans="1:32">
      <c r="A611" t="s">
        <v>3397</v>
      </c>
      <c r="B611" t="s">
        <v>1197</v>
      </c>
      <c r="C611" t="s">
        <v>3398</v>
      </c>
      <c r="D611" t="s">
        <v>3398</v>
      </c>
      <c r="E611" t="s">
        <v>109</v>
      </c>
      <c r="F611" t="s">
        <v>110</v>
      </c>
      <c r="G611" t="s">
        <v>111</v>
      </c>
      <c r="H611" t="s">
        <v>66</v>
      </c>
      <c r="I611" t="s">
        <v>66</v>
      </c>
      <c r="J611" t="s">
        <v>67</v>
      </c>
      <c r="K611" t="s">
        <v>71</v>
      </c>
      <c r="L611" t="s">
        <v>72</v>
      </c>
      <c r="M611" t="s">
        <v>73</v>
      </c>
      <c r="N611" t="s">
        <v>66</v>
      </c>
      <c r="O611" t="s">
        <v>73</v>
      </c>
      <c r="P611" t="s">
        <v>66</v>
      </c>
      <c r="Q611" t="s">
        <v>979</v>
      </c>
      <c r="R611" t="s">
        <v>73</v>
      </c>
      <c r="S611" t="s">
        <v>979</v>
      </c>
      <c r="T611" t="s">
        <v>3399</v>
      </c>
      <c r="U611" t="s">
        <v>3400</v>
      </c>
      <c r="V611" t="s">
        <v>982</v>
      </c>
      <c r="W611" t="s">
        <v>66</v>
      </c>
      <c r="X611" t="s">
        <v>78</v>
      </c>
      <c r="Y611" t="s">
        <v>3401</v>
      </c>
      <c r="Z611" t="s">
        <v>182</v>
      </c>
      <c r="AA611" t="s">
        <v>984</v>
      </c>
      <c r="AB611" t="s">
        <v>984</v>
      </c>
      <c r="AC611" t="s">
        <v>82</v>
      </c>
      <c r="AD611" t="s">
        <v>83</v>
      </c>
      <c r="AE611" t="s">
        <v>66</v>
      </c>
      <c r="AF611" t="s">
        <v>876</v>
      </c>
    </row>
    <row r="612" spans="1:32">
      <c r="A612" t="s">
        <v>3402</v>
      </c>
      <c r="B612" t="s">
        <v>3403</v>
      </c>
      <c r="C612" t="s">
        <v>3404</v>
      </c>
      <c r="D612" t="s">
        <v>66</v>
      </c>
      <c r="E612" t="s">
        <v>67</v>
      </c>
      <c r="F612" t="s">
        <v>947</v>
      </c>
      <c r="G612" t="s">
        <v>948</v>
      </c>
      <c r="H612" t="s">
        <v>66</v>
      </c>
      <c r="I612" t="s">
        <v>66</v>
      </c>
      <c r="J612" t="s">
        <v>67</v>
      </c>
      <c r="K612" t="s">
        <v>71</v>
      </c>
      <c r="L612" t="s">
        <v>72</v>
      </c>
      <c r="M612" t="s">
        <v>73</v>
      </c>
      <c r="N612" t="s">
        <v>66</v>
      </c>
      <c r="O612" t="s">
        <v>73</v>
      </c>
      <c r="P612" t="s">
        <v>66</v>
      </c>
      <c r="Q612" t="s">
        <v>979</v>
      </c>
      <c r="R612" t="s">
        <v>73</v>
      </c>
      <c r="S612" t="s">
        <v>979</v>
      </c>
      <c r="T612" t="s">
        <v>3405</v>
      </c>
      <c r="U612" t="s">
        <v>3406</v>
      </c>
      <c r="V612" t="s">
        <v>982</v>
      </c>
      <c r="W612" t="s">
        <v>66</v>
      </c>
      <c r="X612" t="s">
        <v>78</v>
      </c>
      <c r="Y612" t="s">
        <v>3407</v>
      </c>
      <c r="Z612" t="s">
        <v>182</v>
      </c>
      <c r="AA612" t="s">
        <v>984</v>
      </c>
      <c r="AB612" t="s">
        <v>984</v>
      </c>
      <c r="AC612" t="s">
        <v>82</v>
      </c>
      <c r="AD612" t="s">
        <v>83</v>
      </c>
      <c r="AE612" t="s">
        <v>66</v>
      </c>
      <c r="AF612" t="s">
        <v>876</v>
      </c>
    </row>
    <row r="613" spans="1:32">
      <c r="A613" t="s">
        <v>3408</v>
      </c>
      <c r="B613" t="s">
        <v>308</v>
      </c>
      <c r="C613" t="s">
        <v>3409</v>
      </c>
      <c r="D613" t="s">
        <v>3409</v>
      </c>
      <c r="E613" t="s">
        <v>109</v>
      </c>
      <c r="F613" t="s">
        <v>947</v>
      </c>
      <c r="G613" t="s">
        <v>948</v>
      </c>
      <c r="H613" t="s">
        <v>66</v>
      </c>
      <c r="I613" t="s">
        <v>66</v>
      </c>
      <c r="J613" t="s">
        <v>67</v>
      </c>
      <c r="K613" t="s">
        <v>71</v>
      </c>
      <c r="L613" t="s">
        <v>72</v>
      </c>
      <c r="M613" t="s">
        <v>73</v>
      </c>
      <c r="N613" t="s">
        <v>66</v>
      </c>
      <c r="O613" t="s">
        <v>73</v>
      </c>
      <c r="P613" t="s">
        <v>66</v>
      </c>
      <c r="Q613" t="s">
        <v>979</v>
      </c>
      <c r="R613" t="s">
        <v>73</v>
      </c>
      <c r="S613" t="s">
        <v>979</v>
      </c>
      <c r="T613" t="s">
        <v>3410</v>
      </c>
      <c r="U613" t="s">
        <v>3411</v>
      </c>
      <c r="V613" t="s">
        <v>982</v>
      </c>
      <c r="W613" t="s">
        <v>66</v>
      </c>
      <c r="X613" t="s">
        <v>78</v>
      </c>
      <c r="Y613" t="s">
        <v>3412</v>
      </c>
      <c r="Z613" t="s">
        <v>182</v>
      </c>
      <c r="AA613" t="s">
        <v>984</v>
      </c>
      <c r="AB613" t="s">
        <v>984</v>
      </c>
      <c r="AC613" t="s">
        <v>82</v>
      </c>
      <c r="AD613" t="s">
        <v>83</v>
      </c>
      <c r="AE613" t="s">
        <v>66</v>
      </c>
      <c r="AF613" t="s">
        <v>876</v>
      </c>
    </row>
    <row r="614" spans="1:32">
      <c r="A614" t="s">
        <v>3413</v>
      </c>
      <c r="B614" t="s">
        <v>1004</v>
      </c>
      <c r="C614" t="s">
        <v>3414</v>
      </c>
      <c r="D614" t="s">
        <v>66</v>
      </c>
      <c r="E614" t="s">
        <v>67</v>
      </c>
      <c r="F614" t="s">
        <v>68</v>
      </c>
      <c r="G614" t="s">
        <v>69</v>
      </c>
      <c r="H614" t="s">
        <v>66</v>
      </c>
      <c r="I614" t="s">
        <v>66</v>
      </c>
      <c r="J614" t="s">
        <v>67</v>
      </c>
      <c r="K614" t="s">
        <v>71</v>
      </c>
      <c r="L614" t="s">
        <v>72</v>
      </c>
      <c r="M614" t="s">
        <v>73</v>
      </c>
      <c r="N614" t="s">
        <v>66</v>
      </c>
      <c r="O614" t="s">
        <v>73</v>
      </c>
      <c r="P614" t="s">
        <v>66</v>
      </c>
      <c r="Q614" t="s">
        <v>979</v>
      </c>
      <c r="R614" t="s">
        <v>73</v>
      </c>
      <c r="S614" t="s">
        <v>979</v>
      </c>
      <c r="T614" t="s">
        <v>3415</v>
      </c>
      <c r="U614" t="s">
        <v>3416</v>
      </c>
      <c r="V614" t="s">
        <v>982</v>
      </c>
      <c r="W614" t="s">
        <v>66</v>
      </c>
      <c r="X614" t="s">
        <v>78</v>
      </c>
      <c r="Y614" t="s">
        <v>3417</v>
      </c>
      <c r="Z614" t="s">
        <v>182</v>
      </c>
      <c r="AA614" t="s">
        <v>984</v>
      </c>
      <c r="AB614" t="s">
        <v>984</v>
      </c>
      <c r="AC614" t="s">
        <v>82</v>
      </c>
      <c r="AD614" t="s">
        <v>83</v>
      </c>
      <c r="AE614" t="s">
        <v>66</v>
      </c>
      <c r="AF614" t="s">
        <v>876</v>
      </c>
    </row>
    <row r="615" spans="1:32">
      <c r="A615" t="s">
        <v>3418</v>
      </c>
      <c r="B615" t="s">
        <v>841</v>
      </c>
      <c r="C615" t="s">
        <v>3419</v>
      </c>
      <c r="D615" t="s">
        <v>3419</v>
      </c>
      <c r="E615" t="s">
        <v>109</v>
      </c>
      <c r="F615" t="s">
        <v>110</v>
      </c>
      <c r="G615" t="s">
        <v>111</v>
      </c>
      <c r="H615" t="s">
        <v>66</v>
      </c>
      <c r="I615" t="s">
        <v>66</v>
      </c>
      <c r="J615" t="s">
        <v>67</v>
      </c>
      <c r="K615" t="s">
        <v>71</v>
      </c>
      <c r="L615" t="s">
        <v>72</v>
      </c>
      <c r="M615" t="s">
        <v>73</v>
      </c>
      <c r="N615" t="s">
        <v>66</v>
      </c>
      <c r="O615" t="s">
        <v>73</v>
      </c>
      <c r="P615" t="s">
        <v>66</v>
      </c>
      <c r="Q615" t="s">
        <v>979</v>
      </c>
      <c r="R615" t="s">
        <v>73</v>
      </c>
      <c r="S615" t="s">
        <v>979</v>
      </c>
      <c r="T615" t="s">
        <v>3420</v>
      </c>
      <c r="U615" t="s">
        <v>3421</v>
      </c>
      <c r="V615" t="s">
        <v>982</v>
      </c>
      <c r="W615" t="s">
        <v>66</v>
      </c>
      <c r="X615" t="s">
        <v>78</v>
      </c>
      <c r="Y615" t="s">
        <v>3422</v>
      </c>
      <c r="Z615" t="s">
        <v>182</v>
      </c>
      <c r="AA615" t="s">
        <v>984</v>
      </c>
      <c r="AB615" t="s">
        <v>984</v>
      </c>
      <c r="AC615" t="s">
        <v>82</v>
      </c>
      <c r="AD615" t="s">
        <v>83</v>
      </c>
      <c r="AE615" t="s">
        <v>66</v>
      </c>
      <c r="AF615" t="s">
        <v>876</v>
      </c>
    </row>
    <row r="616" spans="1:32">
      <c r="A616" t="s">
        <v>3423</v>
      </c>
      <c r="B616" t="s">
        <v>1729</v>
      </c>
      <c r="C616" t="s">
        <v>3424</v>
      </c>
      <c r="D616" t="s">
        <v>3424</v>
      </c>
      <c r="E616" t="s">
        <v>109</v>
      </c>
      <c r="F616" t="s">
        <v>68</v>
      </c>
      <c r="G616" t="s">
        <v>69</v>
      </c>
      <c r="H616" t="s">
        <v>66</v>
      </c>
      <c r="I616" t="s">
        <v>66</v>
      </c>
      <c r="J616" t="s">
        <v>67</v>
      </c>
      <c r="K616" t="s">
        <v>71</v>
      </c>
      <c r="L616" t="s">
        <v>72</v>
      </c>
      <c r="M616" t="s">
        <v>73</v>
      </c>
      <c r="N616" t="s">
        <v>66</v>
      </c>
      <c r="O616" t="s">
        <v>73</v>
      </c>
      <c r="P616" t="s">
        <v>66</v>
      </c>
      <c r="Q616" t="s">
        <v>979</v>
      </c>
      <c r="R616" t="s">
        <v>73</v>
      </c>
      <c r="S616" t="s">
        <v>979</v>
      </c>
      <c r="T616" t="s">
        <v>3425</v>
      </c>
      <c r="U616" t="s">
        <v>3426</v>
      </c>
      <c r="V616" t="s">
        <v>982</v>
      </c>
      <c r="W616" t="s">
        <v>66</v>
      </c>
      <c r="X616" t="s">
        <v>78</v>
      </c>
      <c r="Y616" t="s">
        <v>3427</v>
      </c>
      <c r="Z616" t="s">
        <v>182</v>
      </c>
      <c r="AA616" t="s">
        <v>984</v>
      </c>
      <c r="AB616" t="s">
        <v>984</v>
      </c>
      <c r="AC616" t="s">
        <v>82</v>
      </c>
      <c r="AD616" t="s">
        <v>83</v>
      </c>
      <c r="AE616" t="s">
        <v>66</v>
      </c>
      <c r="AF616" t="s">
        <v>876</v>
      </c>
    </row>
    <row r="617" spans="1:32">
      <c r="A617" t="s">
        <v>3428</v>
      </c>
      <c r="B617" t="s">
        <v>162</v>
      </c>
      <c r="C617" t="s">
        <v>3429</v>
      </c>
      <c r="D617" t="s">
        <v>66</v>
      </c>
      <c r="E617" t="s">
        <v>67</v>
      </c>
      <c r="F617" t="s">
        <v>164</v>
      </c>
      <c r="G617" t="s">
        <v>165</v>
      </c>
      <c r="H617" t="s">
        <v>66</v>
      </c>
      <c r="I617" t="s">
        <v>66</v>
      </c>
      <c r="J617" t="s">
        <v>67</v>
      </c>
      <c r="K617" t="s">
        <v>71</v>
      </c>
      <c r="L617" t="s">
        <v>72</v>
      </c>
      <c r="M617" t="s">
        <v>73</v>
      </c>
      <c r="N617" t="s">
        <v>66</v>
      </c>
      <c r="O617" t="s">
        <v>73</v>
      </c>
      <c r="P617" t="s">
        <v>66</v>
      </c>
      <c r="Q617" t="s">
        <v>979</v>
      </c>
      <c r="R617" t="s">
        <v>73</v>
      </c>
      <c r="S617" t="s">
        <v>979</v>
      </c>
      <c r="T617" t="s">
        <v>3430</v>
      </c>
      <c r="U617" t="s">
        <v>3431</v>
      </c>
      <c r="V617" t="s">
        <v>982</v>
      </c>
      <c r="W617" t="s">
        <v>66</v>
      </c>
      <c r="X617" t="s">
        <v>78</v>
      </c>
      <c r="Y617" t="s">
        <v>3432</v>
      </c>
      <c r="Z617" t="s">
        <v>182</v>
      </c>
      <c r="AA617" t="s">
        <v>984</v>
      </c>
      <c r="AB617" t="s">
        <v>984</v>
      </c>
      <c r="AC617" t="s">
        <v>82</v>
      </c>
      <c r="AD617" t="s">
        <v>83</v>
      </c>
      <c r="AE617" t="s">
        <v>66</v>
      </c>
      <c r="AF617" t="s">
        <v>876</v>
      </c>
    </row>
    <row r="618" spans="1:32">
      <c r="A618" t="s">
        <v>3433</v>
      </c>
      <c r="B618" t="s">
        <v>308</v>
      </c>
      <c r="C618" t="s">
        <v>3434</v>
      </c>
      <c r="D618" t="s">
        <v>3434</v>
      </c>
      <c r="E618" t="s">
        <v>109</v>
      </c>
      <c r="F618" t="s">
        <v>947</v>
      </c>
      <c r="G618" t="s">
        <v>948</v>
      </c>
      <c r="H618" t="s">
        <v>66</v>
      </c>
      <c r="I618" t="s">
        <v>66</v>
      </c>
      <c r="J618" t="s">
        <v>67</v>
      </c>
      <c r="K618" t="s">
        <v>71</v>
      </c>
      <c r="L618" t="s">
        <v>72</v>
      </c>
      <c r="M618" t="s">
        <v>73</v>
      </c>
      <c r="N618" t="s">
        <v>66</v>
      </c>
      <c r="O618" t="s">
        <v>73</v>
      </c>
      <c r="P618" t="s">
        <v>66</v>
      </c>
      <c r="Q618" t="s">
        <v>979</v>
      </c>
      <c r="R618" t="s">
        <v>73</v>
      </c>
      <c r="S618" t="s">
        <v>979</v>
      </c>
      <c r="T618" t="s">
        <v>3435</v>
      </c>
      <c r="U618" t="s">
        <v>3436</v>
      </c>
      <c r="V618" t="s">
        <v>982</v>
      </c>
      <c r="W618" t="s">
        <v>66</v>
      </c>
      <c r="X618" t="s">
        <v>78</v>
      </c>
      <c r="Y618" t="s">
        <v>3437</v>
      </c>
      <c r="Z618" t="s">
        <v>182</v>
      </c>
      <c r="AA618" t="s">
        <v>984</v>
      </c>
      <c r="AB618" t="s">
        <v>984</v>
      </c>
      <c r="AC618" t="s">
        <v>82</v>
      </c>
      <c r="AD618" t="s">
        <v>83</v>
      </c>
      <c r="AE618" t="s">
        <v>66</v>
      </c>
      <c r="AF618" t="s">
        <v>876</v>
      </c>
    </row>
    <row r="619" spans="1:32">
      <c r="A619" t="s">
        <v>3438</v>
      </c>
      <c r="B619" t="s">
        <v>1004</v>
      </c>
      <c r="C619" t="s">
        <v>3439</v>
      </c>
      <c r="D619" t="s">
        <v>66</v>
      </c>
      <c r="E619" t="s">
        <v>67</v>
      </c>
      <c r="F619" t="s">
        <v>68</v>
      </c>
      <c r="G619" t="s">
        <v>69</v>
      </c>
      <c r="H619" t="s">
        <v>66</v>
      </c>
      <c r="I619" t="s">
        <v>66</v>
      </c>
      <c r="J619" t="s">
        <v>67</v>
      </c>
      <c r="K619" t="s">
        <v>71</v>
      </c>
      <c r="L619" t="s">
        <v>72</v>
      </c>
      <c r="M619" t="s">
        <v>73</v>
      </c>
      <c r="N619" t="s">
        <v>66</v>
      </c>
      <c r="O619" t="s">
        <v>73</v>
      </c>
      <c r="P619" t="s">
        <v>66</v>
      </c>
      <c r="Q619" t="s">
        <v>979</v>
      </c>
      <c r="R619" t="s">
        <v>73</v>
      </c>
      <c r="S619" t="s">
        <v>979</v>
      </c>
      <c r="T619" t="s">
        <v>3440</v>
      </c>
      <c r="U619" t="s">
        <v>3441</v>
      </c>
      <c r="V619" t="s">
        <v>982</v>
      </c>
      <c r="W619" t="s">
        <v>66</v>
      </c>
      <c r="X619" t="s">
        <v>78</v>
      </c>
      <c r="Y619" t="s">
        <v>3442</v>
      </c>
      <c r="Z619" t="s">
        <v>182</v>
      </c>
      <c r="AA619" t="s">
        <v>984</v>
      </c>
      <c r="AB619" t="s">
        <v>984</v>
      </c>
      <c r="AC619" t="s">
        <v>82</v>
      </c>
      <c r="AD619" t="s">
        <v>83</v>
      </c>
      <c r="AE619" t="s">
        <v>66</v>
      </c>
      <c r="AF619" t="s">
        <v>876</v>
      </c>
    </row>
    <row r="620" spans="1:32">
      <c r="A620" t="s">
        <v>3443</v>
      </c>
      <c r="B620" t="s">
        <v>841</v>
      </c>
      <c r="C620" t="s">
        <v>3444</v>
      </c>
      <c r="D620" t="s">
        <v>3444</v>
      </c>
      <c r="E620" t="s">
        <v>109</v>
      </c>
      <c r="F620" t="s">
        <v>110</v>
      </c>
      <c r="G620" t="s">
        <v>111</v>
      </c>
      <c r="H620" t="s">
        <v>66</v>
      </c>
      <c r="I620" t="s">
        <v>66</v>
      </c>
      <c r="J620" t="s">
        <v>67</v>
      </c>
      <c r="K620" t="s">
        <v>71</v>
      </c>
      <c r="L620" t="s">
        <v>72</v>
      </c>
      <c r="M620" t="s">
        <v>73</v>
      </c>
      <c r="N620" t="s">
        <v>66</v>
      </c>
      <c r="O620" t="s">
        <v>73</v>
      </c>
      <c r="P620" t="s">
        <v>66</v>
      </c>
      <c r="Q620" t="s">
        <v>979</v>
      </c>
      <c r="R620" t="s">
        <v>73</v>
      </c>
      <c r="S620" t="s">
        <v>979</v>
      </c>
      <c r="T620" t="s">
        <v>3445</v>
      </c>
      <c r="U620" t="s">
        <v>3446</v>
      </c>
      <c r="V620" t="s">
        <v>982</v>
      </c>
      <c r="W620" t="s">
        <v>66</v>
      </c>
      <c r="X620" t="s">
        <v>78</v>
      </c>
      <c r="Y620" t="s">
        <v>3447</v>
      </c>
      <c r="Z620" t="s">
        <v>182</v>
      </c>
      <c r="AA620" t="s">
        <v>984</v>
      </c>
      <c r="AB620" t="s">
        <v>984</v>
      </c>
      <c r="AC620" t="s">
        <v>82</v>
      </c>
      <c r="AD620" t="s">
        <v>83</v>
      </c>
      <c r="AE620" t="s">
        <v>66</v>
      </c>
      <c r="AF620" t="s">
        <v>876</v>
      </c>
    </row>
    <row r="621" spans="1:32">
      <c r="A621" t="s">
        <v>3448</v>
      </c>
      <c r="B621" t="s">
        <v>173</v>
      </c>
      <c r="C621" t="s">
        <v>3449</v>
      </c>
      <c r="D621" t="s">
        <v>66</v>
      </c>
      <c r="E621" t="s">
        <v>67</v>
      </c>
      <c r="F621" t="s">
        <v>175</v>
      </c>
      <c r="G621" t="s">
        <v>176</v>
      </c>
      <c r="H621" t="s">
        <v>66</v>
      </c>
      <c r="I621" t="s">
        <v>66</v>
      </c>
      <c r="J621" t="s">
        <v>67</v>
      </c>
      <c r="K621" t="s">
        <v>71</v>
      </c>
      <c r="L621" t="s">
        <v>72</v>
      </c>
      <c r="M621" t="s">
        <v>73</v>
      </c>
      <c r="N621" t="s">
        <v>66</v>
      </c>
      <c r="O621" t="s">
        <v>73</v>
      </c>
      <c r="P621" t="s">
        <v>66</v>
      </c>
      <c r="Q621" t="s">
        <v>979</v>
      </c>
      <c r="R621" t="s">
        <v>73</v>
      </c>
      <c r="S621" t="s">
        <v>979</v>
      </c>
      <c r="T621" t="s">
        <v>3450</v>
      </c>
      <c r="U621" t="s">
        <v>3451</v>
      </c>
      <c r="V621" t="s">
        <v>982</v>
      </c>
      <c r="W621" t="s">
        <v>66</v>
      </c>
      <c r="X621" t="s">
        <v>78</v>
      </c>
      <c r="Y621" t="s">
        <v>3452</v>
      </c>
      <c r="Z621" t="s">
        <v>182</v>
      </c>
      <c r="AA621" t="s">
        <v>984</v>
      </c>
      <c r="AB621" t="s">
        <v>984</v>
      </c>
      <c r="AC621" t="s">
        <v>82</v>
      </c>
      <c r="AD621" t="s">
        <v>83</v>
      </c>
      <c r="AE621" t="s">
        <v>66</v>
      </c>
      <c r="AF621" t="s">
        <v>876</v>
      </c>
    </row>
    <row r="622" spans="1:32">
      <c r="A622" t="s">
        <v>3453</v>
      </c>
      <c r="B622" t="s">
        <v>86</v>
      </c>
      <c r="C622" t="s">
        <v>3454</v>
      </c>
      <c r="D622" t="s">
        <v>66</v>
      </c>
      <c r="E622" t="s">
        <v>67</v>
      </c>
      <c r="F622" t="s">
        <v>68</v>
      </c>
      <c r="G622" t="s">
        <v>69</v>
      </c>
      <c r="H622" t="s">
        <v>66</v>
      </c>
      <c r="I622" t="s">
        <v>66</v>
      </c>
      <c r="J622" t="s">
        <v>67</v>
      </c>
      <c r="K622" t="s">
        <v>71</v>
      </c>
      <c r="L622" t="s">
        <v>72</v>
      </c>
      <c r="M622" t="s">
        <v>73</v>
      </c>
      <c r="N622" t="s">
        <v>66</v>
      </c>
      <c r="O622" t="s">
        <v>73</v>
      </c>
      <c r="P622" t="s">
        <v>66</v>
      </c>
      <c r="Q622" t="s">
        <v>979</v>
      </c>
      <c r="R622" t="s">
        <v>73</v>
      </c>
      <c r="S622" t="s">
        <v>979</v>
      </c>
      <c r="T622" t="s">
        <v>3455</v>
      </c>
      <c r="U622" t="s">
        <v>3456</v>
      </c>
      <c r="V622" t="s">
        <v>982</v>
      </c>
      <c r="W622" t="s">
        <v>66</v>
      </c>
      <c r="X622" t="s">
        <v>78</v>
      </c>
      <c r="Y622" t="s">
        <v>3457</v>
      </c>
      <c r="Z622" t="s">
        <v>182</v>
      </c>
      <c r="AA622" t="s">
        <v>984</v>
      </c>
      <c r="AB622" t="s">
        <v>984</v>
      </c>
      <c r="AC622" t="s">
        <v>82</v>
      </c>
      <c r="AD622" t="s">
        <v>83</v>
      </c>
      <c r="AE622" t="s">
        <v>66</v>
      </c>
      <c r="AF622" t="s">
        <v>876</v>
      </c>
    </row>
    <row r="623" spans="1:32">
      <c r="A623" t="s">
        <v>3458</v>
      </c>
      <c r="B623" t="s">
        <v>308</v>
      </c>
      <c r="C623" t="s">
        <v>3459</v>
      </c>
      <c r="D623" t="s">
        <v>3459</v>
      </c>
      <c r="E623" t="s">
        <v>109</v>
      </c>
      <c r="F623" t="s">
        <v>110</v>
      </c>
      <c r="G623" t="s">
        <v>111</v>
      </c>
      <c r="H623" t="s">
        <v>66</v>
      </c>
      <c r="I623" t="s">
        <v>66</v>
      </c>
      <c r="J623" t="s">
        <v>67</v>
      </c>
      <c r="K623" t="s">
        <v>71</v>
      </c>
      <c r="L623" t="s">
        <v>72</v>
      </c>
      <c r="M623" t="s">
        <v>73</v>
      </c>
      <c r="N623" t="s">
        <v>66</v>
      </c>
      <c r="O623" t="s">
        <v>73</v>
      </c>
      <c r="P623" t="s">
        <v>66</v>
      </c>
      <c r="Q623" t="s">
        <v>979</v>
      </c>
      <c r="R623" t="s">
        <v>73</v>
      </c>
      <c r="S623" t="s">
        <v>979</v>
      </c>
      <c r="T623" t="s">
        <v>3460</v>
      </c>
      <c r="U623" t="s">
        <v>3461</v>
      </c>
      <c r="V623" t="s">
        <v>982</v>
      </c>
      <c r="W623" t="s">
        <v>66</v>
      </c>
      <c r="X623" t="s">
        <v>78</v>
      </c>
      <c r="Y623" t="s">
        <v>3462</v>
      </c>
      <c r="Z623" t="s">
        <v>182</v>
      </c>
      <c r="AA623" t="s">
        <v>984</v>
      </c>
      <c r="AB623" t="s">
        <v>984</v>
      </c>
      <c r="AC623" t="s">
        <v>82</v>
      </c>
      <c r="AD623" t="s">
        <v>83</v>
      </c>
      <c r="AE623" t="s">
        <v>66</v>
      </c>
      <c r="AF623" t="s">
        <v>876</v>
      </c>
    </row>
    <row r="624" spans="1:32">
      <c r="A624" t="s">
        <v>3463</v>
      </c>
      <c r="B624" t="s">
        <v>1373</v>
      </c>
      <c r="C624" t="s">
        <v>3464</v>
      </c>
      <c r="D624" t="s">
        <v>66</v>
      </c>
      <c r="E624" t="s">
        <v>67</v>
      </c>
      <c r="F624" t="s">
        <v>68</v>
      </c>
      <c r="G624" t="s">
        <v>69</v>
      </c>
      <c r="H624" t="s">
        <v>66</v>
      </c>
      <c r="I624" t="s">
        <v>66</v>
      </c>
      <c r="J624" t="s">
        <v>67</v>
      </c>
      <c r="K624" t="s">
        <v>71</v>
      </c>
      <c r="L624" t="s">
        <v>72</v>
      </c>
      <c r="M624" t="s">
        <v>73</v>
      </c>
      <c r="N624" t="s">
        <v>66</v>
      </c>
      <c r="O624" t="s">
        <v>73</v>
      </c>
      <c r="P624" t="s">
        <v>66</v>
      </c>
      <c r="Q624" t="s">
        <v>979</v>
      </c>
      <c r="R624" t="s">
        <v>73</v>
      </c>
      <c r="S624" t="s">
        <v>979</v>
      </c>
      <c r="T624" t="s">
        <v>3465</v>
      </c>
      <c r="U624" t="s">
        <v>3466</v>
      </c>
      <c r="V624" t="s">
        <v>982</v>
      </c>
      <c r="W624" t="s">
        <v>66</v>
      </c>
      <c r="X624" t="s">
        <v>78</v>
      </c>
      <c r="Y624" t="s">
        <v>3467</v>
      </c>
      <c r="Z624" t="s">
        <v>182</v>
      </c>
      <c r="AA624" t="s">
        <v>984</v>
      </c>
      <c r="AB624" t="s">
        <v>984</v>
      </c>
      <c r="AC624" t="s">
        <v>82</v>
      </c>
      <c r="AD624" t="s">
        <v>83</v>
      </c>
      <c r="AE624" t="s">
        <v>66</v>
      </c>
      <c r="AF624" t="s">
        <v>876</v>
      </c>
    </row>
    <row r="625" spans="1:32">
      <c r="A625" t="s">
        <v>3468</v>
      </c>
      <c r="B625" t="s">
        <v>1058</v>
      </c>
      <c r="C625" t="s">
        <v>3469</v>
      </c>
      <c r="D625" t="s">
        <v>3469</v>
      </c>
      <c r="E625" t="s">
        <v>109</v>
      </c>
      <c r="F625" t="s">
        <v>110</v>
      </c>
      <c r="G625" t="s">
        <v>111</v>
      </c>
      <c r="H625" t="s">
        <v>66</v>
      </c>
      <c r="I625" t="s">
        <v>66</v>
      </c>
      <c r="J625" t="s">
        <v>67</v>
      </c>
      <c r="K625" t="s">
        <v>71</v>
      </c>
      <c r="L625" t="s">
        <v>72</v>
      </c>
      <c r="M625" t="s">
        <v>73</v>
      </c>
      <c r="N625" t="s">
        <v>66</v>
      </c>
      <c r="O625" t="s">
        <v>73</v>
      </c>
      <c r="P625" t="s">
        <v>66</v>
      </c>
      <c r="Q625" t="s">
        <v>979</v>
      </c>
      <c r="R625" t="s">
        <v>73</v>
      </c>
      <c r="S625" t="s">
        <v>979</v>
      </c>
      <c r="T625" t="s">
        <v>3470</v>
      </c>
      <c r="U625" t="s">
        <v>3471</v>
      </c>
      <c r="V625" t="s">
        <v>982</v>
      </c>
      <c r="W625" t="s">
        <v>66</v>
      </c>
      <c r="X625" t="s">
        <v>78</v>
      </c>
      <c r="Y625" t="s">
        <v>3472</v>
      </c>
      <c r="Z625" t="s">
        <v>182</v>
      </c>
      <c r="AA625" t="s">
        <v>984</v>
      </c>
      <c r="AB625" t="s">
        <v>984</v>
      </c>
      <c r="AC625" t="s">
        <v>82</v>
      </c>
      <c r="AD625" t="s">
        <v>83</v>
      </c>
      <c r="AE625" t="s">
        <v>66</v>
      </c>
      <c r="AF625" t="s">
        <v>876</v>
      </c>
    </row>
    <row r="626" spans="1:32">
      <c r="A626" t="s">
        <v>3473</v>
      </c>
      <c r="B626" t="s">
        <v>162</v>
      </c>
      <c r="C626" t="s">
        <v>3474</v>
      </c>
      <c r="D626" t="s">
        <v>66</v>
      </c>
      <c r="E626" t="s">
        <v>67</v>
      </c>
      <c r="F626" t="s">
        <v>164</v>
      </c>
      <c r="G626" t="s">
        <v>165</v>
      </c>
      <c r="H626" t="s">
        <v>66</v>
      </c>
      <c r="I626" t="s">
        <v>66</v>
      </c>
      <c r="J626" t="s">
        <v>67</v>
      </c>
      <c r="K626" t="s">
        <v>71</v>
      </c>
      <c r="L626" t="s">
        <v>72</v>
      </c>
      <c r="M626" t="s">
        <v>73</v>
      </c>
      <c r="N626" t="s">
        <v>66</v>
      </c>
      <c r="O626" t="s">
        <v>73</v>
      </c>
      <c r="P626" t="s">
        <v>66</v>
      </c>
      <c r="Q626" t="s">
        <v>979</v>
      </c>
      <c r="R626" t="s">
        <v>73</v>
      </c>
      <c r="S626" t="s">
        <v>979</v>
      </c>
      <c r="T626" t="s">
        <v>3475</v>
      </c>
      <c r="U626" t="s">
        <v>3476</v>
      </c>
      <c r="V626" t="s">
        <v>982</v>
      </c>
      <c r="W626" t="s">
        <v>66</v>
      </c>
      <c r="X626" t="s">
        <v>78</v>
      </c>
      <c r="Y626" t="s">
        <v>3477</v>
      </c>
      <c r="Z626" t="s">
        <v>182</v>
      </c>
      <c r="AA626" t="s">
        <v>984</v>
      </c>
      <c r="AB626" t="s">
        <v>984</v>
      </c>
      <c r="AC626" t="s">
        <v>82</v>
      </c>
      <c r="AD626" t="s">
        <v>83</v>
      </c>
      <c r="AE626" t="s">
        <v>66</v>
      </c>
      <c r="AF626" t="s">
        <v>876</v>
      </c>
    </row>
    <row r="627" spans="1:32">
      <c r="A627" t="s">
        <v>3478</v>
      </c>
      <c r="B627" t="s">
        <v>130</v>
      </c>
      <c r="C627" t="s">
        <v>3479</v>
      </c>
      <c r="D627" t="s">
        <v>3479</v>
      </c>
      <c r="E627" t="s">
        <v>109</v>
      </c>
      <c r="F627" t="s">
        <v>110</v>
      </c>
      <c r="G627" t="s">
        <v>111</v>
      </c>
      <c r="H627" t="s">
        <v>66</v>
      </c>
      <c r="I627" t="s">
        <v>66</v>
      </c>
      <c r="J627" t="s">
        <v>67</v>
      </c>
      <c r="K627" t="s">
        <v>71</v>
      </c>
      <c r="L627" t="s">
        <v>72</v>
      </c>
      <c r="M627" t="s">
        <v>73</v>
      </c>
      <c r="N627" t="s">
        <v>66</v>
      </c>
      <c r="O627" t="s">
        <v>73</v>
      </c>
      <c r="P627" t="s">
        <v>66</v>
      </c>
      <c r="Q627" t="s">
        <v>979</v>
      </c>
      <c r="R627" t="s">
        <v>73</v>
      </c>
      <c r="S627" t="s">
        <v>979</v>
      </c>
      <c r="T627" t="s">
        <v>3480</v>
      </c>
      <c r="U627" t="s">
        <v>3481</v>
      </c>
      <c r="V627" t="s">
        <v>982</v>
      </c>
      <c r="W627" t="s">
        <v>66</v>
      </c>
      <c r="X627" t="s">
        <v>78</v>
      </c>
      <c r="Y627" t="s">
        <v>3482</v>
      </c>
      <c r="Z627" t="s">
        <v>182</v>
      </c>
      <c r="AA627" t="s">
        <v>984</v>
      </c>
      <c r="AB627" t="s">
        <v>984</v>
      </c>
      <c r="AC627" t="s">
        <v>82</v>
      </c>
      <c r="AD627" t="s">
        <v>83</v>
      </c>
      <c r="AE627" t="s">
        <v>66</v>
      </c>
      <c r="AF627" t="s">
        <v>876</v>
      </c>
    </row>
    <row r="628" spans="1:32">
      <c r="A628" t="s">
        <v>3483</v>
      </c>
      <c r="B628" t="s">
        <v>1004</v>
      </c>
      <c r="C628" t="s">
        <v>3484</v>
      </c>
      <c r="D628" t="s">
        <v>66</v>
      </c>
      <c r="E628" t="s">
        <v>67</v>
      </c>
      <c r="F628" t="s">
        <v>68</v>
      </c>
      <c r="G628" t="s">
        <v>69</v>
      </c>
      <c r="H628" t="s">
        <v>66</v>
      </c>
      <c r="I628" t="s">
        <v>66</v>
      </c>
      <c r="J628" t="s">
        <v>67</v>
      </c>
      <c r="K628" t="s">
        <v>71</v>
      </c>
      <c r="L628" t="s">
        <v>72</v>
      </c>
      <c r="M628" t="s">
        <v>73</v>
      </c>
      <c r="N628" t="s">
        <v>66</v>
      </c>
      <c r="O628" t="s">
        <v>73</v>
      </c>
      <c r="P628" t="s">
        <v>66</v>
      </c>
      <c r="Q628" t="s">
        <v>979</v>
      </c>
      <c r="R628" t="s">
        <v>73</v>
      </c>
      <c r="S628" t="s">
        <v>979</v>
      </c>
      <c r="T628" t="s">
        <v>3485</v>
      </c>
      <c r="U628" t="s">
        <v>3486</v>
      </c>
      <c r="V628" t="s">
        <v>982</v>
      </c>
      <c r="W628" t="s">
        <v>66</v>
      </c>
      <c r="X628" t="s">
        <v>78</v>
      </c>
      <c r="Y628" t="s">
        <v>3487</v>
      </c>
      <c r="Z628" t="s">
        <v>182</v>
      </c>
      <c r="AA628" t="s">
        <v>984</v>
      </c>
      <c r="AB628" t="s">
        <v>984</v>
      </c>
      <c r="AC628" t="s">
        <v>82</v>
      </c>
      <c r="AD628" t="s">
        <v>83</v>
      </c>
      <c r="AE628" t="s">
        <v>66</v>
      </c>
      <c r="AF628" t="s">
        <v>876</v>
      </c>
    </row>
    <row r="629" spans="1:32">
      <c r="A629" t="s">
        <v>3488</v>
      </c>
      <c r="B629" t="s">
        <v>841</v>
      </c>
      <c r="C629" t="s">
        <v>3489</v>
      </c>
      <c r="D629" t="s">
        <v>3489</v>
      </c>
      <c r="E629" t="s">
        <v>109</v>
      </c>
      <c r="F629" t="s">
        <v>110</v>
      </c>
      <c r="G629" t="s">
        <v>111</v>
      </c>
      <c r="H629" t="s">
        <v>66</v>
      </c>
      <c r="I629" t="s">
        <v>66</v>
      </c>
      <c r="J629" t="s">
        <v>67</v>
      </c>
      <c r="K629" t="s">
        <v>71</v>
      </c>
      <c r="L629" t="s">
        <v>72</v>
      </c>
      <c r="M629" t="s">
        <v>73</v>
      </c>
      <c r="N629" t="s">
        <v>66</v>
      </c>
      <c r="O629" t="s">
        <v>73</v>
      </c>
      <c r="P629" t="s">
        <v>66</v>
      </c>
      <c r="Q629" t="s">
        <v>979</v>
      </c>
      <c r="R629" t="s">
        <v>73</v>
      </c>
      <c r="S629" t="s">
        <v>979</v>
      </c>
      <c r="T629" t="s">
        <v>3490</v>
      </c>
      <c r="U629" t="s">
        <v>3491</v>
      </c>
      <c r="V629" t="s">
        <v>982</v>
      </c>
      <c r="W629" t="s">
        <v>66</v>
      </c>
      <c r="X629" t="s">
        <v>78</v>
      </c>
      <c r="Y629" t="s">
        <v>3492</v>
      </c>
      <c r="Z629" t="s">
        <v>182</v>
      </c>
      <c r="AA629" t="s">
        <v>984</v>
      </c>
      <c r="AB629" t="s">
        <v>984</v>
      </c>
      <c r="AC629" t="s">
        <v>82</v>
      </c>
      <c r="AD629" t="s">
        <v>83</v>
      </c>
      <c r="AE629" t="s">
        <v>66</v>
      </c>
      <c r="AF629" t="s">
        <v>876</v>
      </c>
    </row>
    <row r="630" spans="1:32">
      <c r="A630" t="s">
        <v>3493</v>
      </c>
      <c r="B630" t="s">
        <v>308</v>
      </c>
      <c r="C630" t="s">
        <v>3494</v>
      </c>
      <c r="D630" t="s">
        <v>3494</v>
      </c>
      <c r="E630" t="s">
        <v>109</v>
      </c>
      <c r="F630" t="s">
        <v>110</v>
      </c>
      <c r="G630" t="s">
        <v>111</v>
      </c>
      <c r="H630" t="s">
        <v>66</v>
      </c>
      <c r="I630" t="s">
        <v>66</v>
      </c>
      <c r="J630" t="s">
        <v>67</v>
      </c>
      <c r="K630" t="s">
        <v>71</v>
      </c>
      <c r="L630" t="s">
        <v>72</v>
      </c>
      <c r="M630" t="s">
        <v>73</v>
      </c>
      <c r="N630" t="s">
        <v>66</v>
      </c>
      <c r="O630" t="s">
        <v>73</v>
      </c>
      <c r="P630" t="s">
        <v>66</v>
      </c>
      <c r="Q630" t="s">
        <v>979</v>
      </c>
      <c r="R630" t="s">
        <v>73</v>
      </c>
      <c r="S630" t="s">
        <v>979</v>
      </c>
      <c r="T630" t="s">
        <v>3495</v>
      </c>
      <c r="U630" t="s">
        <v>3496</v>
      </c>
      <c r="V630" t="s">
        <v>982</v>
      </c>
      <c r="W630" t="s">
        <v>66</v>
      </c>
      <c r="X630" t="s">
        <v>78</v>
      </c>
      <c r="Y630" t="s">
        <v>3497</v>
      </c>
      <c r="Z630" t="s">
        <v>182</v>
      </c>
      <c r="AA630" t="s">
        <v>984</v>
      </c>
      <c r="AB630" t="s">
        <v>984</v>
      </c>
      <c r="AC630" t="s">
        <v>82</v>
      </c>
      <c r="AD630" t="s">
        <v>83</v>
      </c>
      <c r="AE630" t="s">
        <v>66</v>
      </c>
      <c r="AF630" t="s">
        <v>876</v>
      </c>
    </row>
    <row r="631" spans="1:32">
      <c r="A631" t="s">
        <v>3498</v>
      </c>
      <c r="B631" t="s">
        <v>3499</v>
      </c>
      <c r="C631" t="s">
        <v>3500</v>
      </c>
      <c r="D631" t="s">
        <v>66</v>
      </c>
      <c r="E631" t="s">
        <v>67</v>
      </c>
      <c r="F631" t="s">
        <v>947</v>
      </c>
      <c r="G631" t="s">
        <v>948</v>
      </c>
      <c r="H631" t="s">
        <v>66</v>
      </c>
      <c r="I631" t="s">
        <v>66</v>
      </c>
      <c r="J631" t="s">
        <v>67</v>
      </c>
      <c r="K631" t="s">
        <v>71</v>
      </c>
      <c r="L631" t="s">
        <v>72</v>
      </c>
      <c r="M631" t="s">
        <v>73</v>
      </c>
      <c r="N631" t="s">
        <v>66</v>
      </c>
      <c r="O631" t="s">
        <v>73</v>
      </c>
      <c r="P631" t="s">
        <v>66</v>
      </c>
      <c r="Q631" t="s">
        <v>979</v>
      </c>
      <c r="R631" t="s">
        <v>73</v>
      </c>
      <c r="S631" t="s">
        <v>979</v>
      </c>
      <c r="T631" t="s">
        <v>3501</v>
      </c>
      <c r="U631" t="s">
        <v>3502</v>
      </c>
      <c r="V631" t="s">
        <v>982</v>
      </c>
      <c r="W631" t="s">
        <v>66</v>
      </c>
      <c r="X631" t="s">
        <v>78</v>
      </c>
      <c r="Y631" t="s">
        <v>3503</v>
      </c>
      <c r="Z631" t="s">
        <v>182</v>
      </c>
      <c r="AA631" t="s">
        <v>984</v>
      </c>
      <c r="AB631" t="s">
        <v>984</v>
      </c>
      <c r="AC631" t="s">
        <v>82</v>
      </c>
      <c r="AD631" t="s">
        <v>83</v>
      </c>
      <c r="AE631" t="s">
        <v>66</v>
      </c>
      <c r="AF631" t="s">
        <v>876</v>
      </c>
    </row>
    <row r="632" spans="1:32">
      <c r="A632" t="s">
        <v>3504</v>
      </c>
      <c r="B632" t="s">
        <v>3505</v>
      </c>
      <c r="C632" t="s">
        <v>3506</v>
      </c>
      <c r="D632" t="s">
        <v>66</v>
      </c>
      <c r="E632" t="s">
        <v>67</v>
      </c>
      <c r="F632" t="s">
        <v>947</v>
      </c>
      <c r="G632" t="s">
        <v>948</v>
      </c>
      <c r="H632" t="s">
        <v>66</v>
      </c>
      <c r="I632" t="s">
        <v>66</v>
      </c>
      <c r="J632" t="s">
        <v>67</v>
      </c>
      <c r="K632" t="s">
        <v>71</v>
      </c>
      <c r="L632" t="s">
        <v>72</v>
      </c>
      <c r="M632" t="s">
        <v>73</v>
      </c>
      <c r="N632" t="s">
        <v>66</v>
      </c>
      <c r="O632" t="s">
        <v>73</v>
      </c>
      <c r="P632" t="s">
        <v>66</v>
      </c>
      <c r="Q632" t="s">
        <v>979</v>
      </c>
      <c r="R632" t="s">
        <v>73</v>
      </c>
      <c r="S632" t="s">
        <v>979</v>
      </c>
      <c r="T632" t="s">
        <v>3507</v>
      </c>
      <c r="U632" t="s">
        <v>3508</v>
      </c>
      <c r="V632" t="s">
        <v>982</v>
      </c>
      <c r="W632" t="s">
        <v>66</v>
      </c>
      <c r="X632" t="s">
        <v>78</v>
      </c>
      <c r="Y632" t="s">
        <v>3509</v>
      </c>
      <c r="Z632" t="s">
        <v>182</v>
      </c>
      <c r="AA632" t="s">
        <v>984</v>
      </c>
      <c r="AB632" t="s">
        <v>984</v>
      </c>
      <c r="AC632" t="s">
        <v>82</v>
      </c>
      <c r="AD632" t="s">
        <v>83</v>
      </c>
      <c r="AE632" t="s">
        <v>66</v>
      </c>
      <c r="AF632" t="s">
        <v>876</v>
      </c>
    </row>
    <row r="633" spans="1:32">
      <c r="A633" t="s">
        <v>3510</v>
      </c>
      <c r="B633" t="s">
        <v>107</v>
      </c>
      <c r="C633" t="s">
        <v>3511</v>
      </c>
      <c r="D633" t="s">
        <v>3511</v>
      </c>
      <c r="E633" t="s">
        <v>109</v>
      </c>
      <c r="F633" t="s">
        <v>110</v>
      </c>
      <c r="G633" t="s">
        <v>111</v>
      </c>
      <c r="H633" t="s">
        <v>66</v>
      </c>
      <c r="I633" t="s">
        <v>66</v>
      </c>
      <c r="J633" t="s">
        <v>67</v>
      </c>
      <c r="K633" t="s">
        <v>71</v>
      </c>
      <c r="L633" t="s">
        <v>72</v>
      </c>
      <c r="M633" t="s">
        <v>73</v>
      </c>
      <c r="N633" t="s">
        <v>66</v>
      </c>
      <c r="O633" t="s">
        <v>73</v>
      </c>
      <c r="P633" t="s">
        <v>66</v>
      </c>
      <c r="Q633" t="s">
        <v>979</v>
      </c>
      <c r="R633" t="s">
        <v>73</v>
      </c>
      <c r="S633" t="s">
        <v>979</v>
      </c>
      <c r="T633" t="s">
        <v>3512</v>
      </c>
      <c r="U633" t="s">
        <v>3513</v>
      </c>
      <c r="V633" t="s">
        <v>982</v>
      </c>
      <c r="W633" t="s">
        <v>66</v>
      </c>
      <c r="X633" t="s">
        <v>78</v>
      </c>
      <c r="Y633" t="s">
        <v>3514</v>
      </c>
      <c r="Z633" t="s">
        <v>182</v>
      </c>
      <c r="AA633" t="s">
        <v>984</v>
      </c>
      <c r="AB633" t="s">
        <v>984</v>
      </c>
      <c r="AC633" t="s">
        <v>82</v>
      </c>
      <c r="AD633" t="s">
        <v>83</v>
      </c>
      <c r="AE633" t="s">
        <v>66</v>
      </c>
      <c r="AF633" t="s">
        <v>876</v>
      </c>
    </row>
    <row r="634" spans="1:32">
      <c r="A634" t="s">
        <v>3515</v>
      </c>
      <c r="B634" t="s">
        <v>986</v>
      </c>
      <c r="C634" t="s">
        <v>3516</v>
      </c>
      <c r="D634" t="s">
        <v>66</v>
      </c>
      <c r="E634" t="s">
        <v>67</v>
      </c>
      <c r="F634" t="s">
        <v>988</v>
      </c>
      <c r="G634" t="s">
        <v>989</v>
      </c>
      <c r="H634" t="s">
        <v>66</v>
      </c>
      <c r="I634" t="s">
        <v>66</v>
      </c>
      <c r="J634" t="s">
        <v>67</v>
      </c>
      <c r="K634" t="s">
        <v>71</v>
      </c>
      <c r="L634" t="s">
        <v>72</v>
      </c>
      <c r="M634" t="s">
        <v>73</v>
      </c>
      <c r="N634" t="s">
        <v>66</v>
      </c>
      <c r="O634" t="s">
        <v>73</v>
      </c>
      <c r="P634" t="s">
        <v>66</v>
      </c>
      <c r="Q634" t="s">
        <v>979</v>
      </c>
      <c r="R634" t="s">
        <v>73</v>
      </c>
      <c r="S634" t="s">
        <v>979</v>
      </c>
      <c r="T634" t="s">
        <v>3517</v>
      </c>
      <c r="U634" t="s">
        <v>3518</v>
      </c>
      <c r="V634" t="s">
        <v>982</v>
      </c>
      <c r="W634" t="s">
        <v>66</v>
      </c>
      <c r="X634" t="s">
        <v>78</v>
      </c>
      <c r="Y634" t="s">
        <v>3519</v>
      </c>
      <c r="Z634" t="s">
        <v>182</v>
      </c>
      <c r="AA634" t="s">
        <v>984</v>
      </c>
      <c r="AB634" t="s">
        <v>984</v>
      </c>
      <c r="AC634" t="s">
        <v>82</v>
      </c>
      <c r="AD634" t="s">
        <v>83</v>
      </c>
      <c r="AE634" t="s">
        <v>66</v>
      </c>
      <c r="AF634" t="s">
        <v>876</v>
      </c>
    </row>
    <row r="635" spans="1:32">
      <c r="A635" t="s">
        <v>3520</v>
      </c>
      <c r="B635" t="s">
        <v>308</v>
      </c>
      <c r="C635" t="s">
        <v>3521</v>
      </c>
      <c r="D635" t="s">
        <v>3521</v>
      </c>
      <c r="E635" t="s">
        <v>109</v>
      </c>
      <c r="F635" t="s">
        <v>110</v>
      </c>
      <c r="G635" t="s">
        <v>111</v>
      </c>
      <c r="H635" t="s">
        <v>66</v>
      </c>
      <c r="I635" t="s">
        <v>66</v>
      </c>
      <c r="J635" t="s">
        <v>67</v>
      </c>
      <c r="K635" t="s">
        <v>71</v>
      </c>
      <c r="L635" t="s">
        <v>72</v>
      </c>
      <c r="M635" t="s">
        <v>73</v>
      </c>
      <c r="N635" t="s">
        <v>66</v>
      </c>
      <c r="O635" t="s">
        <v>73</v>
      </c>
      <c r="P635" t="s">
        <v>66</v>
      </c>
      <c r="Q635" t="s">
        <v>979</v>
      </c>
      <c r="R635" t="s">
        <v>73</v>
      </c>
      <c r="S635" t="s">
        <v>979</v>
      </c>
      <c r="T635" t="s">
        <v>3522</v>
      </c>
      <c r="U635" t="s">
        <v>3523</v>
      </c>
      <c r="V635" t="s">
        <v>982</v>
      </c>
      <c r="W635" t="s">
        <v>66</v>
      </c>
      <c r="X635" t="s">
        <v>78</v>
      </c>
      <c r="Y635" t="s">
        <v>3524</v>
      </c>
      <c r="Z635" t="s">
        <v>182</v>
      </c>
      <c r="AA635" t="s">
        <v>984</v>
      </c>
      <c r="AB635" t="s">
        <v>984</v>
      </c>
      <c r="AC635" t="s">
        <v>82</v>
      </c>
      <c r="AD635" t="s">
        <v>83</v>
      </c>
      <c r="AE635" t="s">
        <v>66</v>
      </c>
      <c r="AF635" t="s">
        <v>876</v>
      </c>
    </row>
    <row r="636" spans="1:32">
      <c r="A636" t="s">
        <v>3525</v>
      </c>
      <c r="B636" t="s">
        <v>173</v>
      </c>
      <c r="C636" t="s">
        <v>3526</v>
      </c>
      <c r="D636" t="s">
        <v>66</v>
      </c>
      <c r="E636" t="s">
        <v>67</v>
      </c>
      <c r="F636" t="s">
        <v>175</v>
      </c>
      <c r="G636" t="s">
        <v>176</v>
      </c>
      <c r="H636" t="s">
        <v>66</v>
      </c>
      <c r="I636" t="s">
        <v>66</v>
      </c>
      <c r="J636" t="s">
        <v>67</v>
      </c>
      <c r="K636" t="s">
        <v>71</v>
      </c>
      <c r="L636" t="s">
        <v>72</v>
      </c>
      <c r="M636" t="s">
        <v>73</v>
      </c>
      <c r="N636" t="s">
        <v>66</v>
      </c>
      <c r="O636" t="s">
        <v>73</v>
      </c>
      <c r="P636" t="s">
        <v>66</v>
      </c>
      <c r="Q636" t="s">
        <v>979</v>
      </c>
      <c r="R636" t="s">
        <v>73</v>
      </c>
      <c r="S636" t="s">
        <v>979</v>
      </c>
      <c r="T636" t="s">
        <v>3527</v>
      </c>
      <c r="U636" t="s">
        <v>3528</v>
      </c>
      <c r="V636" t="s">
        <v>982</v>
      </c>
      <c r="W636" t="s">
        <v>66</v>
      </c>
      <c r="X636" t="s">
        <v>78</v>
      </c>
      <c r="Y636" t="s">
        <v>3529</v>
      </c>
      <c r="Z636" t="s">
        <v>182</v>
      </c>
      <c r="AA636" t="s">
        <v>984</v>
      </c>
      <c r="AB636" t="s">
        <v>984</v>
      </c>
      <c r="AC636" t="s">
        <v>82</v>
      </c>
      <c r="AD636" t="s">
        <v>83</v>
      </c>
      <c r="AE636" t="s">
        <v>66</v>
      </c>
      <c r="AF636" t="s">
        <v>876</v>
      </c>
    </row>
    <row r="637" spans="1:32">
      <c r="A637" t="s">
        <v>3530</v>
      </c>
      <c r="B637" t="s">
        <v>107</v>
      </c>
      <c r="C637" t="s">
        <v>3531</v>
      </c>
      <c r="D637" t="s">
        <v>3531</v>
      </c>
      <c r="E637" t="s">
        <v>109</v>
      </c>
      <c r="F637" t="s">
        <v>110</v>
      </c>
      <c r="G637" t="s">
        <v>111</v>
      </c>
      <c r="H637" t="s">
        <v>66</v>
      </c>
      <c r="I637" t="s">
        <v>66</v>
      </c>
      <c r="J637" t="s">
        <v>67</v>
      </c>
      <c r="K637" t="s">
        <v>71</v>
      </c>
      <c r="L637" t="s">
        <v>72</v>
      </c>
      <c r="M637" t="s">
        <v>73</v>
      </c>
      <c r="N637" t="s">
        <v>66</v>
      </c>
      <c r="O637" t="s">
        <v>73</v>
      </c>
      <c r="P637" t="s">
        <v>66</v>
      </c>
      <c r="Q637" t="s">
        <v>979</v>
      </c>
      <c r="R637" t="s">
        <v>73</v>
      </c>
      <c r="S637" t="s">
        <v>979</v>
      </c>
      <c r="T637" t="s">
        <v>3532</v>
      </c>
      <c r="U637" t="s">
        <v>3533</v>
      </c>
      <c r="V637" t="s">
        <v>982</v>
      </c>
      <c r="W637" t="s">
        <v>66</v>
      </c>
      <c r="X637" t="s">
        <v>78</v>
      </c>
      <c r="Y637" t="s">
        <v>3534</v>
      </c>
      <c r="Z637" t="s">
        <v>182</v>
      </c>
      <c r="AA637" t="s">
        <v>984</v>
      </c>
      <c r="AB637" t="s">
        <v>984</v>
      </c>
      <c r="AC637" t="s">
        <v>82</v>
      </c>
      <c r="AD637" t="s">
        <v>83</v>
      </c>
      <c r="AE637" t="s">
        <v>66</v>
      </c>
      <c r="AF637" t="s">
        <v>876</v>
      </c>
    </row>
    <row r="638" spans="1:32">
      <c r="A638" t="s">
        <v>3535</v>
      </c>
      <c r="B638" t="s">
        <v>1058</v>
      </c>
      <c r="C638" t="s">
        <v>3536</v>
      </c>
      <c r="D638" t="s">
        <v>3536</v>
      </c>
      <c r="E638" t="s">
        <v>109</v>
      </c>
      <c r="F638" t="s">
        <v>110</v>
      </c>
      <c r="G638" t="s">
        <v>111</v>
      </c>
      <c r="H638" t="s">
        <v>66</v>
      </c>
      <c r="I638" t="s">
        <v>66</v>
      </c>
      <c r="J638" t="s">
        <v>67</v>
      </c>
      <c r="K638" t="s">
        <v>71</v>
      </c>
      <c r="L638" t="s">
        <v>72</v>
      </c>
      <c r="M638" t="s">
        <v>73</v>
      </c>
      <c r="N638" t="s">
        <v>66</v>
      </c>
      <c r="O638" t="s">
        <v>73</v>
      </c>
      <c r="P638" t="s">
        <v>66</v>
      </c>
      <c r="Q638" t="s">
        <v>979</v>
      </c>
      <c r="R638" t="s">
        <v>73</v>
      </c>
      <c r="S638" t="s">
        <v>979</v>
      </c>
      <c r="T638" t="s">
        <v>3537</v>
      </c>
      <c r="U638" t="s">
        <v>3538</v>
      </c>
      <c r="V638" t="s">
        <v>982</v>
      </c>
      <c r="W638" t="s">
        <v>66</v>
      </c>
      <c r="X638" t="s">
        <v>78</v>
      </c>
      <c r="Y638" t="s">
        <v>3539</v>
      </c>
      <c r="Z638" t="s">
        <v>182</v>
      </c>
      <c r="AA638" t="s">
        <v>984</v>
      </c>
      <c r="AB638" t="s">
        <v>984</v>
      </c>
      <c r="AC638" t="s">
        <v>82</v>
      </c>
      <c r="AD638" t="s">
        <v>83</v>
      </c>
      <c r="AE638" t="s">
        <v>66</v>
      </c>
      <c r="AF638" t="s">
        <v>876</v>
      </c>
    </row>
    <row r="639" spans="1:32">
      <c r="A639" t="s">
        <v>3540</v>
      </c>
      <c r="B639" t="s">
        <v>308</v>
      </c>
      <c r="C639" t="s">
        <v>3541</v>
      </c>
      <c r="D639" t="s">
        <v>3541</v>
      </c>
      <c r="E639" t="s">
        <v>109</v>
      </c>
      <c r="F639" t="s">
        <v>68</v>
      </c>
      <c r="G639" t="s">
        <v>69</v>
      </c>
      <c r="H639" t="s">
        <v>66</v>
      </c>
      <c r="I639" t="s">
        <v>66</v>
      </c>
      <c r="J639" t="s">
        <v>67</v>
      </c>
      <c r="K639" t="s">
        <v>71</v>
      </c>
      <c r="L639" t="s">
        <v>72</v>
      </c>
      <c r="M639" t="s">
        <v>73</v>
      </c>
      <c r="N639" t="s">
        <v>66</v>
      </c>
      <c r="O639" t="s">
        <v>73</v>
      </c>
      <c r="P639" t="s">
        <v>66</v>
      </c>
      <c r="Q639" t="s">
        <v>979</v>
      </c>
      <c r="R639" t="s">
        <v>73</v>
      </c>
      <c r="S639" t="s">
        <v>979</v>
      </c>
      <c r="T639" t="s">
        <v>3542</v>
      </c>
      <c r="U639" t="s">
        <v>3543</v>
      </c>
      <c r="V639" t="s">
        <v>982</v>
      </c>
      <c r="W639" t="s">
        <v>66</v>
      </c>
      <c r="X639" t="s">
        <v>78</v>
      </c>
      <c r="Y639" t="s">
        <v>3544</v>
      </c>
      <c r="Z639" t="s">
        <v>182</v>
      </c>
      <c r="AA639" t="s">
        <v>984</v>
      </c>
      <c r="AB639" t="s">
        <v>984</v>
      </c>
      <c r="AC639" t="s">
        <v>82</v>
      </c>
      <c r="AD639" t="s">
        <v>83</v>
      </c>
      <c r="AE639" t="s">
        <v>66</v>
      </c>
      <c r="AF639" t="s">
        <v>876</v>
      </c>
    </row>
    <row r="640" spans="1:32">
      <c r="A640" t="s">
        <v>3545</v>
      </c>
      <c r="B640" t="s">
        <v>359</v>
      </c>
      <c r="C640" t="s">
        <v>3546</v>
      </c>
      <c r="D640" t="s">
        <v>3546</v>
      </c>
      <c r="E640" t="s">
        <v>109</v>
      </c>
      <c r="F640" t="s">
        <v>110</v>
      </c>
      <c r="G640" t="s">
        <v>111</v>
      </c>
      <c r="H640" t="s">
        <v>66</v>
      </c>
      <c r="I640" t="s">
        <v>66</v>
      </c>
      <c r="J640" t="s">
        <v>67</v>
      </c>
      <c r="K640" t="s">
        <v>71</v>
      </c>
      <c r="L640" t="s">
        <v>72</v>
      </c>
      <c r="M640" t="s">
        <v>73</v>
      </c>
      <c r="N640" t="s">
        <v>66</v>
      </c>
      <c r="O640" t="s">
        <v>73</v>
      </c>
      <c r="P640" t="s">
        <v>66</v>
      </c>
      <c r="Q640" t="s">
        <v>979</v>
      </c>
      <c r="R640" t="s">
        <v>73</v>
      </c>
      <c r="S640" t="s">
        <v>979</v>
      </c>
      <c r="T640" t="s">
        <v>3547</v>
      </c>
      <c r="U640" t="s">
        <v>3548</v>
      </c>
      <c r="V640" t="s">
        <v>982</v>
      </c>
      <c r="W640" t="s">
        <v>66</v>
      </c>
      <c r="X640" t="s">
        <v>78</v>
      </c>
      <c r="Y640" t="s">
        <v>3549</v>
      </c>
      <c r="Z640" t="s">
        <v>182</v>
      </c>
      <c r="AA640" t="s">
        <v>984</v>
      </c>
      <c r="AB640" t="s">
        <v>984</v>
      </c>
      <c r="AC640" t="s">
        <v>82</v>
      </c>
      <c r="AD640" t="s">
        <v>83</v>
      </c>
      <c r="AE640" t="s">
        <v>66</v>
      </c>
      <c r="AF640" t="s">
        <v>876</v>
      </c>
    </row>
    <row r="641" spans="1:32">
      <c r="A641" t="s">
        <v>3550</v>
      </c>
      <c r="B641" t="s">
        <v>1463</v>
      </c>
      <c r="C641" t="s">
        <v>3551</v>
      </c>
      <c r="D641" t="s">
        <v>66</v>
      </c>
      <c r="E641" t="s">
        <v>67</v>
      </c>
      <c r="F641" t="s">
        <v>110</v>
      </c>
      <c r="G641" t="s">
        <v>111</v>
      </c>
      <c r="H641" t="s">
        <v>66</v>
      </c>
      <c r="I641" t="s">
        <v>66</v>
      </c>
      <c r="J641" t="s">
        <v>67</v>
      </c>
      <c r="K641" t="s">
        <v>71</v>
      </c>
      <c r="L641" t="s">
        <v>72</v>
      </c>
      <c r="M641" t="s">
        <v>73</v>
      </c>
      <c r="N641" t="s">
        <v>66</v>
      </c>
      <c r="O641" t="s">
        <v>73</v>
      </c>
      <c r="P641" t="s">
        <v>66</v>
      </c>
      <c r="Q641" t="s">
        <v>979</v>
      </c>
      <c r="R641" t="s">
        <v>73</v>
      </c>
      <c r="S641" t="s">
        <v>979</v>
      </c>
      <c r="T641" t="s">
        <v>3552</v>
      </c>
      <c r="U641" t="s">
        <v>3553</v>
      </c>
      <c r="V641" t="s">
        <v>982</v>
      </c>
      <c r="W641" t="s">
        <v>66</v>
      </c>
      <c r="X641" t="s">
        <v>78</v>
      </c>
      <c r="Y641" t="s">
        <v>3554</v>
      </c>
      <c r="Z641" t="s">
        <v>182</v>
      </c>
      <c r="AA641" t="s">
        <v>984</v>
      </c>
      <c r="AB641" t="s">
        <v>984</v>
      </c>
      <c r="AC641" t="s">
        <v>82</v>
      </c>
      <c r="AD641" t="s">
        <v>83</v>
      </c>
      <c r="AE641" t="s">
        <v>66</v>
      </c>
      <c r="AF641" t="s">
        <v>876</v>
      </c>
    </row>
    <row r="642" spans="1:32">
      <c r="A642" t="s">
        <v>3555</v>
      </c>
      <c r="B642" t="s">
        <v>841</v>
      </c>
      <c r="C642" t="s">
        <v>3556</v>
      </c>
      <c r="D642" t="s">
        <v>3556</v>
      </c>
      <c r="E642" t="s">
        <v>109</v>
      </c>
      <c r="F642" t="s">
        <v>110</v>
      </c>
      <c r="G642" t="s">
        <v>111</v>
      </c>
      <c r="H642" t="s">
        <v>66</v>
      </c>
      <c r="I642" t="s">
        <v>66</v>
      </c>
      <c r="J642" t="s">
        <v>67</v>
      </c>
      <c r="K642" t="s">
        <v>71</v>
      </c>
      <c r="L642" t="s">
        <v>72</v>
      </c>
      <c r="M642" t="s">
        <v>73</v>
      </c>
      <c r="N642" t="s">
        <v>66</v>
      </c>
      <c r="O642" t="s">
        <v>73</v>
      </c>
      <c r="P642" t="s">
        <v>66</v>
      </c>
      <c r="Q642" t="s">
        <v>979</v>
      </c>
      <c r="R642" t="s">
        <v>73</v>
      </c>
      <c r="S642" t="s">
        <v>979</v>
      </c>
      <c r="T642" t="s">
        <v>3557</v>
      </c>
      <c r="U642" t="s">
        <v>3558</v>
      </c>
      <c r="V642" t="s">
        <v>982</v>
      </c>
      <c r="W642" t="s">
        <v>66</v>
      </c>
      <c r="X642" t="s">
        <v>78</v>
      </c>
      <c r="Y642" t="s">
        <v>3559</v>
      </c>
      <c r="Z642" t="s">
        <v>182</v>
      </c>
      <c r="AA642" t="s">
        <v>984</v>
      </c>
      <c r="AB642" t="s">
        <v>984</v>
      </c>
      <c r="AC642" t="s">
        <v>82</v>
      </c>
      <c r="AD642" t="s">
        <v>83</v>
      </c>
      <c r="AE642" t="s">
        <v>66</v>
      </c>
      <c r="AF642" t="s">
        <v>876</v>
      </c>
    </row>
    <row r="643" spans="1:32">
      <c r="A643" t="s">
        <v>3560</v>
      </c>
      <c r="B643" t="s">
        <v>841</v>
      </c>
      <c r="C643" t="s">
        <v>3561</v>
      </c>
      <c r="D643" t="s">
        <v>3561</v>
      </c>
      <c r="E643" t="s">
        <v>109</v>
      </c>
      <c r="F643" t="s">
        <v>110</v>
      </c>
      <c r="G643" t="s">
        <v>111</v>
      </c>
      <c r="H643" t="s">
        <v>66</v>
      </c>
      <c r="I643" t="s">
        <v>66</v>
      </c>
      <c r="J643" t="s">
        <v>67</v>
      </c>
      <c r="K643" t="s">
        <v>71</v>
      </c>
      <c r="L643" t="s">
        <v>72</v>
      </c>
      <c r="M643" t="s">
        <v>73</v>
      </c>
      <c r="N643" t="s">
        <v>66</v>
      </c>
      <c r="O643" t="s">
        <v>73</v>
      </c>
      <c r="P643" t="s">
        <v>66</v>
      </c>
      <c r="Q643" t="s">
        <v>979</v>
      </c>
      <c r="R643" t="s">
        <v>73</v>
      </c>
      <c r="S643" t="s">
        <v>979</v>
      </c>
      <c r="T643" t="s">
        <v>3562</v>
      </c>
      <c r="U643" t="s">
        <v>3563</v>
      </c>
      <c r="V643" t="s">
        <v>982</v>
      </c>
      <c r="W643" t="s">
        <v>66</v>
      </c>
      <c r="X643" t="s">
        <v>78</v>
      </c>
      <c r="Y643" t="s">
        <v>3564</v>
      </c>
      <c r="Z643" t="s">
        <v>182</v>
      </c>
      <c r="AA643" t="s">
        <v>984</v>
      </c>
      <c r="AB643" t="s">
        <v>984</v>
      </c>
      <c r="AC643" t="s">
        <v>82</v>
      </c>
      <c r="AD643" t="s">
        <v>83</v>
      </c>
      <c r="AE643" t="s">
        <v>66</v>
      </c>
      <c r="AF643" t="s">
        <v>876</v>
      </c>
    </row>
    <row r="644" spans="1:32">
      <c r="A644" t="s">
        <v>3565</v>
      </c>
      <c r="B644" t="s">
        <v>308</v>
      </c>
      <c r="C644" t="s">
        <v>3566</v>
      </c>
      <c r="D644" t="s">
        <v>3566</v>
      </c>
      <c r="E644" t="s">
        <v>109</v>
      </c>
      <c r="F644" t="s">
        <v>110</v>
      </c>
      <c r="G644" t="s">
        <v>111</v>
      </c>
      <c r="H644" t="s">
        <v>66</v>
      </c>
      <c r="I644" t="s">
        <v>66</v>
      </c>
      <c r="J644" t="s">
        <v>67</v>
      </c>
      <c r="K644" t="s">
        <v>71</v>
      </c>
      <c r="L644" t="s">
        <v>72</v>
      </c>
      <c r="M644" t="s">
        <v>73</v>
      </c>
      <c r="N644" t="s">
        <v>66</v>
      </c>
      <c r="O644" t="s">
        <v>73</v>
      </c>
      <c r="P644" t="s">
        <v>66</v>
      </c>
      <c r="Q644" t="s">
        <v>979</v>
      </c>
      <c r="R644" t="s">
        <v>73</v>
      </c>
      <c r="S644" t="s">
        <v>979</v>
      </c>
      <c r="T644" t="s">
        <v>3567</v>
      </c>
      <c r="U644" t="s">
        <v>3568</v>
      </c>
      <c r="V644" t="s">
        <v>982</v>
      </c>
      <c r="W644" t="s">
        <v>66</v>
      </c>
      <c r="X644" t="s">
        <v>78</v>
      </c>
      <c r="Y644" t="s">
        <v>3569</v>
      </c>
      <c r="Z644" t="s">
        <v>182</v>
      </c>
      <c r="AA644" t="s">
        <v>984</v>
      </c>
      <c r="AB644" t="s">
        <v>984</v>
      </c>
      <c r="AC644" t="s">
        <v>82</v>
      </c>
      <c r="AD644" t="s">
        <v>83</v>
      </c>
      <c r="AE644" t="s">
        <v>66</v>
      </c>
      <c r="AF644" t="s">
        <v>876</v>
      </c>
    </row>
    <row r="645" spans="1:32">
      <c r="A645" t="s">
        <v>3570</v>
      </c>
      <c r="B645" t="s">
        <v>151</v>
      </c>
      <c r="C645" t="s">
        <v>3571</v>
      </c>
      <c r="D645" t="s">
        <v>66</v>
      </c>
      <c r="E645" t="s">
        <v>67</v>
      </c>
      <c r="F645" t="s">
        <v>68</v>
      </c>
      <c r="G645" t="s">
        <v>69</v>
      </c>
      <c r="H645" t="s">
        <v>66</v>
      </c>
      <c r="I645" t="s">
        <v>66</v>
      </c>
      <c r="J645" t="s">
        <v>67</v>
      </c>
      <c r="K645" t="s">
        <v>71</v>
      </c>
      <c r="L645" t="s">
        <v>72</v>
      </c>
      <c r="M645" t="s">
        <v>73</v>
      </c>
      <c r="N645" t="s">
        <v>66</v>
      </c>
      <c r="O645" t="s">
        <v>73</v>
      </c>
      <c r="P645" t="s">
        <v>66</v>
      </c>
      <c r="Q645" t="s">
        <v>979</v>
      </c>
      <c r="R645" t="s">
        <v>73</v>
      </c>
      <c r="S645" t="s">
        <v>979</v>
      </c>
      <c r="T645" t="s">
        <v>3572</v>
      </c>
      <c r="U645" t="s">
        <v>3573</v>
      </c>
      <c r="V645" t="s">
        <v>982</v>
      </c>
      <c r="W645" t="s">
        <v>66</v>
      </c>
      <c r="X645" t="s">
        <v>78</v>
      </c>
      <c r="Y645" t="s">
        <v>3574</v>
      </c>
      <c r="Z645" t="s">
        <v>182</v>
      </c>
      <c r="AA645" t="s">
        <v>984</v>
      </c>
      <c r="AB645" t="s">
        <v>984</v>
      </c>
      <c r="AC645" t="s">
        <v>82</v>
      </c>
      <c r="AD645" t="s">
        <v>83</v>
      </c>
      <c r="AE645" t="s">
        <v>66</v>
      </c>
      <c r="AF645" t="s">
        <v>876</v>
      </c>
    </row>
    <row r="646" spans="1:32">
      <c r="A646" t="s">
        <v>3575</v>
      </c>
      <c r="B646" t="s">
        <v>308</v>
      </c>
      <c r="C646" t="s">
        <v>3576</v>
      </c>
      <c r="D646" t="s">
        <v>3576</v>
      </c>
      <c r="E646" t="s">
        <v>109</v>
      </c>
      <c r="F646" t="s">
        <v>110</v>
      </c>
      <c r="G646" t="s">
        <v>111</v>
      </c>
      <c r="H646" t="s">
        <v>66</v>
      </c>
      <c r="I646" t="s">
        <v>66</v>
      </c>
      <c r="J646" t="s">
        <v>67</v>
      </c>
      <c r="K646" t="s">
        <v>71</v>
      </c>
      <c r="L646" t="s">
        <v>72</v>
      </c>
      <c r="M646" t="s">
        <v>73</v>
      </c>
      <c r="N646" t="s">
        <v>66</v>
      </c>
      <c r="O646" t="s">
        <v>73</v>
      </c>
      <c r="P646" t="s">
        <v>66</v>
      </c>
      <c r="Q646" t="s">
        <v>979</v>
      </c>
      <c r="R646" t="s">
        <v>73</v>
      </c>
      <c r="S646" t="s">
        <v>979</v>
      </c>
      <c r="T646" t="s">
        <v>3577</v>
      </c>
      <c r="U646" t="s">
        <v>3578</v>
      </c>
      <c r="V646" t="s">
        <v>982</v>
      </c>
      <c r="W646" t="s">
        <v>66</v>
      </c>
      <c r="X646" t="s">
        <v>78</v>
      </c>
      <c r="Y646" t="s">
        <v>3579</v>
      </c>
      <c r="Z646" t="s">
        <v>182</v>
      </c>
      <c r="AA646" t="s">
        <v>984</v>
      </c>
      <c r="AB646" t="s">
        <v>984</v>
      </c>
      <c r="AC646" t="s">
        <v>82</v>
      </c>
      <c r="AD646" t="s">
        <v>83</v>
      </c>
      <c r="AE646" t="s">
        <v>66</v>
      </c>
      <c r="AF646" t="s">
        <v>876</v>
      </c>
    </row>
    <row r="647" spans="1:32">
      <c r="A647" t="s">
        <v>3580</v>
      </c>
      <c r="B647" t="s">
        <v>841</v>
      </c>
      <c r="C647" t="s">
        <v>3581</v>
      </c>
      <c r="D647" t="s">
        <v>3581</v>
      </c>
      <c r="E647" t="s">
        <v>109</v>
      </c>
      <c r="F647" t="s">
        <v>110</v>
      </c>
      <c r="G647" t="s">
        <v>111</v>
      </c>
      <c r="H647" t="s">
        <v>66</v>
      </c>
      <c r="I647" t="s">
        <v>66</v>
      </c>
      <c r="J647" t="s">
        <v>67</v>
      </c>
      <c r="K647" t="s">
        <v>71</v>
      </c>
      <c r="L647" t="s">
        <v>72</v>
      </c>
      <c r="M647" t="s">
        <v>73</v>
      </c>
      <c r="N647" t="s">
        <v>66</v>
      </c>
      <c r="O647" t="s">
        <v>73</v>
      </c>
      <c r="P647" t="s">
        <v>66</v>
      </c>
      <c r="Q647" t="s">
        <v>979</v>
      </c>
      <c r="R647" t="s">
        <v>73</v>
      </c>
      <c r="S647" t="s">
        <v>979</v>
      </c>
      <c r="T647" t="s">
        <v>3582</v>
      </c>
      <c r="U647" t="s">
        <v>3583</v>
      </c>
      <c r="V647" t="s">
        <v>982</v>
      </c>
      <c r="W647" t="s">
        <v>66</v>
      </c>
      <c r="X647" t="s">
        <v>78</v>
      </c>
      <c r="Y647" t="s">
        <v>3584</v>
      </c>
      <c r="Z647" t="s">
        <v>182</v>
      </c>
      <c r="AA647" t="s">
        <v>984</v>
      </c>
      <c r="AB647" t="s">
        <v>984</v>
      </c>
      <c r="AC647" t="s">
        <v>82</v>
      </c>
      <c r="AD647" t="s">
        <v>83</v>
      </c>
      <c r="AE647" t="s">
        <v>66</v>
      </c>
      <c r="AF647" t="s">
        <v>876</v>
      </c>
    </row>
    <row r="648" spans="1:32">
      <c r="A648" t="s">
        <v>3585</v>
      </c>
      <c r="B648" t="s">
        <v>1004</v>
      </c>
      <c r="C648" t="s">
        <v>3586</v>
      </c>
      <c r="D648" t="s">
        <v>66</v>
      </c>
      <c r="E648" t="s">
        <v>67</v>
      </c>
      <c r="F648" t="s">
        <v>68</v>
      </c>
      <c r="G648" t="s">
        <v>69</v>
      </c>
      <c r="H648" t="s">
        <v>66</v>
      </c>
      <c r="I648" t="s">
        <v>66</v>
      </c>
      <c r="J648" t="s">
        <v>67</v>
      </c>
      <c r="K648" t="s">
        <v>71</v>
      </c>
      <c r="L648" t="s">
        <v>72</v>
      </c>
      <c r="M648" t="s">
        <v>73</v>
      </c>
      <c r="N648" t="s">
        <v>66</v>
      </c>
      <c r="O648" t="s">
        <v>73</v>
      </c>
      <c r="P648" t="s">
        <v>66</v>
      </c>
      <c r="Q648" t="s">
        <v>979</v>
      </c>
      <c r="R648" t="s">
        <v>73</v>
      </c>
      <c r="S648" t="s">
        <v>979</v>
      </c>
      <c r="T648" t="s">
        <v>3587</v>
      </c>
      <c r="U648" t="s">
        <v>3588</v>
      </c>
      <c r="V648" t="s">
        <v>982</v>
      </c>
      <c r="W648" t="s">
        <v>66</v>
      </c>
      <c r="X648" t="s">
        <v>78</v>
      </c>
      <c r="Y648" t="s">
        <v>3589</v>
      </c>
      <c r="Z648" t="s">
        <v>182</v>
      </c>
      <c r="AA648" t="s">
        <v>984</v>
      </c>
      <c r="AB648" t="s">
        <v>984</v>
      </c>
      <c r="AC648" t="s">
        <v>82</v>
      </c>
      <c r="AD648" t="s">
        <v>83</v>
      </c>
      <c r="AE648" t="s">
        <v>66</v>
      </c>
      <c r="AF648" t="s">
        <v>876</v>
      </c>
    </row>
    <row r="649" spans="1:32">
      <c r="A649" t="s">
        <v>3590</v>
      </c>
      <c r="B649" t="s">
        <v>308</v>
      </c>
      <c r="C649" t="s">
        <v>3591</v>
      </c>
      <c r="D649" t="s">
        <v>3591</v>
      </c>
      <c r="E649" t="s">
        <v>109</v>
      </c>
      <c r="F649" t="s">
        <v>68</v>
      </c>
      <c r="G649" t="s">
        <v>69</v>
      </c>
      <c r="H649" t="s">
        <v>66</v>
      </c>
      <c r="I649" t="s">
        <v>66</v>
      </c>
      <c r="J649" t="s">
        <v>67</v>
      </c>
      <c r="K649" t="s">
        <v>71</v>
      </c>
      <c r="L649" t="s">
        <v>72</v>
      </c>
      <c r="M649" t="s">
        <v>73</v>
      </c>
      <c r="N649" t="s">
        <v>66</v>
      </c>
      <c r="O649" t="s">
        <v>73</v>
      </c>
      <c r="P649" t="s">
        <v>66</v>
      </c>
      <c r="Q649" t="s">
        <v>979</v>
      </c>
      <c r="R649" t="s">
        <v>73</v>
      </c>
      <c r="S649" t="s">
        <v>979</v>
      </c>
      <c r="T649" t="s">
        <v>3592</v>
      </c>
      <c r="U649" t="s">
        <v>3593</v>
      </c>
      <c r="V649" t="s">
        <v>982</v>
      </c>
      <c r="W649" t="s">
        <v>66</v>
      </c>
      <c r="X649" t="s">
        <v>78</v>
      </c>
      <c r="Y649" t="s">
        <v>3594</v>
      </c>
      <c r="Z649" t="s">
        <v>182</v>
      </c>
      <c r="AA649" t="s">
        <v>984</v>
      </c>
      <c r="AB649" t="s">
        <v>984</v>
      </c>
      <c r="AC649" t="s">
        <v>82</v>
      </c>
      <c r="AD649" t="s">
        <v>83</v>
      </c>
      <c r="AE649" t="s">
        <v>66</v>
      </c>
      <c r="AF649" t="s">
        <v>876</v>
      </c>
    </row>
    <row r="650" spans="1:32">
      <c r="A650" t="s">
        <v>3595</v>
      </c>
      <c r="B650" t="s">
        <v>151</v>
      </c>
      <c r="C650" t="s">
        <v>3596</v>
      </c>
      <c r="D650" t="s">
        <v>66</v>
      </c>
      <c r="E650" t="s">
        <v>67</v>
      </c>
      <c r="F650" t="s">
        <v>68</v>
      </c>
      <c r="G650" t="s">
        <v>69</v>
      </c>
      <c r="H650" t="s">
        <v>66</v>
      </c>
      <c r="I650" t="s">
        <v>66</v>
      </c>
      <c r="J650" t="s">
        <v>67</v>
      </c>
      <c r="K650" t="s">
        <v>71</v>
      </c>
      <c r="L650" t="s">
        <v>72</v>
      </c>
      <c r="M650" t="s">
        <v>73</v>
      </c>
      <c r="N650" t="s">
        <v>66</v>
      </c>
      <c r="O650" t="s">
        <v>73</v>
      </c>
      <c r="P650" t="s">
        <v>66</v>
      </c>
      <c r="Q650" t="s">
        <v>979</v>
      </c>
      <c r="R650" t="s">
        <v>73</v>
      </c>
      <c r="S650" t="s">
        <v>979</v>
      </c>
      <c r="T650" t="s">
        <v>3597</v>
      </c>
      <c r="U650" t="s">
        <v>3598</v>
      </c>
      <c r="V650" t="s">
        <v>982</v>
      </c>
      <c r="W650" t="s">
        <v>66</v>
      </c>
      <c r="X650" t="s">
        <v>78</v>
      </c>
      <c r="Y650" t="s">
        <v>3599</v>
      </c>
      <c r="Z650" t="s">
        <v>182</v>
      </c>
      <c r="AA650" t="s">
        <v>984</v>
      </c>
      <c r="AB650" t="s">
        <v>984</v>
      </c>
      <c r="AC650" t="s">
        <v>82</v>
      </c>
      <c r="AD650" t="s">
        <v>83</v>
      </c>
      <c r="AE650" t="s">
        <v>66</v>
      </c>
      <c r="AF650" t="s">
        <v>876</v>
      </c>
    </row>
    <row r="651" spans="1:32">
      <c r="A651" t="s">
        <v>3600</v>
      </c>
      <c r="B651" t="s">
        <v>841</v>
      </c>
      <c r="C651" t="s">
        <v>3601</v>
      </c>
      <c r="D651" t="s">
        <v>3601</v>
      </c>
      <c r="E651" t="s">
        <v>109</v>
      </c>
      <c r="F651" t="s">
        <v>110</v>
      </c>
      <c r="G651" t="s">
        <v>111</v>
      </c>
      <c r="H651" t="s">
        <v>66</v>
      </c>
      <c r="I651" t="s">
        <v>66</v>
      </c>
      <c r="J651" t="s">
        <v>67</v>
      </c>
      <c r="K651" t="s">
        <v>71</v>
      </c>
      <c r="L651" t="s">
        <v>72</v>
      </c>
      <c r="M651" t="s">
        <v>73</v>
      </c>
      <c r="N651" t="s">
        <v>66</v>
      </c>
      <c r="O651" t="s">
        <v>73</v>
      </c>
      <c r="P651" t="s">
        <v>66</v>
      </c>
      <c r="Q651" t="s">
        <v>979</v>
      </c>
      <c r="R651" t="s">
        <v>73</v>
      </c>
      <c r="S651" t="s">
        <v>979</v>
      </c>
      <c r="T651" t="s">
        <v>3602</v>
      </c>
      <c r="U651" t="s">
        <v>3603</v>
      </c>
      <c r="V651" t="s">
        <v>982</v>
      </c>
      <c r="W651" t="s">
        <v>66</v>
      </c>
      <c r="X651" t="s">
        <v>78</v>
      </c>
      <c r="Y651" t="s">
        <v>3604</v>
      </c>
      <c r="Z651" t="s">
        <v>182</v>
      </c>
      <c r="AA651" t="s">
        <v>984</v>
      </c>
      <c r="AB651" t="s">
        <v>984</v>
      </c>
      <c r="AC651" t="s">
        <v>82</v>
      </c>
      <c r="AD651" t="s">
        <v>83</v>
      </c>
      <c r="AE651" t="s">
        <v>66</v>
      </c>
      <c r="AF651" t="s">
        <v>876</v>
      </c>
    </row>
    <row r="652" spans="1:32">
      <c r="A652" t="s">
        <v>3605</v>
      </c>
      <c r="B652" t="s">
        <v>162</v>
      </c>
      <c r="C652" t="s">
        <v>3606</v>
      </c>
      <c r="D652" t="s">
        <v>66</v>
      </c>
      <c r="E652" t="s">
        <v>67</v>
      </c>
      <c r="F652" t="s">
        <v>164</v>
      </c>
      <c r="G652" t="s">
        <v>165</v>
      </c>
      <c r="H652" t="s">
        <v>66</v>
      </c>
      <c r="I652" t="s">
        <v>66</v>
      </c>
      <c r="J652" t="s">
        <v>67</v>
      </c>
      <c r="K652" t="s">
        <v>71</v>
      </c>
      <c r="L652" t="s">
        <v>72</v>
      </c>
      <c r="M652" t="s">
        <v>73</v>
      </c>
      <c r="N652" t="s">
        <v>66</v>
      </c>
      <c r="O652" t="s">
        <v>73</v>
      </c>
      <c r="P652" t="s">
        <v>66</v>
      </c>
      <c r="Q652" t="s">
        <v>979</v>
      </c>
      <c r="R652" t="s">
        <v>73</v>
      </c>
      <c r="S652" t="s">
        <v>979</v>
      </c>
      <c r="T652" t="s">
        <v>3607</v>
      </c>
      <c r="U652" t="s">
        <v>3608</v>
      </c>
      <c r="V652" t="s">
        <v>982</v>
      </c>
      <c r="W652" t="s">
        <v>66</v>
      </c>
      <c r="X652" t="s">
        <v>78</v>
      </c>
      <c r="Y652" t="s">
        <v>3609</v>
      </c>
      <c r="Z652" t="s">
        <v>182</v>
      </c>
      <c r="AA652" t="s">
        <v>984</v>
      </c>
      <c r="AB652" t="s">
        <v>984</v>
      </c>
      <c r="AC652" t="s">
        <v>82</v>
      </c>
      <c r="AD652" t="s">
        <v>83</v>
      </c>
      <c r="AE652" t="s">
        <v>66</v>
      </c>
      <c r="AF652" t="s">
        <v>876</v>
      </c>
    </row>
    <row r="653" spans="1:32">
      <c r="A653" t="s">
        <v>3610</v>
      </c>
      <c r="B653" t="s">
        <v>841</v>
      </c>
      <c r="C653" t="s">
        <v>3611</v>
      </c>
      <c r="D653" t="s">
        <v>3611</v>
      </c>
      <c r="E653" t="s">
        <v>109</v>
      </c>
      <c r="F653" t="s">
        <v>110</v>
      </c>
      <c r="G653" t="s">
        <v>111</v>
      </c>
      <c r="H653" t="s">
        <v>66</v>
      </c>
      <c r="I653" t="s">
        <v>66</v>
      </c>
      <c r="J653" t="s">
        <v>67</v>
      </c>
      <c r="K653" t="s">
        <v>71</v>
      </c>
      <c r="L653" t="s">
        <v>72</v>
      </c>
      <c r="M653" t="s">
        <v>73</v>
      </c>
      <c r="N653" t="s">
        <v>66</v>
      </c>
      <c r="O653" t="s">
        <v>73</v>
      </c>
      <c r="P653" t="s">
        <v>66</v>
      </c>
      <c r="Q653" t="s">
        <v>979</v>
      </c>
      <c r="R653" t="s">
        <v>73</v>
      </c>
      <c r="S653" t="s">
        <v>979</v>
      </c>
      <c r="T653" t="s">
        <v>3612</v>
      </c>
      <c r="U653" t="s">
        <v>3613</v>
      </c>
      <c r="V653" t="s">
        <v>982</v>
      </c>
      <c r="W653" t="s">
        <v>66</v>
      </c>
      <c r="X653" t="s">
        <v>78</v>
      </c>
      <c r="Y653" t="s">
        <v>3614</v>
      </c>
      <c r="Z653" t="s">
        <v>182</v>
      </c>
      <c r="AA653" t="s">
        <v>984</v>
      </c>
      <c r="AB653" t="s">
        <v>984</v>
      </c>
      <c r="AC653" t="s">
        <v>82</v>
      </c>
      <c r="AD653" t="s">
        <v>83</v>
      </c>
      <c r="AE653" t="s">
        <v>66</v>
      </c>
      <c r="AF653" t="s">
        <v>876</v>
      </c>
    </row>
    <row r="654" spans="1:32">
      <c r="A654" t="s">
        <v>3615</v>
      </c>
      <c r="B654" t="s">
        <v>986</v>
      </c>
      <c r="C654" t="s">
        <v>3616</v>
      </c>
      <c r="D654" t="s">
        <v>66</v>
      </c>
      <c r="E654" t="s">
        <v>67</v>
      </c>
      <c r="F654" t="s">
        <v>988</v>
      </c>
      <c r="G654" t="s">
        <v>989</v>
      </c>
      <c r="H654" t="s">
        <v>66</v>
      </c>
      <c r="I654" t="s">
        <v>66</v>
      </c>
      <c r="J654" t="s">
        <v>67</v>
      </c>
      <c r="K654" t="s">
        <v>71</v>
      </c>
      <c r="L654" t="s">
        <v>72</v>
      </c>
      <c r="M654" t="s">
        <v>73</v>
      </c>
      <c r="N654" t="s">
        <v>66</v>
      </c>
      <c r="O654" t="s">
        <v>73</v>
      </c>
      <c r="P654" t="s">
        <v>66</v>
      </c>
      <c r="Q654" t="s">
        <v>979</v>
      </c>
      <c r="R654" t="s">
        <v>73</v>
      </c>
      <c r="S654" t="s">
        <v>979</v>
      </c>
      <c r="T654" t="s">
        <v>3617</v>
      </c>
      <c r="U654" t="s">
        <v>3618</v>
      </c>
      <c r="V654" t="s">
        <v>982</v>
      </c>
      <c r="W654" t="s">
        <v>66</v>
      </c>
      <c r="X654" t="s">
        <v>78</v>
      </c>
      <c r="Y654" t="s">
        <v>3619</v>
      </c>
      <c r="Z654" t="s">
        <v>182</v>
      </c>
      <c r="AA654" t="s">
        <v>984</v>
      </c>
      <c r="AB654" t="s">
        <v>984</v>
      </c>
      <c r="AC654" t="s">
        <v>82</v>
      </c>
      <c r="AD654" t="s">
        <v>83</v>
      </c>
      <c r="AE654" t="s">
        <v>66</v>
      </c>
      <c r="AF654" t="s">
        <v>876</v>
      </c>
    </row>
    <row r="655" spans="1:32">
      <c r="A655" t="s">
        <v>3620</v>
      </c>
      <c r="B655" t="s">
        <v>1123</v>
      </c>
      <c r="C655" t="s">
        <v>3621</v>
      </c>
      <c r="D655" t="s">
        <v>66</v>
      </c>
      <c r="E655" t="s">
        <v>67</v>
      </c>
      <c r="F655" t="s">
        <v>68</v>
      </c>
      <c r="G655" t="s">
        <v>69</v>
      </c>
      <c r="H655" t="s">
        <v>66</v>
      </c>
      <c r="I655" t="s">
        <v>66</v>
      </c>
      <c r="J655" t="s">
        <v>67</v>
      </c>
      <c r="K655" t="s">
        <v>71</v>
      </c>
      <c r="L655" t="s">
        <v>72</v>
      </c>
      <c r="M655" t="s">
        <v>73</v>
      </c>
      <c r="N655" t="s">
        <v>66</v>
      </c>
      <c r="O655" t="s">
        <v>73</v>
      </c>
      <c r="P655" t="s">
        <v>66</v>
      </c>
      <c r="Q655" t="s">
        <v>979</v>
      </c>
      <c r="R655" t="s">
        <v>73</v>
      </c>
      <c r="S655" t="s">
        <v>979</v>
      </c>
      <c r="T655" t="s">
        <v>3622</v>
      </c>
      <c r="U655" t="s">
        <v>3623</v>
      </c>
      <c r="V655" t="s">
        <v>982</v>
      </c>
      <c r="W655" t="s">
        <v>66</v>
      </c>
      <c r="X655" t="s">
        <v>78</v>
      </c>
      <c r="Y655" t="s">
        <v>3624</v>
      </c>
      <c r="Z655" t="s">
        <v>182</v>
      </c>
      <c r="AA655" t="s">
        <v>984</v>
      </c>
      <c r="AB655" t="s">
        <v>984</v>
      </c>
      <c r="AC655" t="s">
        <v>82</v>
      </c>
      <c r="AD655" t="s">
        <v>83</v>
      </c>
      <c r="AE655" t="s">
        <v>66</v>
      </c>
      <c r="AF655" t="s">
        <v>876</v>
      </c>
    </row>
    <row r="656" spans="1:32">
      <c r="A656" t="s">
        <v>3625</v>
      </c>
      <c r="B656" t="s">
        <v>841</v>
      </c>
      <c r="C656" t="s">
        <v>3626</v>
      </c>
      <c r="D656" t="s">
        <v>3626</v>
      </c>
      <c r="E656" t="s">
        <v>109</v>
      </c>
      <c r="F656" t="s">
        <v>110</v>
      </c>
      <c r="G656" t="s">
        <v>111</v>
      </c>
      <c r="H656" t="s">
        <v>66</v>
      </c>
      <c r="I656" t="s">
        <v>66</v>
      </c>
      <c r="J656" t="s">
        <v>67</v>
      </c>
      <c r="K656" t="s">
        <v>71</v>
      </c>
      <c r="L656" t="s">
        <v>72</v>
      </c>
      <c r="M656" t="s">
        <v>73</v>
      </c>
      <c r="N656" t="s">
        <v>66</v>
      </c>
      <c r="O656" t="s">
        <v>73</v>
      </c>
      <c r="P656" t="s">
        <v>66</v>
      </c>
      <c r="Q656" t="s">
        <v>979</v>
      </c>
      <c r="R656" t="s">
        <v>73</v>
      </c>
      <c r="S656" t="s">
        <v>979</v>
      </c>
      <c r="T656" t="s">
        <v>3627</v>
      </c>
      <c r="U656" t="s">
        <v>3628</v>
      </c>
      <c r="V656" t="s">
        <v>982</v>
      </c>
      <c r="W656" t="s">
        <v>66</v>
      </c>
      <c r="X656" t="s">
        <v>78</v>
      </c>
      <c r="Y656" t="s">
        <v>3629</v>
      </c>
      <c r="Z656" t="s">
        <v>182</v>
      </c>
      <c r="AA656" t="s">
        <v>984</v>
      </c>
      <c r="AB656" t="s">
        <v>984</v>
      </c>
      <c r="AC656" t="s">
        <v>82</v>
      </c>
      <c r="AD656" t="s">
        <v>83</v>
      </c>
      <c r="AE656" t="s">
        <v>66</v>
      </c>
      <c r="AF656" t="s">
        <v>876</v>
      </c>
    </row>
    <row r="657" spans="1:32">
      <c r="A657" t="s">
        <v>3630</v>
      </c>
      <c r="B657" t="s">
        <v>841</v>
      </c>
      <c r="C657" t="s">
        <v>3631</v>
      </c>
      <c r="D657" t="s">
        <v>3631</v>
      </c>
      <c r="E657" t="s">
        <v>109</v>
      </c>
      <c r="F657" t="s">
        <v>110</v>
      </c>
      <c r="G657" t="s">
        <v>111</v>
      </c>
      <c r="H657" t="s">
        <v>66</v>
      </c>
      <c r="I657" t="s">
        <v>66</v>
      </c>
      <c r="J657" t="s">
        <v>67</v>
      </c>
      <c r="K657" t="s">
        <v>71</v>
      </c>
      <c r="L657" t="s">
        <v>72</v>
      </c>
      <c r="M657" t="s">
        <v>73</v>
      </c>
      <c r="N657" t="s">
        <v>66</v>
      </c>
      <c r="O657" t="s">
        <v>73</v>
      </c>
      <c r="P657" t="s">
        <v>66</v>
      </c>
      <c r="Q657" t="s">
        <v>979</v>
      </c>
      <c r="R657" t="s">
        <v>73</v>
      </c>
      <c r="S657" t="s">
        <v>979</v>
      </c>
      <c r="T657" t="s">
        <v>3632</v>
      </c>
      <c r="U657" t="s">
        <v>3633</v>
      </c>
      <c r="V657" t="s">
        <v>982</v>
      </c>
      <c r="W657" t="s">
        <v>66</v>
      </c>
      <c r="X657" t="s">
        <v>78</v>
      </c>
      <c r="Y657" t="s">
        <v>3634</v>
      </c>
      <c r="Z657" t="s">
        <v>182</v>
      </c>
      <c r="AA657" t="s">
        <v>984</v>
      </c>
      <c r="AB657" t="s">
        <v>984</v>
      </c>
      <c r="AC657" t="s">
        <v>82</v>
      </c>
      <c r="AD657" t="s">
        <v>83</v>
      </c>
      <c r="AE657" t="s">
        <v>66</v>
      </c>
      <c r="AF657" t="s">
        <v>876</v>
      </c>
    </row>
    <row r="658" spans="1:32">
      <c r="A658" t="s">
        <v>3635</v>
      </c>
      <c r="B658" t="s">
        <v>107</v>
      </c>
      <c r="C658" t="s">
        <v>3636</v>
      </c>
      <c r="D658" t="s">
        <v>3636</v>
      </c>
      <c r="E658" t="s">
        <v>109</v>
      </c>
      <c r="F658" t="s">
        <v>110</v>
      </c>
      <c r="G658" t="s">
        <v>111</v>
      </c>
      <c r="H658" t="s">
        <v>66</v>
      </c>
      <c r="I658" t="s">
        <v>66</v>
      </c>
      <c r="J658" t="s">
        <v>67</v>
      </c>
      <c r="K658" t="s">
        <v>71</v>
      </c>
      <c r="L658" t="s">
        <v>72</v>
      </c>
      <c r="M658" t="s">
        <v>73</v>
      </c>
      <c r="N658" t="s">
        <v>66</v>
      </c>
      <c r="O658" t="s">
        <v>73</v>
      </c>
      <c r="P658" t="s">
        <v>66</v>
      </c>
      <c r="Q658" t="s">
        <v>979</v>
      </c>
      <c r="R658" t="s">
        <v>73</v>
      </c>
      <c r="S658" t="s">
        <v>979</v>
      </c>
      <c r="T658" t="s">
        <v>3637</v>
      </c>
      <c r="U658" t="s">
        <v>3638</v>
      </c>
      <c r="V658" t="s">
        <v>982</v>
      </c>
      <c r="W658" t="s">
        <v>66</v>
      </c>
      <c r="X658" t="s">
        <v>78</v>
      </c>
      <c r="Y658" t="s">
        <v>3639</v>
      </c>
      <c r="Z658" t="s">
        <v>182</v>
      </c>
      <c r="AA658" t="s">
        <v>984</v>
      </c>
      <c r="AB658" t="s">
        <v>984</v>
      </c>
      <c r="AC658" t="s">
        <v>82</v>
      </c>
      <c r="AD658" t="s">
        <v>83</v>
      </c>
      <c r="AE658" t="s">
        <v>66</v>
      </c>
      <c r="AF658" t="s">
        <v>876</v>
      </c>
    </row>
    <row r="659" spans="1:32">
      <c r="A659" t="s">
        <v>3640</v>
      </c>
      <c r="B659" t="s">
        <v>308</v>
      </c>
      <c r="C659" t="s">
        <v>3641</v>
      </c>
      <c r="D659" t="s">
        <v>3641</v>
      </c>
      <c r="E659" t="s">
        <v>109</v>
      </c>
      <c r="F659" t="s">
        <v>110</v>
      </c>
      <c r="G659" t="s">
        <v>111</v>
      </c>
      <c r="H659" t="s">
        <v>66</v>
      </c>
      <c r="I659" t="s">
        <v>66</v>
      </c>
      <c r="J659" t="s">
        <v>67</v>
      </c>
      <c r="K659" t="s">
        <v>71</v>
      </c>
      <c r="L659" t="s">
        <v>72</v>
      </c>
      <c r="M659" t="s">
        <v>73</v>
      </c>
      <c r="N659" t="s">
        <v>66</v>
      </c>
      <c r="O659" t="s">
        <v>73</v>
      </c>
      <c r="P659" t="s">
        <v>66</v>
      </c>
      <c r="Q659" t="s">
        <v>979</v>
      </c>
      <c r="R659" t="s">
        <v>73</v>
      </c>
      <c r="S659" t="s">
        <v>979</v>
      </c>
      <c r="T659" t="s">
        <v>3642</v>
      </c>
      <c r="U659" t="s">
        <v>3643</v>
      </c>
      <c r="V659" t="s">
        <v>982</v>
      </c>
      <c r="W659" t="s">
        <v>66</v>
      </c>
      <c r="X659" t="s">
        <v>78</v>
      </c>
      <c r="Y659" t="s">
        <v>3644</v>
      </c>
      <c r="Z659" t="s">
        <v>182</v>
      </c>
      <c r="AA659" t="s">
        <v>984</v>
      </c>
      <c r="AB659" t="s">
        <v>984</v>
      </c>
      <c r="AC659" t="s">
        <v>82</v>
      </c>
      <c r="AD659" t="s">
        <v>83</v>
      </c>
      <c r="AE659" t="s">
        <v>66</v>
      </c>
      <c r="AF659" t="s">
        <v>876</v>
      </c>
    </row>
    <row r="660" spans="1:32">
      <c r="A660" t="s">
        <v>3645</v>
      </c>
      <c r="B660" t="s">
        <v>3646</v>
      </c>
      <c r="C660" t="s">
        <v>3647</v>
      </c>
      <c r="D660" t="s">
        <v>3647</v>
      </c>
      <c r="E660" t="s">
        <v>109</v>
      </c>
      <c r="F660" t="s">
        <v>68</v>
      </c>
      <c r="G660" t="s">
        <v>69</v>
      </c>
      <c r="H660" t="s">
        <v>66</v>
      </c>
      <c r="I660" t="s">
        <v>66</v>
      </c>
      <c r="J660" t="s">
        <v>67</v>
      </c>
      <c r="K660" t="s">
        <v>71</v>
      </c>
      <c r="L660" t="s">
        <v>72</v>
      </c>
      <c r="M660" t="s">
        <v>73</v>
      </c>
      <c r="N660" t="s">
        <v>66</v>
      </c>
      <c r="O660" t="s">
        <v>73</v>
      </c>
      <c r="P660" t="s">
        <v>66</v>
      </c>
      <c r="Q660" t="s">
        <v>979</v>
      </c>
      <c r="R660" t="s">
        <v>73</v>
      </c>
      <c r="S660" t="s">
        <v>979</v>
      </c>
      <c r="T660" t="s">
        <v>3648</v>
      </c>
      <c r="U660" t="s">
        <v>3649</v>
      </c>
      <c r="V660" t="s">
        <v>982</v>
      </c>
      <c r="W660" t="s">
        <v>66</v>
      </c>
      <c r="X660" t="s">
        <v>78</v>
      </c>
      <c r="Y660" t="s">
        <v>3650</v>
      </c>
      <c r="Z660" t="s">
        <v>182</v>
      </c>
      <c r="AA660" t="s">
        <v>984</v>
      </c>
      <c r="AB660" t="s">
        <v>984</v>
      </c>
      <c r="AC660" t="s">
        <v>82</v>
      </c>
      <c r="AD660" t="s">
        <v>83</v>
      </c>
      <c r="AE660" t="s">
        <v>66</v>
      </c>
      <c r="AF660" t="s">
        <v>876</v>
      </c>
    </row>
    <row r="661" spans="1:32">
      <c r="A661" t="s">
        <v>3651</v>
      </c>
      <c r="B661" t="s">
        <v>162</v>
      </c>
      <c r="C661" t="s">
        <v>3652</v>
      </c>
      <c r="D661" t="s">
        <v>66</v>
      </c>
      <c r="E661" t="s">
        <v>67</v>
      </c>
      <c r="F661" t="s">
        <v>164</v>
      </c>
      <c r="G661" t="s">
        <v>165</v>
      </c>
      <c r="H661" t="s">
        <v>66</v>
      </c>
      <c r="I661" t="s">
        <v>66</v>
      </c>
      <c r="J661" t="s">
        <v>67</v>
      </c>
      <c r="K661" t="s">
        <v>71</v>
      </c>
      <c r="L661" t="s">
        <v>72</v>
      </c>
      <c r="M661" t="s">
        <v>73</v>
      </c>
      <c r="N661" t="s">
        <v>66</v>
      </c>
      <c r="O661" t="s">
        <v>73</v>
      </c>
      <c r="P661" t="s">
        <v>66</v>
      </c>
      <c r="Q661" t="s">
        <v>979</v>
      </c>
      <c r="R661" t="s">
        <v>73</v>
      </c>
      <c r="S661" t="s">
        <v>979</v>
      </c>
      <c r="T661" t="s">
        <v>3653</v>
      </c>
      <c r="U661" t="s">
        <v>3654</v>
      </c>
      <c r="V661" t="s">
        <v>982</v>
      </c>
      <c r="W661" t="s">
        <v>66</v>
      </c>
      <c r="X661" t="s">
        <v>78</v>
      </c>
      <c r="Y661" t="s">
        <v>3655</v>
      </c>
      <c r="Z661" t="s">
        <v>182</v>
      </c>
      <c r="AA661" t="s">
        <v>984</v>
      </c>
      <c r="AB661" t="s">
        <v>984</v>
      </c>
      <c r="AC661" t="s">
        <v>82</v>
      </c>
      <c r="AD661" t="s">
        <v>83</v>
      </c>
      <c r="AE661" t="s">
        <v>66</v>
      </c>
      <c r="AF661" t="s">
        <v>876</v>
      </c>
    </row>
    <row r="662" spans="1:32">
      <c r="A662" t="s">
        <v>3656</v>
      </c>
      <c r="B662" t="s">
        <v>1319</v>
      </c>
      <c r="C662" t="s">
        <v>3657</v>
      </c>
      <c r="D662" t="s">
        <v>66</v>
      </c>
      <c r="E662" t="s">
        <v>67</v>
      </c>
      <c r="F662" t="s">
        <v>1321</v>
      </c>
      <c r="G662" t="s">
        <v>1322</v>
      </c>
      <c r="H662" t="s">
        <v>66</v>
      </c>
      <c r="I662" t="s">
        <v>66</v>
      </c>
      <c r="J662" t="s">
        <v>67</v>
      </c>
      <c r="K662" t="s">
        <v>71</v>
      </c>
      <c r="L662" t="s">
        <v>72</v>
      </c>
      <c r="M662" t="s">
        <v>73</v>
      </c>
      <c r="N662" t="s">
        <v>66</v>
      </c>
      <c r="O662" t="s">
        <v>73</v>
      </c>
      <c r="P662" t="s">
        <v>66</v>
      </c>
      <c r="Q662" t="s">
        <v>979</v>
      </c>
      <c r="R662" t="s">
        <v>73</v>
      </c>
      <c r="S662" t="s">
        <v>979</v>
      </c>
      <c r="T662" t="s">
        <v>3658</v>
      </c>
      <c r="U662" t="s">
        <v>3659</v>
      </c>
      <c r="V662" t="s">
        <v>982</v>
      </c>
      <c r="W662" t="s">
        <v>66</v>
      </c>
      <c r="X662" t="s">
        <v>78</v>
      </c>
      <c r="Y662" t="s">
        <v>3660</v>
      </c>
      <c r="Z662" t="s">
        <v>182</v>
      </c>
      <c r="AA662" t="s">
        <v>984</v>
      </c>
      <c r="AB662" t="s">
        <v>984</v>
      </c>
      <c r="AC662" t="s">
        <v>82</v>
      </c>
      <c r="AD662" t="s">
        <v>83</v>
      </c>
      <c r="AE662" t="s">
        <v>66</v>
      </c>
      <c r="AF662" t="s">
        <v>876</v>
      </c>
    </row>
    <row r="663" spans="1:32">
      <c r="A663" t="s">
        <v>3661</v>
      </c>
      <c r="B663" t="s">
        <v>1004</v>
      </c>
      <c r="C663" t="s">
        <v>3662</v>
      </c>
      <c r="D663" t="s">
        <v>66</v>
      </c>
      <c r="E663" t="s">
        <v>67</v>
      </c>
      <c r="F663" t="s">
        <v>68</v>
      </c>
      <c r="G663" t="s">
        <v>69</v>
      </c>
      <c r="H663" t="s">
        <v>66</v>
      </c>
      <c r="I663" t="s">
        <v>66</v>
      </c>
      <c r="J663" t="s">
        <v>67</v>
      </c>
      <c r="K663" t="s">
        <v>71</v>
      </c>
      <c r="L663" t="s">
        <v>72</v>
      </c>
      <c r="M663" t="s">
        <v>73</v>
      </c>
      <c r="N663" t="s">
        <v>66</v>
      </c>
      <c r="O663" t="s">
        <v>73</v>
      </c>
      <c r="P663" t="s">
        <v>66</v>
      </c>
      <c r="Q663" t="s">
        <v>979</v>
      </c>
      <c r="R663" t="s">
        <v>73</v>
      </c>
      <c r="S663" t="s">
        <v>979</v>
      </c>
      <c r="T663" t="s">
        <v>3663</v>
      </c>
      <c r="U663" t="s">
        <v>3664</v>
      </c>
      <c r="V663" t="s">
        <v>982</v>
      </c>
      <c r="W663" t="s">
        <v>66</v>
      </c>
      <c r="X663" t="s">
        <v>78</v>
      </c>
      <c r="Y663" t="s">
        <v>3665</v>
      </c>
      <c r="Z663" t="s">
        <v>182</v>
      </c>
      <c r="AA663" t="s">
        <v>984</v>
      </c>
      <c r="AB663" t="s">
        <v>984</v>
      </c>
      <c r="AC663" t="s">
        <v>82</v>
      </c>
      <c r="AD663" t="s">
        <v>83</v>
      </c>
      <c r="AE663" t="s">
        <v>66</v>
      </c>
      <c r="AF663" t="s">
        <v>876</v>
      </c>
    </row>
    <row r="664" spans="1:32">
      <c r="A664" t="s">
        <v>3666</v>
      </c>
      <c r="B664" t="s">
        <v>308</v>
      </c>
      <c r="C664" t="s">
        <v>3667</v>
      </c>
      <c r="D664" t="s">
        <v>3667</v>
      </c>
      <c r="E664" t="s">
        <v>109</v>
      </c>
      <c r="F664" t="s">
        <v>110</v>
      </c>
      <c r="G664" t="s">
        <v>111</v>
      </c>
      <c r="H664" t="s">
        <v>66</v>
      </c>
      <c r="I664" t="s">
        <v>66</v>
      </c>
      <c r="J664" t="s">
        <v>67</v>
      </c>
      <c r="K664" t="s">
        <v>71</v>
      </c>
      <c r="L664" t="s">
        <v>72</v>
      </c>
      <c r="M664" t="s">
        <v>73</v>
      </c>
      <c r="N664" t="s">
        <v>66</v>
      </c>
      <c r="O664" t="s">
        <v>73</v>
      </c>
      <c r="P664" t="s">
        <v>66</v>
      </c>
      <c r="Q664" t="s">
        <v>979</v>
      </c>
      <c r="R664" t="s">
        <v>73</v>
      </c>
      <c r="S664" t="s">
        <v>979</v>
      </c>
      <c r="T664" t="s">
        <v>3668</v>
      </c>
      <c r="U664" t="s">
        <v>3669</v>
      </c>
      <c r="V664" t="s">
        <v>982</v>
      </c>
      <c r="W664" t="s">
        <v>66</v>
      </c>
      <c r="X664" t="s">
        <v>78</v>
      </c>
      <c r="Y664" t="s">
        <v>3670</v>
      </c>
      <c r="Z664" t="s">
        <v>182</v>
      </c>
      <c r="AA664" t="s">
        <v>984</v>
      </c>
      <c r="AB664" t="s">
        <v>984</v>
      </c>
      <c r="AC664" t="s">
        <v>82</v>
      </c>
      <c r="AD664" t="s">
        <v>83</v>
      </c>
      <c r="AE664" t="s">
        <v>66</v>
      </c>
      <c r="AF664" t="s">
        <v>876</v>
      </c>
    </row>
    <row r="665" spans="1:32">
      <c r="A665" t="s">
        <v>3671</v>
      </c>
      <c r="B665" t="s">
        <v>107</v>
      </c>
      <c r="C665" t="s">
        <v>3672</v>
      </c>
      <c r="D665" t="s">
        <v>3672</v>
      </c>
      <c r="E665" t="s">
        <v>109</v>
      </c>
      <c r="F665" t="s">
        <v>110</v>
      </c>
      <c r="G665" t="s">
        <v>111</v>
      </c>
      <c r="H665" t="s">
        <v>66</v>
      </c>
      <c r="I665" t="s">
        <v>66</v>
      </c>
      <c r="J665" t="s">
        <v>67</v>
      </c>
      <c r="K665" t="s">
        <v>71</v>
      </c>
      <c r="L665" t="s">
        <v>72</v>
      </c>
      <c r="M665" t="s">
        <v>73</v>
      </c>
      <c r="N665" t="s">
        <v>66</v>
      </c>
      <c r="O665" t="s">
        <v>73</v>
      </c>
      <c r="P665" t="s">
        <v>66</v>
      </c>
      <c r="Q665" t="s">
        <v>979</v>
      </c>
      <c r="R665" t="s">
        <v>73</v>
      </c>
      <c r="S665" t="s">
        <v>979</v>
      </c>
      <c r="T665" t="s">
        <v>3673</v>
      </c>
      <c r="U665" t="s">
        <v>3674</v>
      </c>
      <c r="V665" t="s">
        <v>982</v>
      </c>
      <c r="W665" t="s">
        <v>66</v>
      </c>
      <c r="X665" t="s">
        <v>78</v>
      </c>
      <c r="Y665" t="s">
        <v>3675</v>
      </c>
      <c r="Z665" t="s">
        <v>182</v>
      </c>
      <c r="AA665" t="s">
        <v>984</v>
      </c>
      <c r="AB665" t="s">
        <v>984</v>
      </c>
      <c r="AC665" t="s">
        <v>82</v>
      </c>
      <c r="AD665" t="s">
        <v>83</v>
      </c>
      <c r="AE665" t="s">
        <v>66</v>
      </c>
      <c r="AF665" t="s">
        <v>876</v>
      </c>
    </row>
    <row r="666" spans="1:32">
      <c r="A666" t="s">
        <v>3676</v>
      </c>
      <c r="B666" t="s">
        <v>1064</v>
      </c>
      <c r="C666" t="s">
        <v>3677</v>
      </c>
      <c r="D666" t="s">
        <v>66</v>
      </c>
      <c r="E666" t="s">
        <v>67</v>
      </c>
      <c r="F666" t="s">
        <v>110</v>
      </c>
      <c r="G666" t="s">
        <v>111</v>
      </c>
      <c r="H666" t="s">
        <v>66</v>
      </c>
      <c r="I666" t="s">
        <v>66</v>
      </c>
      <c r="J666" t="s">
        <v>67</v>
      </c>
      <c r="K666" t="s">
        <v>71</v>
      </c>
      <c r="L666" t="s">
        <v>72</v>
      </c>
      <c r="M666" t="s">
        <v>73</v>
      </c>
      <c r="N666" t="s">
        <v>66</v>
      </c>
      <c r="O666" t="s">
        <v>73</v>
      </c>
      <c r="P666" t="s">
        <v>66</v>
      </c>
      <c r="Q666" t="s">
        <v>979</v>
      </c>
      <c r="R666" t="s">
        <v>73</v>
      </c>
      <c r="S666" t="s">
        <v>979</v>
      </c>
      <c r="T666" t="s">
        <v>3678</v>
      </c>
      <c r="U666" t="s">
        <v>3679</v>
      </c>
      <c r="V666" t="s">
        <v>982</v>
      </c>
      <c r="W666" t="s">
        <v>66</v>
      </c>
      <c r="X666" t="s">
        <v>78</v>
      </c>
      <c r="Y666" t="s">
        <v>3680</v>
      </c>
      <c r="Z666" t="s">
        <v>182</v>
      </c>
      <c r="AA666" t="s">
        <v>984</v>
      </c>
      <c r="AB666" t="s">
        <v>984</v>
      </c>
      <c r="AC666" t="s">
        <v>82</v>
      </c>
      <c r="AD666" t="s">
        <v>83</v>
      </c>
      <c r="AE666" t="s">
        <v>66</v>
      </c>
      <c r="AF666" t="s">
        <v>876</v>
      </c>
    </row>
    <row r="667" spans="1:32">
      <c r="A667" t="s">
        <v>3681</v>
      </c>
      <c r="B667" t="s">
        <v>1319</v>
      </c>
      <c r="C667" t="s">
        <v>3682</v>
      </c>
      <c r="D667" t="s">
        <v>66</v>
      </c>
      <c r="E667" t="s">
        <v>67</v>
      </c>
      <c r="F667" t="s">
        <v>1321</v>
      </c>
      <c r="G667" t="s">
        <v>1322</v>
      </c>
      <c r="H667" t="s">
        <v>66</v>
      </c>
      <c r="I667" t="s">
        <v>66</v>
      </c>
      <c r="J667" t="s">
        <v>67</v>
      </c>
      <c r="K667" t="s">
        <v>71</v>
      </c>
      <c r="L667" t="s">
        <v>72</v>
      </c>
      <c r="M667" t="s">
        <v>73</v>
      </c>
      <c r="N667" t="s">
        <v>66</v>
      </c>
      <c r="O667" t="s">
        <v>73</v>
      </c>
      <c r="P667" t="s">
        <v>66</v>
      </c>
      <c r="Q667" t="s">
        <v>979</v>
      </c>
      <c r="R667" t="s">
        <v>73</v>
      </c>
      <c r="S667" t="s">
        <v>979</v>
      </c>
      <c r="T667" t="s">
        <v>3683</v>
      </c>
      <c r="U667" t="s">
        <v>3684</v>
      </c>
      <c r="V667" t="s">
        <v>982</v>
      </c>
      <c r="W667" t="s">
        <v>66</v>
      </c>
      <c r="X667" t="s">
        <v>78</v>
      </c>
      <c r="Y667" t="s">
        <v>3685</v>
      </c>
      <c r="Z667" t="s">
        <v>182</v>
      </c>
      <c r="AA667" t="s">
        <v>984</v>
      </c>
      <c r="AB667" t="s">
        <v>984</v>
      </c>
      <c r="AC667" t="s">
        <v>82</v>
      </c>
      <c r="AD667" t="s">
        <v>83</v>
      </c>
      <c r="AE667" t="s">
        <v>66</v>
      </c>
      <c r="AF667" t="s">
        <v>876</v>
      </c>
    </row>
    <row r="668" spans="1:32">
      <c r="A668" t="s">
        <v>3686</v>
      </c>
      <c r="B668" t="s">
        <v>1319</v>
      </c>
      <c r="C668" t="s">
        <v>3687</v>
      </c>
      <c r="D668" t="s">
        <v>66</v>
      </c>
      <c r="E668" t="s">
        <v>67</v>
      </c>
      <c r="F668" t="s">
        <v>1321</v>
      </c>
      <c r="G668" t="s">
        <v>1322</v>
      </c>
      <c r="H668" t="s">
        <v>66</v>
      </c>
      <c r="I668" t="s">
        <v>66</v>
      </c>
      <c r="J668" t="s">
        <v>67</v>
      </c>
      <c r="K668" t="s">
        <v>71</v>
      </c>
      <c r="L668" t="s">
        <v>72</v>
      </c>
      <c r="M668" t="s">
        <v>73</v>
      </c>
      <c r="N668" t="s">
        <v>66</v>
      </c>
      <c r="O668" t="s">
        <v>73</v>
      </c>
      <c r="P668" t="s">
        <v>66</v>
      </c>
      <c r="Q668" t="s">
        <v>979</v>
      </c>
      <c r="R668" t="s">
        <v>73</v>
      </c>
      <c r="S668" t="s">
        <v>979</v>
      </c>
      <c r="T668" t="s">
        <v>3688</v>
      </c>
      <c r="U668" t="s">
        <v>3689</v>
      </c>
      <c r="V668" t="s">
        <v>982</v>
      </c>
      <c r="W668" t="s">
        <v>66</v>
      </c>
      <c r="X668" t="s">
        <v>78</v>
      </c>
      <c r="Y668" t="s">
        <v>3690</v>
      </c>
      <c r="Z668" t="s">
        <v>182</v>
      </c>
      <c r="AA668" t="s">
        <v>984</v>
      </c>
      <c r="AB668" t="s">
        <v>984</v>
      </c>
      <c r="AC668" t="s">
        <v>82</v>
      </c>
      <c r="AD668" t="s">
        <v>83</v>
      </c>
      <c r="AE668" t="s">
        <v>66</v>
      </c>
      <c r="AF668" t="s">
        <v>876</v>
      </c>
    </row>
    <row r="669" spans="1:32">
      <c r="A669" t="s">
        <v>3691</v>
      </c>
      <c r="B669" t="s">
        <v>107</v>
      </c>
      <c r="C669" t="s">
        <v>3692</v>
      </c>
      <c r="D669" t="s">
        <v>3692</v>
      </c>
      <c r="E669" t="s">
        <v>109</v>
      </c>
      <c r="F669" t="s">
        <v>110</v>
      </c>
      <c r="G669" t="s">
        <v>111</v>
      </c>
      <c r="H669" t="s">
        <v>66</v>
      </c>
      <c r="I669" t="s">
        <v>66</v>
      </c>
      <c r="J669" t="s">
        <v>67</v>
      </c>
      <c r="K669" t="s">
        <v>71</v>
      </c>
      <c r="L669" t="s">
        <v>72</v>
      </c>
      <c r="M669" t="s">
        <v>73</v>
      </c>
      <c r="N669" t="s">
        <v>66</v>
      </c>
      <c r="O669" t="s">
        <v>73</v>
      </c>
      <c r="P669" t="s">
        <v>66</v>
      </c>
      <c r="Q669" t="s">
        <v>979</v>
      </c>
      <c r="R669" t="s">
        <v>73</v>
      </c>
      <c r="S669" t="s">
        <v>979</v>
      </c>
      <c r="T669" t="s">
        <v>3693</v>
      </c>
      <c r="U669" t="s">
        <v>3694</v>
      </c>
      <c r="V669" t="s">
        <v>982</v>
      </c>
      <c r="W669" t="s">
        <v>66</v>
      </c>
      <c r="X669" t="s">
        <v>78</v>
      </c>
      <c r="Y669" t="s">
        <v>3695</v>
      </c>
      <c r="Z669" t="s">
        <v>182</v>
      </c>
      <c r="AA669" t="s">
        <v>984</v>
      </c>
      <c r="AB669" t="s">
        <v>984</v>
      </c>
      <c r="AC669" t="s">
        <v>82</v>
      </c>
      <c r="AD669" t="s">
        <v>83</v>
      </c>
      <c r="AE669" t="s">
        <v>66</v>
      </c>
      <c r="AF669" t="s">
        <v>876</v>
      </c>
    </row>
    <row r="670" spans="1:32">
      <c r="A670" t="s">
        <v>3696</v>
      </c>
      <c r="B670" t="s">
        <v>1123</v>
      </c>
      <c r="C670" t="s">
        <v>3697</v>
      </c>
      <c r="D670" t="s">
        <v>66</v>
      </c>
      <c r="E670" t="s">
        <v>67</v>
      </c>
      <c r="F670" t="s">
        <v>68</v>
      </c>
      <c r="G670" t="s">
        <v>69</v>
      </c>
      <c r="H670" t="s">
        <v>66</v>
      </c>
      <c r="I670" t="s">
        <v>66</v>
      </c>
      <c r="J670" t="s">
        <v>67</v>
      </c>
      <c r="K670" t="s">
        <v>71</v>
      </c>
      <c r="L670" t="s">
        <v>72</v>
      </c>
      <c r="M670" t="s">
        <v>73</v>
      </c>
      <c r="N670" t="s">
        <v>66</v>
      </c>
      <c r="O670" t="s">
        <v>73</v>
      </c>
      <c r="P670" t="s">
        <v>66</v>
      </c>
      <c r="Q670" t="s">
        <v>979</v>
      </c>
      <c r="R670" t="s">
        <v>73</v>
      </c>
      <c r="S670" t="s">
        <v>979</v>
      </c>
      <c r="T670" t="s">
        <v>3698</v>
      </c>
      <c r="U670" t="s">
        <v>3699</v>
      </c>
      <c r="V670" t="s">
        <v>982</v>
      </c>
      <c r="W670" t="s">
        <v>66</v>
      </c>
      <c r="X670" t="s">
        <v>78</v>
      </c>
      <c r="Y670" t="s">
        <v>3700</v>
      </c>
      <c r="Z670" t="s">
        <v>182</v>
      </c>
      <c r="AA670" t="s">
        <v>984</v>
      </c>
      <c r="AB670" t="s">
        <v>984</v>
      </c>
      <c r="AC670" t="s">
        <v>82</v>
      </c>
      <c r="AD670" t="s">
        <v>83</v>
      </c>
      <c r="AE670" t="s">
        <v>66</v>
      </c>
      <c r="AF670" t="s">
        <v>876</v>
      </c>
    </row>
    <row r="671" spans="1:32">
      <c r="A671" t="s">
        <v>3701</v>
      </c>
      <c r="B671" t="s">
        <v>3702</v>
      </c>
      <c r="C671" t="s">
        <v>3703</v>
      </c>
      <c r="D671" t="s">
        <v>66</v>
      </c>
      <c r="E671" t="s">
        <v>67</v>
      </c>
      <c r="F671" t="s">
        <v>110</v>
      </c>
      <c r="G671" t="s">
        <v>111</v>
      </c>
      <c r="H671" t="s">
        <v>66</v>
      </c>
      <c r="I671" t="s">
        <v>66</v>
      </c>
      <c r="J671" t="s">
        <v>67</v>
      </c>
      <c r="K671" t="s">
        <v>71</v>
      </c>
      <c r="L671" t="s">
        <v>72</v>
      </c>
      <c r="M671" t="s">
        <v>73</v>
      </c>
      <c r="N671" t="s">
        <v>66</v>
      </c>
      <c r="O671" t="s">
        <v>73</v>
      </c>
      <c r="P671" t="s">
        <v>66</v>
      </c>
      <c r="Q671" t="s">
        <v>979</v>
      </c>
      <c r="R671" t="s">
        <v>73</v>
      </c>
      <c r="S671" t="s">
        <v>979</v>
      </c>
      <c r="T671" t="s">
        <v>3704</v>
      </c>
      <c r="U671" t="s">
        <v>3705</v>
      </c>
      <c r="V671" t="s">
        <v>982</v>
      </c>
      <c r="W671" t="s">
        <v>66</v>
      </c>
      <c r="X671" t="s">
        <v>78</v>
      </c>
      <c r="Y671" t="s">
        <v>3706</v>
      </c>
      <c r="Z671" t="s">
        <v>182</v>
      </c>
      <c r="AA671" t="s">
        <v>984</v>
      </c>
      <c r="AB671" t="s">
        <v>984</v>
      </c>
      <c r="AC671" t="s">
        <v>82</v>
      </c>
      <c r="AD671" t="s">
        <v>83</v>
      </c>
      <c r="AE671" t="s">
        <v>66</v>
      </c>
      <c r="AF671" t="s">
        <v>876</v>
      </c>
    </row>
    <row r="672" spans="1:32">
      <c r="A672" t="s">
        <v>3707</v>
      </c>
      <c r="B672" t="s">
        <v>2698</v>
      </c>
      <c r="C672" t="s">
        <v>3708</v>
      </c>
      <c r="D672" t="s">
        <v>66</v>
      </c>
      <c r="E672" t="s">
        <v>67</v>
      </c>
      <c r="F672" t="s">
        <v>1321</v>
      </c>
      <c r="G672" t="s">
        <v>1322</v>
      </c>
      <c r="H672" t="s">
        <v>66</v>
      </c>
      <c r="I672" t="s">
        <v>66</v>
      </c>
      <c r="J672" t="s">
        <v>67</v>
      </c>
      <c r="K672" t="s">
        <v>71</v>
      </c>
      <c r="L672" t="s">
        <v>72</v>
      </c>
      <c r="M672" t="s">
        <v>73</v>
      </c>
      <c r="N672" t="s">
        <v>66</v>
      </c>
      <c r="O672" t="s">
        <v>73</v>
      </c>
      <c r="P672" t="s">
        <v>66</v>
      </c>
      <c r="Q672" t="s">
        <v>979</v>
      </c>
      <c r="R672" t="s">
        <v>73</v>
      </c>
      <c r="S672" t="s">
        <v>979</v>
      </c>
      <c r="T672" t="s">
        <v>3709</v>
      </c>
      <c r="U672" t="s">
        <v>3710</v>
      </c>
      <c r="V672" t="s">
        <v>982</v>
      </c>
      <c r="W672" t="s">
        <v>66</v>
      </c>
      <c r="X672" t="s">
        <v>78</v>
      </c>
      <c r="Y672" t="s">
        <v>3711</v>
      </c>
      <c r="Z672" t="s">
        <v>182</v>
      </c>
      <c r="AA672" t="s">
        <v>984</v>
      </c>
      <c r="AB672" t="s">
        <v>984</v>
      </c>
      <c r="AC672" t="s">
        <v>82</v>
      </c>
      <c r="AD672" t="s">
        <v>83</v>
      </c>
      <c r="AE672" t="s">
        <v>66</v>
      </c>
      <c r="AF672" t="s">
        <v>876</v>
      </c>
    </row>
    <row r="673" spans="1:32">
      <c r="A673" t="s">
        <v>3712</v>
      </c>
      <c r="B673" t="s">
        <v>162</v>
      </c>
      <c r="C673" t="s">
        <v>3713</v>
      </c>
      <c r="D673" t="s">
        <v>66</v>
      </c>
      <c r="E673" t="s">
        <v>67</v>
      </c>
      <c r="F673" t="s">
        <v>164</v>
      </c>
      <c r="G673" t="s">
        <v>165</v>
      </c>
      <c r="H673" t="s">
        <v>66</v>
      </c>
      <c r="I673" t="s">
        <v>66</v>
      </c>
      <c r="J673" t="s">
        <v>67</v>
      </c>
      <c r="K673" t="s">
        <v>71</v>
      </c>
      <c r="L673" t="s">
        <v>72</v>
      </c>
      <c r="M673" t="s">
        <v>73</v>
      </c>
      <c r="N673" t="s">
        <v>66</v>
      </c>
      <c r="O673" t="s">
        <v>73</v>
      </c>
      <c r="P673" t="s">
        <v>66</v>
      </c>
      <c r="Q673" t="s">
        <v>979</v>
      </c>
      <c r="R673" t="s">
        <v>73</v>
      </c>
      <c r="S673" t="s">
        <v>979</v>
      </c>
      <c r="T673" t="s">
        <v>3714</v>
      </c>
      <c r="U673" t="s">
        <v>3715</v>
      </c>
      <c r="V673" t="s">
        <v>982</v>
      </c>
      <c r="W673" t="s">
        <v>66</v>
      </c>
      <c r="X673" t="s">
        <v>78</v>
      </c>
      <c r="Y673" t="s">
        <v>3716</v>
      </c>
      <c r="Z673" t="s">
        <v>182</v>
      </c>
      <c r="AA673" t="s">
        <v>984</v>
      </c>
      <c r="AB673" t="s">
        <v>984</v>
      </c>
      <c r="AC673" t="s">
        <v>82</v>
      </c>
      <c r="AD673" t="s">
        <v>83</v>
      </c>
      <c r="AE673" t="s">
        <v>66</v>
      </c>
      <c r="AF673" t="s">
        <v>876</v>
      </c>
    </row>
    <row r="674" spans="1:32">
      <c r="A674" t="s">
        <v>3717</v>
      </c>
      <c r="B674" t="s">
        <v>1004</v>
      </c>
      <c r="C674" t="s">
        <v>3718</v>
      </c>
      <c r="D674" t="s">
        <v>66</v>
      </c>
      <c r="E674" t="s">
        <v>67</v>
      </c>
      <c r="F674" t="s">
        <v>68</v>
      </c>
      <c r="G674" t="s">
        <v>69</v>
      </c>
      <c r="H674" t="s">
        <v>66</v>
      </c>
      <c r="I674" t="s">
        <v>66</v>
      </c>
      <c r="J674" t="s">
        <v>67</v>
      </c>
      <c r="K674" t="s">
        <v>71</v>
      </c>
      <c r="L674" t="s">
        <v>72</v>
      </c>
      <c r="M674" t="s">
        <v>73</v>
      </c>
      <c r="N674" t="s">
        <v>66</v>
      </c>
      <c r="O674" t="s">
        <v>73</v>
      </c>
      <c r="P674" t="s">
        <v>66</v>
      </c>
      <c r="Q674" t="s">
        <v>979</v>
      </c>
      <c r="R674" t="s">
        <v>73</v>
      </c>
      <c r="S674" t="s">
        <v>979</v>
      </c>
      <c r="T674" t="s">
        <v>3719</v>
      </c>
      <c r="U674" t="s">
        <v>3720</v>
      </c>
      <c r="V674" t="s">
        <v>982</v>
      </c>
      <c r="W674" t="s">
        <v>66</v>
      </c>
      <c r="X674" t="s">
        <v>78</v>
      </c>
      <c r="Y674" t="s">
        <v>3721</v>
      </c>
      <c r="Z674" t="s">
        <v>182</v>
      </c>
      <c r="AA674" t="s">
        <v>984</v>
      </c>
      <c r="AB674" t="s">
        <v>984</v>
      </c>
      <c r="AC674" t="s">
        <v>82</v>
      </c>
      <c r="AD674" t="s">
        <v>83</v>
      </c>
      <c r="AE674" t="s">
        <v>66</v>
      </c>
      <c r="AF674" t="s">
        <v>876</v>
      </c>
    </row>
    <row r="675" spans="1:32">
      <c r="A675" t="s">
        <v>3722</v>
      </c>
      <c r="B675" t="s">
        <v>1927</v>
      </c>
      <c r="C675" t="s">
        <v>3723</v>
      </c>
      <c r="D675" t="s">
        <v>3723</v>
      </c>
      <c r="E675" t="s">
        <v>109</v>
      </c>
      <c r="F675" t="s">
        <v>68</v>
      </c>
      <c r="G675" t="s">
        <v>69</v>
      </c>
      <c r="H675" t="s">
        <v>66</v>
      </c>
      <c r="I675" t="s">
        <v>66</v>
      </c>
      <c r="J675" t="s">
        <v>67</v>
      </c>
      <c r="K675" t="s">
        <v>71</v>
      </c>
      <c r="L675" t="s">
        <v>72</v>
      </c>
      <c r="M675" t="s">
        <v>73</v>
      </c>
      <c r="N675" t="s">
        <v>66</v>
      </c>
      <c r="O675" t="s">
        <v>73</v>
      </c>
      <c r="P675" t="s">
        <v>66</v>
      </c>
      <c r="Q675" t="s">
        <v>979</v>
      </c>
      <c r="R675" t="s">
        <v>73</v>
      </c>
      <c r="S675" t="s">
        <v>979</v>
      </c>
      <c r="T675" t="s">
        <v>3724</v>
      </c>
      <c r="U675" t="s">
        <v>3725</v>
      </c>
      <c r="V675" t="s">
        <v>982</v>
      </c>
      <c r="W675" t="s">
        <v>66</v>
      </c>
      <c r="X675" t="s">
        <v>78</v>
      </c>
      <c r="Y675" t="s">
        <v>3726</v>
      </c>
      <c r="Z675" t="s">
        <v>182</v>
      </c>
      <c r="AA675" t="s">
        <v>984</v>
      </c>
      <c r="AB675" t="s">
        <v>984</v>
      </c>
      <c r="AC675" t="s">
        <v>82</v>
      </c>
      <c r="AD675" t="s">
        <v>83</v>
      </c>
      <c r="AE675" t="s">
        <v>66</v>
      </c>
      <c r="AF675" t="s">
        <v>876</v>
      </c>
    </row>
    <row r="676" spans="1:32">
      <c r="A676" t="s">
        <v>3727</v>
      </c>
      <c r="B676" t="s">
        <v>359</v>
      </c>
      <c r="C676" t="s">
        <v>3728</v>
      </c>
      <c r="D676" t="s">
        <v>3728</v>
      </c>
      <c r="E676" t="s">
        <v>109</v>
      </c>
      <c r="F676" t="s">
        <v>947</v>
      </c>
      <c r="G676" t="s">
        <v>948</v>
      </c>
      <c r="H676" t="s">
        <v>66</v>
      </c>
      <c r="I676" t="s">
        <v>66</v>
      </c>
      <c r="J676" t="s">
        <v>67</v>
      </c>
      <c r="K676" t="s">
        <v>71</v>
      </c>
      <c r="L676" t="s">
        <v>72</v>
      </c>
      <c r="M676" t="s">
        <v>73</v>
      </c>
      <c r="N676" t="s">
        <v>66</v>
      </c>
      <c r="O676" t="s">
        <v>73</v>
      </c>
      <c r="P676" t="s">
        <v>66</v>
      </c>
      <c r="Q676" t="s">
        <v>979</v>
      </c>
      <c r="R676" t="s">
        <v>73</v>
      </c>
      <c r="S676" t="s">
        <v>979</v>
      </c>
      <c r="T676" t="s">
        <v>3729</v>
      </c>
      <c r="U676" t="s">
        <v>3730</v>
      </c>
      <c r="V676" t="s">
        <v>982</v>
      </c>
      <c r="W676" t="s">
        <v>66</v>
      </c>
      <c r="X676" t="s">
        <v>78</v>
      </c>
      <c r="Y676" t="s">
        <v>3731</v>
      </c>
      <c r="Z676" t="s">
        <v>182</v>
      </c>
      <c r="AA676" t="s">
        <v>984</v>
      </c>
      <c r="AB676" t="s">
        <v>984</v>
      </c>
      <c r="AC676" t="s">
        <v>82</v>
      </c>
      <c r="AD676" t="s">
        <v>83</v>
      </c>
      <c r="AE676" t="s">
        <v>66</v>
      </c>
      <c r="AF676" t="s">
        <v>876</v>
      </c>
    </row>
    <row r="677" spans="1:32">
      <c r="A677" t="s">
        <v>3732</v>
      </c>
      <c r="B677" t="s">
        <v>308</v>
      </c>
      <c r="C677" t="s">
        <v>3733</v>
      </c>
      <c r="D677" t="s">
        <v>3733</v>
      </c>
      <c r="E677" t="s">
        <v>109</v>
      </c>
      <c r="F677" t="s">
        <v>110</v>
      </c>
      <c r="G677" t="s">
        <v>111</v>
      </c>
      <c r="H677" t="s">
        <v>66</v>
      </c>
      <c r="I677" t="s">
        <v>66</v>
      </c>
      <c r="J677" t="s">
        <v>67</v>
      </c>
      <c r="K677" t="s">
        <v>71</v>
      </c>
      <c r="L677" t="s">
        <v>72</v>
      </c>
      <c r="M677" t="s">
        <v>73</v>
      </c>
      <c r="N677" t="s">
        <v>66</v>
      </c>
      <c r="O677" t="s">
        <v>73</v>
      </c>
      <c r="P677" t="s">
        <v>66</v>
      </c>
      <c r="Q677" t="s">
        <v>979</v>
      </c>
      <c r="R677" t="s">
        <v>73</v>
      </c>
      <c r="S677" t="s">
        <v>979</v>
      </c>
      <c r="T677" t="s">
        <v>3734</v>
      </c>
      <c r="U677" t="s">
        <v>3735</v>
      </c>
      <c r="V677" t="s">
        <v>982</v>
      </c>
      <c r="W677" t="s">
        <v>66</v>
      </c>
      <c r="X677" t="s">
        <v>78</v>
      </c>
      <c r="Y677" t="s">
        <v>3736</v>
      </c>
      <c r="Z677" t="s">
        <v>182</v>
      </c>
      <c r="AA677" t="s">
        <v>984</v>
      </c>
      <c r="AB677" t="s">
        <v>984</v>
      </c>
      <c r="AC677" t="s">
        <v>82</v>
      </c>
      <c r="AD677" t="s">
        <v>83</v>
      </c>
      <c r="AE677" t="s">
        <v>66</v>
      </c>
      <c r="AF677" t="s">
        <v>876</v>
      </c>
    </row>
    <row r="678" spans="1:32">
      <c r="A678" t="s">
        <v>3737</v>
      </c>
      <c r="B678" t="s">
        <v>1319</v>
      </c>
      <c r="C678" t="s">
        <v>3738</v>
      </c>
      <c r="D678" t="s">
        <v>66</v>
      </c>
      <c r="E678" t="s">
        <v>67</v>
      </c>
      <c r="F678" t="s">
        <v>1321</v>
      </c>
      <c r="G678" t="s">
        <v>1322</v>
      </c>
      <c r="H678" t="s">
        <v>66</v>
      </c>
      <c r="I678" t="s">
        <v>66</v>
      </c>
      <c r="J678" t="s">
        <v>67</v>
      </c>
      <c r="K678" t="s">
        <v>71</v>
      </c>
      <c r="L678" t="s">
        <v>72</v>
      </c>
      <c r="M678" t="s">
        <v>73</v>
      </c>
      <c r="N678" t="s">
        <v>66</v>
      </c>
      <c r="O678" t="s">
        <v>73</v>
      </c>
      <c r="P678" t="s">
        <v>66</v>
      </c>
      <c r="Q678" t="s">
        <v>979</v>
      </c>
      <c r="R678" t="s">
        <v>73</v>
      </c>
      <c r="S678" t="s">
        <v>979</v>
      </c>
      <c r="T678" t="s">
        <v>3739</v>
      </c>
      <c r="U678" t="s">
        <v>3740</v>
      </c>
      <c r="V678" t="s">
        <v>982</v>
      </c>
      <c r="W678" t="s">
        <v>66</v>
      </c>
      <c r="X678" t="s">
        <v>78</v>
      </c>
      <c r="Y678" t="s">
        <v>3741</v>
      </c>
      <c r="Z678" t="s">
        <v>182</v>
      </c>
      <c r="AA678" t="s">
        <v>984</v>
      </c>
      <c r="AB678" t="s">
        <v>984</v>
      </c>
      <c r="AC678" t="s">
        <v>82</v>
      </c>
      <c r="AD678" t="s">
        <v>83</v>
      </c>
      <c r="AE678" t="s">
        <v>66</v>
      </c>
      <c r="AF678" t="s">
        <v>876</v>
      </c>
    </row>
    <row r="679" spans="1:32">
      <c r="A679" t="s">
        <v>3742</v>
      </c>
      <c r="B679" t="s">
        <v>162</v>
      </c>
      <c r="C679" t="s">
        <v>3743</v>
      </c>
      <c r="D679" t="s">
        <v>66</v>
      </c>
      <c r="E679" t="s">
        <v>67</v>
      </c>
      <c r="F679" t="s">
        <v>164</v>
      </c>
      <c r="G679" t="s">
        <v>165</v>
      </c>
      <c r="H679" t="s">
        <v>66</v>
      </c>
      <c r="I679" t="s">
        <v>66</v>
      </c>
      <c r="J679" t="s">
        <v>67</v>
      </c>
      <c r="K679" t="s">
        <v>71</v>
      </c>
      <c r="L679" t="s">
        <v>72</v>
      </c>
      <c r="M679" t="s">
        <v>73</v>
      </c>
      <c r="N679" t="s">
        <v>66</v>
      </c>
      <c r="O679" t="s">
        <v>73</v>
      </c>
      <c r="P679" t="s">
        <v>66</v>
      </c>
      <c r="Q679" t="s">
        <v>979</v>
      </c>
      <c r="R679" t="s">
        <v>73</v>
      </c>
      <c r="S679" t="s">
        <v>979</v>
      </c>
      <c r="T679" t="s">
        <v>3744</v>
      </c>
      <c r="U679" t="s">
        <v>3745</v>
      </c>
      <c r="V679" t="s">
        <v>982</v>
      </c>
      <c r="W679" t="s">
        <v>66</v>
      </c>
      <c r="X679" t="s">
        <v>78</v>
      </c>
      <c r="Y679" t="s">
        <v>3746</v>
      </c>
      <c r="Z679" t="s">
        <v>182</v>
      </c>
      <c r="AA679" t="s">
        <v>984</v>
      </c>
      <c r="AB679" t="s">
        <v>984</v>
      </c>
      <c r="AC679" t="s">
        <v>82</v>
      </c>
      <c r="AD679" t="s">
        <v>83</v>
      </c>
      <c r="AE679" t="s">
        <v>66</v>
      </c>
      <c r="AF679" t="s">
        <v>876</v>
      </c>
    </row>
    <row r="680" spans="1:32">
      <c r="A680" t="s">
        <v>3747</v>
      </c>
      <c r="B680" t="s">
        <v>308</v>
      </c>
      <c r="C680" t="s">
        <v>3748</v>
      </c>
      <c r="D680" t="s">
        <v>3748</v>
      </c>
      <c r="E680" t="s">
        <v>109</v>
      </c>
      <c r="F680" t="s">
        <v>110</v>
      </c>
      <c r="G680" t="s">
        <v>111</v>
      </c>
      <c r="H680" t="s">
        <v>66</v>
      </c>
      <c r="I680" t="s">
        <v>66</v>
      </c>
      <c r="J680" t="s">
        <v>67</v>
      </c>
      <c r="K680" t="s">
        <v>71</v>
      </c>
      <c r="L680" t="s">
        <v>72</v>
      </c>
      <c r="M680" t="s">
        <v>73</v>
      </c>
      <c r="N680" t="s">
        <v>66</v>
      </c>
      <c r="O680" t="s">
        <v>73</v>
      </c>
      <c r="P680" t="s">
        <v>66</v>
      </c>
      <c r="Q680" t="s">
        <v>979</v>
      </c>
      <c r="R680" t="s">
        <v>73</v>
      </c>
      <c r="S680" t="s">
        <v>979</v>
      </c>
      <c r="T680" t="s">
        <v>3749</v>
      </c>
      <c r="U680" t="s">
        <v>3750</v>
      </c>
      <c r="V680" t="s">
        <v>982</v>
      </c>
      <c r="W680" t="s">
        <v>66</v>
      </c>
      <c r="X680" t="s">
        <v>78</v>
      </c>
      <c r="Y680" t="s">
        <v>3751</v>
      </c>
      <c r="Z680" t="s">
        <v>182</v>
      </c>
      <c r="AA680" t="s">
        <v>984</v>
      </c>
      <c r="AB680" t="s">
        <v>984</v>
      </c>
      <c r="AC680" t="s">
        <v>82</v>
      </c>
      <c r="AD680" t="s">
        <v>83</v>
      </c>
      <c r="AE680" t="s">
        <v>66</v>
      </c>
      <c r="AF680" t="s">
        <v>876</v>
      </c>
    </row>
    <row r="681" spans="1:32">
      <c r="A681" t="s">
        <v>3752</v>
      </c>
      <c r="B681" t="s">
        <v>2698</v>
      </c>
      <c r="C681" t="s">
        <v>3753</v>
      </c>
      <c r="D681" t="s">
        <v>66</v>
      </c>
      <c r="E681" t="s">
        <v>67</v>
      </c>
      <c r="F681" t="s">
        <v>1321</v>
      </c>
      <c r="G681" t="s">
        <v>1322</v>
      </c>
      <c r="H681" t="s">
        <v>66</v>
      </c>
      <c r="I681" t="s">
        <v>66</v>
      </c>
      <c r="J681" t="s">
        <v>67</v>
      </c>
      <c r="K681" t="s">
        <v>71</v>
      </c>
      <c r="L681" t="s">
        <v>72</v>
      </c>
      <c r="M681" t="s">
        <v>73</v>
      </c>
      <c r="N681" t="s">
        <v>66</v>
      </c>
      <c r="O681" t="s">
        <v>73</v>
      </c>
      <c r="P681" t="s">
        <v>66</v>
      </c>
      <c r="Q681" t="s">
        <v>979</v>
      </c>
      <c r="R681" t="s">
        <v>73</v>
      </c>
      <c r="S681" t="s">
        <v>979</v>
      </c>
      <c r="T681" t="s">
        <v>3754</v>
      </c>
      <c r="U681" t="s">
        <v>3755</v>
      </c>
      <c r="V681" t="s">
        <v>982</v>
      </c>
      <c r="W681" t="s">
        <v>66</v>
      </c>
      <c r="X681" t="s">
        <v>78</v>
      </c>
      <c r="Y681" t="s">
        <v>3756</v>
      </c>
      <c r="Z681" t="s">
        <v>182</v>
      </c>
      <c r="AA681" t="s">
        <v>984</v>
      </c>
      <c r="AB681" t="s">
        <v>984</v>
      </c>
      <c r="AC681" t="s">
        <v>82</v>
      </c>
      <c r="AD681" t="s">
        <v>83</v>
      </c>
      <c r="AE681" t="s">
        <v>66</v>
      </c>
      <c r="AF681" t="s">
        <v>876</v>
      </c>
    </row>
    <row r="682" spans="1:32">
      <c r="A682" t="s">
        <v>3757</v>
      </c>
      <c r="B682" t="s">
        <v>1004</v>
      </c>
      <c r="C682" t="s">
        <v>3758</v>
      </c>
      <c r="D682" t="s">
        <v>66</v>
      </c>
      <c r="E682" t="s">
        <v>67</v>
      </c>
      <c r="F682" t="s">
        <v>68</v>
      </c>
      <c r="G682" t="s">
        <v>69</v>
      </c>
      <c r="H682" t="s">
        <v>66</v>
      </c>
      <c r="I682" t="s">
        <v>66</v>
      </c>
      <c r="J682" t="s">
        <v>67</v>
      </c>
      <c r="K682" t="s">
        <v>71</v>
      </c>
      <c r="L682" t="s">
        <v>72</v>
      </c>
      <c r="M682" t="s">
        <v>73</v>
      </c>
      <c r="N682" t="s">
        <v>66</v>
      </c>
      <c r="O682" t="s">
        <v>73</v>
      </c>
      <c r="P682" t="s">
        <v>66</v>
      </c>
      <c r="Q682" t="s">
        <v>979</v>
      </c>
      <c r="R682" t="s">
        <v>73</v>
      </c>
      <c r="S682" t="s">
        <v>979</v>
      </c>
      <c r="T682" t="s">
        <v>3759</v>
      </c>
      <c r="U682" t="s">
        <v>3760</v>
      </c>
      <c r="V682" t="s">
        <v>982</v>
      </c>
      <c r="W682" t="s">
        <v>66</v>
      </c>
      <c r="X682" t="s">
        <v>78</v>
      </c>
      <c r="Y682" t="s">
        <v>3761</v>
      </c>
      <c r="Z682" t="s">
        <v>182</v>
      </c>
      <c r="AA682" t="s">
        <v>984</v>
      </c>
      <c r="AB682" t="s">
        <v>984</v>
      </c>
      <c r="AC682" t="s">
        <v>82</v>
      </c>
      <c r="AD682" t="s">
        <v>83</v>
      </c>
      <c r="AE682" t="s">
        <v>66</v>
      </c>
      <c r="AF682" t="s">
        <v>876</v>
      </c>
    </row>
    <row r="683" spans="1:32">
      <c r="A683" t="s">
        <v>3762</v>
      </c>
      <c r="B683" t="s">
        <v>308</v>
      </c>
      <c r="C683" t="s">
        <v>3763</v>
      </c>
      <c r="D683" t="s">
        <v>3763</v>
      </c>
      <c r="E683" t="s">
        <v>109</v>
      </c>
      <c r="F683" t="s">
        <v>110</v>
      </c>
      <c r="G683" t="s">
        <v>111</v>
      </c>
      <c r="H683" t="s">
        <v>66</v>
      </c>
      <c r="I683" t="s">
        <v>66</v>
      </c>
      <c r="J683" t="s">
        <v>67</v>
      </c>
      <c r="K683" t="s">
        <v>71</v>
      </c>
      <c r="L683" t="s">
        <v>72</v>
      </c>
      <c r="M683" t="s">
        <v>73</v>
      </c>
      <c r="N683" t="s">
        <v>66</v>
      </c>
      <c r="O683" t="s">
        <v>73</v>
      </c>
      <c r="P683" t="s">
        <v>66</v>
      </c>
      <c r="Q683" t="s">
        <v>979</v>
      </c>
      <c r="R683" t="s">
        <v>73</v>
      </c>
      <c r="S683" t="s">
        <v>979</v>
      </c>
      <c r="T683" t="s">
        <v>3764</v>
      </c>
      <c r="U683" t="s">
        <v>3765</v>
      </c>
      <c r="V683" t="s">
        <v>982</v>
      </c>
      <c r="W683" t="s">
        <v>66</v>
      </c>
      <c r="X683" t="s">
        <v>78</v>
      </c>
      <c r="Y683" t="s">
        <v>3766</v>
      </c>
      <c r="Z683" t="s">
        <v>182</v>
      </c>
      <c r="AA683" t="s">
        <v>984</v>
      </c>
      <c r="AB683" t="s">
        <v>984</v>
      </c>
      <c r="AC683" t="s">
        <v>82</v>
      </c>
      <c r="AD683" t="s">
        <v>83</v>
      </c>
      <c r="AE683" t="s">
        <v>66</v>
      </c>
      <c r="AF683" t="s">
        <v>876</v>
      </c>
    </row>
    <row r="684" spans="1:32">
      <c r="A684" t="s">
        <v>3767</v>
      </c>
      <c r="B684" t="s">
        <v>1384</v>
      </c>
      <c r="C684" t="s">
        <v>3768</v>
      </c>
      <c r="D684" t="s">
        <v>66</v>
      </c>
      <c r="E684" t="s">
        <v>67</v>
      </c>
      <c r="F684" t="s">
        <v>68</v>
      </c>
      <c r="G684" t="s">
        <v>69</v>
      </c>
      <c r="H684" t="s">
        <v>66</v>
      </c>
      <c r="I684" t="s">
        <v>66</v>
      </c>
      <c r="J684" t="s">
        <v>67</v>
      </c>
      <c r="K684" t="s">
        <v>71</v>
      </c>
      <c r="L684" t="s">
        <v>72</v>
      </c>
      <c r="M684" t="s">
        <v>73</v>
      </c>
      <c r="N684" t="s">
        <v>66</v>
      </c>
      <c r="O684" t="s">
        <v>73</v>
      </c>
      <c r="P684" t="s">
        <v>66</v>
      </c>
      <c r="Q684" t="s">
        <v>979</v>
      </c>
      <c r="R684" t="s">
        <v>73</v>
      </c>
      <c r="S684" t="s">
        <v>979</v>
      </c>
      <c r="T684" t="s">
        <v>3769</v>
      </c>
      <c r="U684" t="s">
        <v>3770</v>
      </c>
      <c r="V684" t="s">
        <v>982</v>
      </c>
      <c r="W684" t="s">
        <v>66</v>
      </c>
      <c r="X684" t="s">
        <v>78</v>
      </c>
      <c r="Y684" t="s">
        <v>3771</v>
      </c>
      <c r="Z684" t="s">
        <v>182</v>
      </c>
      <c r="AA684" t="s">
        <v>984</v>
      </c>
      <c r="AB684" t="s">
        <v>984</v>
      </c>
      <c r="AC684" t="s">
        <v>82</v>
      </c>
      <c r="AD684" t="s">
        <v>83</v>
      </c>
      <c r="AE684" t="s">
        <v>66</v>
      </c>
      <c r="AF684" t="s">
        <v>876</v>
      </c>
    </row>
    <row r="685" spans="1:32">
      <c r="A685" t="s">
        <v>3772</v>
      </c>
      <c r="B685" t="s">
        <v>162</v>
      </c>
      <c r="C685" t="s">
        <v>3773</v>
      </c>
      <c r="D685" t="s">
        <v>66</v>
      </c>
      <c r="E685" t="s">
        <v>67</v>
      </c>
      <c r="F685" t="s">
        <v>164</v>
      </c>
      <c r="G685" t="s">
        <v>165</v>
      </c>
      <c r="H685" t="s">
        <v>66</v>
      </c>
      <c r="I685" t="s">
        <v>66</v>
      </c>
      <c r="J685" t="s">
        <v>67</v>
      </c>
      <c r="K685" t="s">
        <v>71</v>
      </c>
      <c r="L685" t="s">
        <v>72</v>
      </c>
      <c r="M685" t="s">
        <v>73</v>
      </c>
      <c r="N685" t="s">
        <v>66</v>
      </c>
      <c r="O685" t="s">
        <v>73</v>
      </c>
      <c r="P685" t="s">
        <v>66</v>
      </c>
      <c r="Q685" t="s">
        <v>979</v>
      </c>
      <c r="R685" t="s">
        <v>73</v>
      </c>
      <c r="S685" t="s">
        <v>979</v>
      </c>
      <c r="T685" t="s">
        <v>3774</v>
      </c>
      <c r="U685" t="s">
        <v>3775</v>
      </c>
      <c r="V685" t="s">
        <v>982</v>
      </c>
      <c r="W685" t="s">
        <v>66</v>
      </c>
      <c r="X685" t="s">
        <v>78</v>
      </c>
      <c r="Y685" t="s">
        <v>3776</v>
      </c>
      <c r="Z685" t="s">
        <v>182</v>
      </c>
      <c r="AA685" t="s">
        <v>984</v>
      </c>
      <c r="AB685" t="s">
        <v>984</v>
      </c>
      <c r="AC685" t="s">
        <v>82</v>
      </c>
      <c r="AD685" t="s">
        <v>83</v>
      </c>
      <c r="AE685" t="s">
        <v>66</v>
      </c>
      <c r="AF685" t="s">
        <v>876</v>
      </c>
    </row>
    <row r="686" spans="1:32">
      <c r="A686" t="s">
        <v>3777</v>
      </c>
      <c r="B686" t="s">
        <v>1058</v>
      </c>
      <c r="C686" t="s">
        <v>3778</v>
      </c>
      <c r="D686" t="s">
        <v>3778</v>
      </c>
      <c r="E686" t="s">
        <v>109</v>
      </c>
      <c r="F686" t="s">
        <v>110</v>
      </c>
      <c r="G686" t="s">
        <v>111</v>
      </c>
      <c r="H686" t="s">
        <v>66</v>
      </c>
      <c r="I686" t="s">
        <v>66</v>
      </c>
      <c r="J686" t="s">
        <v>67</v>
      </c>
      <c r="K686" t="s">
        <v>71</v>
      </c>
      <c r="L686" t="s">
        <v>72</v>
      </c>
      <c r="M686" t="s">
        <v>73</v>
      </c>
      <c r="N686" t="s">
        <v>66</v>
      </c>
      <c r="O686" t="s">
        <v>73</v>
      </c>
      <c r="P686" t="s">
        <v>66</v>
      </c>
      <c r="Q686" t="s">
        <v>979</v>
      </c>
      <c r="R686" t="s">
        <v>73</v>
      </c>
      <c r="S686" t="s">
        <v>979</v>
      </c>
      <c r="T686" t="s">
        <v>3779</v>
      </c>
      <c r="U686" t="s">
        <v>3780</v>
      </c>
      <c r="V686" t="s">
        <v>982</v>
      </c>
      <c r="W686" t="s">
        <v>66</v>
      </c>
      <c r="X686" t="s">
        <v>78</v>
      </c>
      <c r="Y686" t="s">
        <v>3781</v>
      </c>
      <c r="Z686" t="s">
        <v>182</v>
      </c>
      <c r="AA686" t="s">
        <v>984</v>
      </c>
      <c r="AB686" t="s">
        <v>984</v>
      </c>
      <c r="AC686" t="s">
        <v>82</v>
      </c>
      <c r="AD686" t="s">
        <v>83</v>
      </c>
      <c r="AE686" t="s">
        <v>66</v>
      </c>
      <c r="AF686" t="s">
        <v>876</v>
      </c>
    </row>
    <row r="687" spans="1:32">
      <c r="A687" t="s">
        <v>3782</v>
      </c>
      <c r="B687" t="s">
        <v>3783</v>
      </c>
      <c r="C687" t="s">
        <v>3784</v>
      </c>
      <c r="D687" t="s">
        <v>66</v>
      </c>
      <c r="E687" t="s">
        <v>67</v>
      </c>
      <c r="F687" t="s">
        <v>68</v>
      </c>
      <c r="G687" t="s">
        <v>69</v>
      </c>
      <c r="H687" t="s">
        <v>66</v>
      </c>
      <c r="I687" t="s">
        <v>66</v>
      </c>
      <c r="J687" t="s">
        <v>67</v>
      </c>
      <c r="K687" t="s">
        <v>71</v>
      </c>
      <c r="L687" t="s">
        <v>72</v>
      </c>
      <c r="M687" t="s">
        <v>73</v>
      </c>
      <c r="N687" t="s">
        <v>66</v>
      </c>
      <c r="O687" t="s">
        <v>73</v>
      </c>
      <c r="P687" t="s">
        <v>66</v>
      </c>
      <c r="Q687" t="s">
        <v>979</v>
      </c>
      <c r="R687" t="s">
        <v>73</v>
      </c>
      <c r="S687" t="s">
        <v>979</v>
      </c>
      <c r="T687" t="s">
        <v>3785</v>
      </c>
      <c r="U687" t="s">
        <v>3786</v>
      </c>
      <c r="V687" t="s">
        <v>982</v>
      </c>
      <c r="W687" t="s">
        <v>66</v>
      </c>
      <c r="X687" t="s">
        <v>78</v>
      </c>
      <c r="Y687" t="s">
        <v>3787</v>
      </c>
      <c r="Z687" t="s">
        <v>182</v>
      </c>
      <c r="AA687" t="s">
        <v>984</v>
      </c>
      <c r="AB687" t="s">
        <v>984</v>
      </c>
      <c r="AC687" t="s">
        <v>82</v>
      </c>
      <c r="AD687" t="s">
        <v>83</v>
      </c>
      <c r="AE687" t="s">
        <v>66</v>
      </c>
      <c r="AF687" t="s">
        <v>876</v>
      </c>
    </row>
    <row r="688" spans="1:32">
      <c r="A688" t="s">
        <v>3788</v>
      </c>
      <c r="B688" t="s">
        <v>1004</v>
      </c>
      <c r="C688" t="s">
        <v>3789</v>
      </c>
      <c r="D688" t="s">
        <v>66</v>
      </c>
      <c r="E688" t="s">
        <v>67</v>
      </c>
      <c r="F688" t="s">
        <v>68</v>
      </c>
      <c r="G688" t="s">
        <v>69</v>
      </c>
      <c r="H688" t="s">
        <v>66</v>
      </c>
      <c r="I688" t="s">
        <v>66</v>
      </c>
      <c r="J688" t="s">
        <v>67</v>
      </c>
      <c r="K688" t="s">
        <v>71</v>
      </c>
      <c r="L688" t="s">
        <v>72</v>
      </c>
      <c r="M688" t="s">
        <v>73</v>
      </c>
      <c r="N688" t="s">
        <v>66</v>
      </c>
      <c r="O688" t="s">
        <v>73</v>
      </c>
      <c r="P688" t="s">
        <v>66</v>
      </c>
      <c r="Q688" t="s">
        <v>979</v>
      </c>
      <c r="R688" t="s">
        <v>73</v>
      </c>
      <c r="S688" t="s">
        <v>979</v>
      </c>
      <c r="T688" t="s">
        <v>3790</v>
      </c>
      <c r="U688" t="s">
        <v>3791</v>
      </c>
      <c r="V688" t="s">
        <v>982</v>
      </c>
      <c r="W688" t="s">
        <v>66</v>
      </c>
      <c r="X688" t="s">
        <v>78</v>
      </c>
      <c r="Y688" t="s">
        <v>3792</v>
      </c>
      <c r="Z688" t="s">
        <v>182</v>
      </c>
      <c r="AA688" t="s">
        <v>984</v>
      </c>
      <c r="AB688" t="s">
        <v>984</v>
      </c>
      <c r="AC688" t="s">
        <v>82</v>
      </c>
      <c r="AD688" t="s">
        <v>83</v>
      </c>
      <c r="AE688" t="s">
        <v>66</v>
      </c>
      <c r="AF688" t="s">
        <v>876</v>
      </c>
    </row>
    <row r="689" spans="1:32">
      <c r="A689" t="s">
        <v>3793</v>
      </c>
      <c r="B689" t="s">
        <v>107</v>
      </c>
      <c r="C689" t="s">
        <v>3794</v>
      </c>
      <c r="D689" t="s">
        <v>3794</v>
      </c>
      <c r="E689" t="s">
        <v>109</v>
      </c>
      <c r="F689" t="s">
        <v>110</v>
      </c>
      <c r="G689" t="s">
        <v>111</v>
      </c>
      <c r="H689" t="s">
        <v>66</v>
      </c>
      <c r="I689" t="s">
        <v>66</v>
      </c>
      <c r="J689" t="s">
        <v>67</v>
      </c>
      <c r="K689" t="s">
        <v>71</v>
      </c>
      <c r="L689" t="s">
        <v>72</v>
      </c>
      <c r="M689" t="s">
        <v>73</v>
      </c>
      <c r="N689" t="s">
        <v>66</v>
      </c>
      <c r="O689" t="s">
        <v>73</v>
      </c>
      <c r="P689" t="s">
        <v>66</v>
      </c>
      <c r="Q689" t="s">
        <v>979</v>
      </c>
      <c r="R689" t="s">
        <v>73</v>
      </c>
      <c r="S689" t="s">
        <v>979</v>
      </c>
      <c r="T689" t="s">
        <v>3795</v>
      </c>
      <c r="U689" t="s">
        <v>3796</v>
      </c>
      <c r="V689" t="s">
        <v>982</v>
      </c>
      <c r="W689" t="s">
        <v>66</v>
      </c>
      <c r="X689" t="s">
        <v>78</v>
      </c>
      <c r="Y689" t="s">
        <v>3797</v>
      </c>
      <c r="Z689" t="s">
        <v>182</v>
      </c>
      <c r="AA689" t="s">
        <v>984</v>
      </c>
      <c r="AB689" t="s">
        <v>984</v>
      </c>
      <c r="AC689" t="s">
        <v>82</v>
      </c>
      <c r="AD689" t="s">
        <v>83</v>
      </c>
      <c r="AE689" t="s">
        <v>66</v>
      </c>
      <c r="AF689" t="s">
        <v>876</v>
      </c>
    </row>
    <row r="690" spans="1:32">
      <c r="A690" t="s">
        <v>3798</v>
      </c>
      <c r="B690" t="s">
        <v>841</v>
      </c>
      <c r="C690" t="s">
        <v>3799</v>
      </c>
      <c r="D690" t="s">
        <v>3799</v>
      </c>
      <c r="E690" t="s">
        <v>109</v>
      </c>
      <c r="F690" t="s">
        <v>110</v>
      </c>
      <c r="G690" t="s">
        <v>111</v>
      </c>
      <c r="H690" t="s">
        <v>66</v>
      </c>
      <c r="I690" t="s">
        <v>66</v>
      </c>
      <c r="J690" t="s">
        <v>67</v>
      </c>
      <c r="K690" t="s">
        <v>71</v>
      </c>
      <c r="L690" t="s">
        <v>72</v>
      </c>
      <c r="M690" t="s">
        <v>73</v>
      </c>
      <c r="N690" t="s">
        <v>66</v>
      </c>
      <c r="O690" t="s">
        <v>73</v>
      </c>
      <c r="P690" t="s">
        <v>66</v>
      </c>
      <c r="Q690" t="s">
        <v>979</v>
      </c>
      <c r="R690" t="s">
        <v>73</v>
      </c>
      <c r="S690" t="s">
        <v>979</v>
      </c>
      <c r="T690" t="s">
        <v>3800</v>
      </c>
      <c r="U690" t="s">
        <v>3801</v>
      </c>
      <c r="V690" t="s">
        <v>982</v>
      </c>
      <c r="W690" t="s">
        <v>66</v>
      </c>
      <c r="X690" t="s">
        <v>78</v>
      </c>
      <c r="Y690" t="s">
        <v>3802</v>
      </c>
      <c r="Z690" t="s">
        <v>182</v>
      </c>
      <c r="AA690" t="s">
        <v>984</v>
      </c>
      <c r="AB690" t="s">
        <v>984</v>
      </c>
      <c r="AC690" t="s">
        <v>82</v>
      </c>
      <c r="AD690" t="s">
        <v>83</v>
      </c>
      <c r="AE690" t="s">
        <v>66</v>
      </c>
      <c r="AF690" t="s">
        <v>876</v>
      </c>
    </row>
    <row r="691" spans="1:32">
      <c r="A691" t="s">
        <v>3803</v>
      </c>
      <c r="B691" t="s">
        <v>162</v>
      </c>
      <c r="C691" t="s">
        <v>3804</v>
      </c>
      <c r="D691" t="s">
        <v>66</v>
      </c>
      <c r="E691" t="s">
        <v>67</v>
      </c>
      <c r="F691" t="s">
        <v>164</v>
      </c>
      <c r="G691" t="s">
        <v>165</v>
      </c>
      <c r="H691" t="s">
        <v>66</v>
      </c>
      <c r="I691" t="s">
        <v>66</v>
      </c>
      <c r="J691" t="s">
        <v>67</v>
      </c>
      <c r="K691" t="s">
        <v>71</v>
      </c>
      <c r="L691" t="s">
        <v>72</v>
      </c>
      <c r="M691" t="s">
        <v>73</v>
      </c>
      <c r="N691" t="s">
        <v>66</v>
      </c>
      <c r="O691" t="s">
        <v>73</v>
      </c>
      <c r="P691" t="s">
        <v>66</v>
      </c>
      <c r="Q691" t="s">
        <v>979</v>
      </c>
      <c r="R691" t="s">
        <v>73</v>
      </c>
      <c r="S691" t="s">
        <v>979</v>
      </c>
      <c r="T691" t="s">
        <v>3805</v>
      </c>
      <c r="U691" t="s">
        <v>3806</v>
      </c>
      <c r="V691" t="s">
        <v>982</v>
      </c>
      <c r="W691" t="s">
        <v>66</v>
      </c>
      <c r="X691" t="s">
        <v>78</v>
      </c>
      <c r="Y691" t="s">
        <v>3807</v>
      </c>
      <c r="Z691" t="s">
        <v>182</v>
      </c>
      <c r="AA691" t="s">
        <v>984</v>
      </c>
      <c r="AB691" t="s">
        <v>984</v>
      </c>
      <c r="AC691" t="s">
        <v>82</v>
      </c>
      <c r="AD691" t="s">
        <v>83</v>
      </c>
      <c r="AE691" t="s">
        <v>66</v>
      </c>
      <c r="AF691" t="s">
        <v>876</v>
      </c>
    </row>
    <row r="692" spans="1:32">
      <c r="A692" t="s">
        <v>3808</v>
      </c>
      <c r="B692" t="s">
        <v>308</v>
      </c>
      <c r="C692" t="s">
        <v>3809</v>
      </c>
      <c r="D692" t="s">
        <v>3809</v>
      </c>
      <c r="E692" t="s">
        <v>109</v>
      </c>
      <c r="F692" t="s">
        <v>110</v>
      </c>
      <c r="G692" t="s">
        <v>111</v>
      </c>
      <c r="H692" t="s">
        <v>66</v>
      </c>
      <c r="I692" t="s">
        <v>66</v>
      </c>
      <c r="J692" t="s">
        <v>67</v>
      </c>
      <c r="K692" t="s">
        <v>71</v>
      </c>
      <c r="L692" t="s">
        <v>72</v>
      </c>
      <c r="M692" t="s">
        <v>73</v>
      </c>
      <c r="N692" t="s">
        <v>66</v>
      </c>
      <c r="O692" t="s">
        <v>73</v>
      </c>
      <c r="P692" t="s">
        <v>66</v>
      </c>
      <c r="Q692" t="s">
        <v>979</v>
      </c>
      <c r="R692" t="s">
        <v>73</v>
      </c>
      <c r="S692" t="s">
        <v>979</v>
      </c>
      <c r="T692" t="s">
        <v>3810</v>
      </c>
      <c r="U692" t="s">
        <v>3811</v>
      </c>
      <c r="V692" t="s">
        <v>982</v>
      </c>
      <c r="W692" t="s">
        <v>66</v>
      </c>
      <c r="X692" t="s">
        <v>78</v>
      </c>
      <c r="Y692" t="s">
        <v>3812</v>
      </c>
      <c r="Z692" t="s">
        <v>182</v>
      </c>
      <c r="AA692" t="s">
        <v>984</v>
      </c>
      <c r="AB692" t="s">
        <v>984</v>
      </c>
      <c r="AC692" t="s">
        <v>82</v>
      </c>
      <c r="AD692" t="s">
        <v>83</v>
      </c>
      <c r="AE692" t="s">
        <v>66</v>
      </c>
      <c r="AF692" t="s">
        <v>876</v>
      </c>
    </row>
    <row r="693" spans="1:32">
      <c r="A693" t="s">
        <v>3813</v>
      </c>
      <c r="B693" t="s">
        <v>308</v>
      </c>
      <c r="C693" t="s">
        <v>3814</v>
      </c>
      <c r="D693" t="s">
        <v>3814</v>
      </c>
      <c r="E693" t="s">
        <v>109</v>
      </c>
      <c r="F693" t="s">
        <v>110</v>
      </c>
      <c r="G693" t="s">
        <v>111</v>
      </c>
      <c r="H693" t="s">
        <v>66</v>
      </c>
      <c r="I693" t="s">
        <v>66</v>
      </c>
      <c r="J693" t="s">
        <v>67</v>
      </c>
      <c r="K693" t="s">
        <v>71</v>
      </c>
      <c r="L693" t="s">
        <v>72</v>
      </c>
      <c r="M693" t="s">
        <v>73</v>
      </c>
      <c r="N693" t="s">
        <v>66</v>
      </c>
      <c r="O693" t="s">
        <v>73</v>
      </c>
      <c r="P693" t="s">
        <v>66</v>
      </c>
      <c r="Q693" t="s">
        <v>979</v>
      </c>
      <c r="R693" t="s">
        <v>73</v>
      </c>
      <c r="S693" t="s">
        <v>979</v>
      </c>
      <c r="T693" t="s">
        <v>3815</v>
      </c>
      <c r="U693" t="s">
        <v>3816</v>
      </c>
      <c r="V693" t="s">
        <v>982</v>
      </c>
      <c r="W693" t="s">
        <v>66</v>
      </c>
      <c r="X693" t="s">
        <v>78</v>
      </c>
      <c r="Y693" t="s">
        <v>3817</v>
      </c>
      <c r="Z693" t="s">
        <v>182</v>
      </c>
      <c r="AA693" t="s">
        <v>984</v>
      </c>
      <c r="AB693" t="s">
        <v>984</v>
      </c>
      <c r="AC693" t="s">
        <v>82</v>
      </c>
      <c r="AD693" t="s">
        <v>83</v>
      </c>
      <c r="AE693" t="s">
        <v>66</v>
      </c>
      <c r="AF693" t="s">
        <v>876</v>
      </c>
    </row>
    <row r="694" spans="1:32">
      <c r="A694" t="s">
        <v>3818</v>
      </c>
      <c r="B694" t="s">
        <v>162</v>
      </c>
      <c r="C694" t="s">
        <v>3819</v>
      </c>
      <c r="D694" t="s">
        <v>66</v>
      </c>
      <c r="E694" t="s">
        <v>67</v>
      </c>
      <c r="F694" t="s">
        <v>164</v>
      </c>
      <c r="G694" t="s">
        <v>165</v>
      </c>
      <c r="H694" t="s">
        <v>66</v>
      </c>
      <c r="I694" t="s">
        <v>66</v>
      </c>
      <c r="J694" t="s">
        <v>67</v>
      </c>
      <c r="K694" t="s">
        <v>71</v>
      </c>
      <c r="L694" t="s">
        <v>72</v>
      </c>
      <c r="M694" t="s">
        <v>73</v>
      </c>
      <c r="N694" t="s">
        <v>66</v>
      </c>
      <c r="O694" t="s">
        <v>73</v>
      </c>
      <c r="P694" t="s">
        <v>66</v>
      </c>
      <c r="Q694" t="s">
        <v>979</v>
      </c>
      <c r="R694" t="s">
        <v>73</v>
      </c>
      <c r="S694" t="s">
        <v>979</v>
      </c>
      <c r="T694" t="s">
        <v>3820</v>
      </c>
      <c r="U694" t="s">
        <v>3821</v>
      </c>
      <c r="V694" t="s">
        <v>982</v>
      </c>
      <c r="W694" t="s">
        <v>66</v>
      </c>
      <c r="X694" t="s">
        <v>78</v>
      </c>
      <c r="Y694" t="s">
        <v>3822</v>
      </c>
      <c r="Z694" t="s">
        <v>182</v>
      </c>
      <c r="AA694" t="s">
        <v>984</v>
      </c>
      <c r="AB694" t="s">
        <v>984</v>
      </c>
      <c r="AC694" t="s">
        <v>82</v>
      </c>
      <c r="AD694" t="s">
        <v>83</v>
      </c>
      <c r="AE694" t="s">
        <v>66</v>
      </c>
      <c r="AF694" t="s">
        <v>876</v>
      </c>
    </row>
    <row r="695" spans="1:32">
      <c r="A695" t="s">
        <v>3823</v>
      </c>
      <c r="B695" t="s">
        <v>841</v>
      </c>
      <c r="C695" t="s">
        <v>3824</v>
      </c>
      <c r="D695" t="s">
        <v>3824</v>
      </c>
      <c r="E695" t="s">
        <v>109</v>
      </c>
      <c r="F695" t="s">
        <v>110</v>
      </c>
      <c r="G695" t="s">
        <v>111</v>
      </c>
      <c r="H695" t="s">
        <v>66</v>
      </c>
      <c r="I695" t="s">
        <v>66</v>
      </c>
      <c r="J695" t="s">
        <v>67</v>
      </c>
      <c r="K695" t="s">
        <v>71</v>
      </c>
      <c r="L695" t="s">
        <v>72</v>
      </c>
      <c r="M695" t="s">
        <v>73</v>
      </c>
      <c r="N695" t="s">
        <v>66</v>
      </c>
      <c r="O695" t="s">
        <v>73</v>
      </c>
      <c r="P695" t="s">
        <v>66</v>
      </c>
      <c r="Q695" t="s">
        <v>979</v>
      </c>
      <c r="R695" t="s">
        <v>73</v>
      </c>
      <c r="S695" t="s">
        <v>979</v>
      </c>
      <c r="T695" t="s">
        <v>3825</v>
      </c>
      <c r="U695" t="s">
        <v>3826</v>
      </c>
      <c r="V695" t="s">
        <v>982</v>
      </c>
      <c r="W695" t="s">
        <v>66</v>
      </c>
      <c r="X695" t="s">
        <v>78</v>
      </c>
      <c r="Y695" t="s">
        <v>3827</v>
      </c>
      <c r="Z695" t="s">
        <v>182</v>
      </c>
      <c r="AA695" t="s">
        <v>984</v>
      </c>
      <c r="AB695" t="s">
        <v>984</v>
      </c>
      <c r="AC695" t="s">
        <v>82</v>
      </c>
      <c r="AD695" t="s">
        <v>83</v>
      </c>
      <c r="AE695" t="s">
        <v>66</v>
      </c>
      <c r="AF695" t="s">
        <v>876</v>
      </c>
    </row>
    <row r="696" spans="1:32">
      <c r="A696" t="s">
        <v>3828</v>
      </c>
      <c r="B696" t="s">
        <v>107</v>
      </c>
      <c r="C696" t="s">
        <v>3829</v>
      </c>
      <c r="D696" t="s">
        <v>3829</v>
      </c>
      <c r="E696" t="s">
        <v>109</v>
      </c>
      <c r="F696" t="s">
        <v>110</v>
      </c>
      <c r="G696" t="s">
        <v>111</v>
      </c>
      <c r="H696" t="s">
        <v>66</v>
      </c>
      <c r="I696" t="s">
        <v>66</v>
      </c>
      <c r="J696" t="s">
        <v>67</v>
      </c>
      <c r="K696" t="s">
        <v>71</v>
      </c>
      <c r="L696" t="s">
        <v>72</v>
      </c>
      <c r="M696" t="s">
        <v>73</v>
      </c>
      <c r="N696" t="s">
        <v>66</v>
      </c>
      <c r="O696" t="s">
        <v>73</v>
      </c>
      <c r="P696" t="s">
        <v>66</v>
      </c>
      <c r="Q696" t="s">
        <v>979</v>
      </c>
      <c r="R696" t="s">
        <v>73</v>
      </c>
      <c r="S696" t="s">
        <v>979</v>
      </c>
      <c r="T696" t="s">
        <v>3830</v>
      </c>
      <c r="U696" t="s">
        <v>3831</v>
      </c>
      <c r="V696" t="s">
        <v>982</v>
      </c>
      <c r="W696" t="s">
        <v>66</v>
      </c>
      <c r="X696" t="s">
        <v>78</v>
      </c>
      <c r="Y696" t="s">
        <v>3832</v>
      </c>
      <c r="Z696" t="s">
        <v>182</v>
      </c>
      <c r="AA696" t="s">
        <v>984</v>
      </c>
      <c r="AB696" t="s">
        <v>984</v>
      </c>
      <c r="AC696" t="s">
        <v>82</v>
      </c>
      <c r="AD696" t="s">
        <v>83</v>
      </c>
      <c r="AE696" t="s">
        <v>66</v>
      </c>
      <c r="AF696" t="s">
        <v>876</v>
      </c>
    </row>
    <row r="697" spans="1:32">
      <c r="A697" t="s">
        <v>3833</v>
      </c>
      <c r="B697" t="s">
        <v>308</v>
      </c>
      <c r="C697" t="s">
        <v>3834</v>
      </c>
      <c r="D697" t="s">
        <v>3834</v>
      </c>
      <c r="E697" t="s">
        <v>109</v>
      </c>
      <c r="F697" t="s">
        <v>68</v>
      </c>
      <c r="G697" t="s">
        <v>69</v>
      </c>
      <c r="H697" t="s">
        <v>66</v>
      </c>
      <c r="I697" t="s">
        <v>66</v>
      </c>
      <c r="J697" t="s">
        <v>67</v>
      </c>
      <c r="K697" t="s">
        <v>71</v>
      </c>
      <c r="L697" t="s">
        <v>72</v>
      </c>
      <c r="M697" t="s">
        <v>73</v>
      </c>
      <c r="N697" t="s">
        <v>66</v>
      </c>
      <c r="O697" t="s">
        <v>73</v>
      </c>
      <c r="P697" t="s">
        <v>66</v>
      </c>
      <c r="Q697" t="s">
        <v>979</v>
      </c>
      <c r="R697" t="s">
        <v>73</v>
      </c>
      <c r="S697" t="s">
        <v>979</v>
      </c>
      <c r="T697" t="s">
        <v>3835</v>
      </c>
      <c r="U697" t="s">
        <v>3836</v>
      </c>
      <c r="V697" t="s">
        <v>982</v>
      </c>
      <c r="W697" t="s">
        <v>66</v>
      </c>
      <c r="X697" t="s">
        <v>78</v>
      </c>
      <c r="Y697" t="s">
        <v>3837</v>
      </c>
      <c r="Z697" t="s">
        <v>182</v>
      </c>
      <c r="AA697" t="s">
        <v>984</v>
      </c>
      <c r="AB697" t="s">
        <v>984</v>
      </c>
      <c r="AC697" t="s">
        <v>82</v>
      </c>
      <c r="AD697" t="s">
        <v>83</v>
      </c>
      <c r="AE697" t="s">
        <v>66</v>
      </c>
      <c r="AF697" t="s">
        <v>876</v>
      </c>
    </row>
    <row r="698" spans="1:32">
      <c r="A698" t="s">
        <v>3838</v>
      </c>
      <c r="B698" t="s">
        <v>86</v>
      </c>
      <c r="C698" t="s">
        <v>3839</v>
      </c>
      <c r="D698" t="s">
        <v>66</v>
      </c>
      <c r="E698" t="s">
        <v>67</v>
      </c>
      <c r="F698" t="s">
        <v>68</v>
      </c>
      <c r="G698" t="s">
        <v>69</v>
      </c>
      <c r="H698" t="s">
        <v>66</v>
      </c>
      <c r="I698" t="s">
        <v>66</v>
      </c>
      <c r="J698" t="s">
        <v>67</v>
      </c>
      <c r="K698" t="s">
        <v>71</v>
      </c>
      <c r="L698" t="s">
        <v>72</v>
      </c>
      <c r="M698" t="s">
        <v>73</v>
      </c>
      <c r="N698" t="s">
        <v>66</v>
      </c>
      <c r="O698" t="s">
        <v>73</v>
      </c>
      <c r="P698" t="s">
        <v>66</v>
      </c>
      <c r="Q698" t="s">
        <v>979</v>
      </c>
      <c r="R698" t="s">
        <v>73</v>
      </c>
      <c r="S698" t="s">
        <v>979</v>
      </c>
      <c r="T698" t="s">
        <v>3840</v>
      </c>
      <c r="U698" t="s">
        <v>3841</v>
      </c>
      <c r="V698" t="s">
        <v>982</v>
      </c>
      <c r="W698" t="s">
        <v>66</v>
      </c>
      <c r="X698" t="s">
        <v>78</v>
      </c>
      <c r="Y698" t="s">
        <v>3842</v>
      </c>
      <c r="Z698" t="s">
        <v>182</v>
      </c>
      <c r="AA698" t="s">
        <v>984</v>
      </c>
      <c r="AB698" t="s">
        <v>984</v>
      </c>
      <c r="AC698" t="s">
        <v>82</v>
      </c>
      <c r="AD698" t="s">
        <v>83</v>
      </c>
      <c r="AE698" t="s">
        <v>66</v>
      </c>
      <c r="AF698" t="s">
        <v>876</v>
      </c>
    </row>
    <row r="699" spans="1:32">
      <c r="A699" t="s">
        <v>3843</v>
      </c>
      <c r="B699" t="s">
        <v>841</v>
      </c>
      <c r="C699" t="s">
        <v>3844</v>
      </c>
      <c r="D699" t="s">
        <v>3844</v>
      </c>
      <c r="E699" t="s">
        <v>109</v>
      </c>
      <c r="F699" t="s">
        <v>110</v>
      </c>
      <c r="G699" t="s">
        <v>111</v>
      </c>
      <c r="H699" t="s">
        <v>66</v>
      </c>
      <c r="I699" t="s">
        <v>66</v>
      </c>
      <c r="J699" t="s">
        <v>67</v>
      </c>
      <c r="K699" t="s">
        <v>71</v>
      </c>
      <c r="L699" t="s">
        <v>72</v>
      </c>
      <c r="M699" t="s">
        <v>73</v>
      </c>
      <c r="N699" t="s">
        <v>66</v>
      </c>
      <c r="O699" t="s">
        <v>73</v>
      </c>
      <c r="P699" t="s">
        <v>66</v>
      </c>
      <c r="Q699" t="s">
        <v>979</v>
      </c>
      <c r="R699" t="s">
        <v>73</v>
      </c>
      <c r="S699" t="s">
        <v>979</v>
      </c>
      <c r="T699" t="s">
        <v>3845</v>
      </c>
      <c r="U699" t="s">
        <v>3846</v>
      </c>
      <c r="V699" t="s">
        <v>982</v>
      </c>
      <c r="W699" t="s">
        <v>66</v>
      </c>
      <c r="X699" t="s">
        <v>78</v>
      </c>
      <c r="Y699" t="s">
        <v>3847</v>
      </c>
      <c r="Z699" t="s">
        <v>182</v>
      </c>
      <c r="AA699" t="s">
        <v>984</v>
      </c>
      <c r="AB699" t="s">
        <v>984</v>
      </c>
      <c r="AC699" t="s">
        <v>82</v>
      </c>
      <c r="AD699" t="s">
        <v>83</v>
      </c>
      <c r="AE699" t="s">
        <v>66</v>
      </c>
      <c r="AF699" t="s">
        <v>876</v>
      </c>
    </row>
    <row r="700" spans="1:32">
      <c r="A700" t="s">
        <v>3848</v>
      </c>
      <c r="B700" t="s">
        <v>1004</v>
      </c>
      <c r="C700" t="s">
        <v>3849</v>
      </c>
      <c r="D700" t="s">
        <v>66</v>
      </c>
      <c r="E700" t="s">
        <v>67</v>
      </c>
      <c r="F700" t="s">
        <v>68</v>
      </c>
      <c r="G700" t="s">
        <v>69</v>
      </c>
      <c r="H700" t="s">
        <v>66</v>
      </c>
      <c r="I700" t="s">
        <v>66</v>
      </c>
      <c r="J700" t="s">
        <v>67</v>
      </c>
      <c r="K700" t="s">
        <v>71</v>
      </c>
      <c r="L700" t="s">
        <v>72</v>
      </c>
      <c r="M700" t="s">
        <v>73</v>
      </c>
      <c r="N700" t="s">
        <v>66</v>
      </c>
      <c r="O700" t="s">
        <v>73</v>
      </c>
      <c r="P700" t="s">
        <v>66</v>
      </c>
      <c r="Q700" t="s">
        <v>979</v>
      </c>
      <c r="R700" t="s">
        <v>73</v>
      </c>
      <c r="S700" t="s">
        <v>979</v>
      </c>
      <c r="T700" t="s">
        <v>3850</v>
      </c>
      <c r="U700" t="s">
        <v>3851</v>
      </c>
      <c r="V700" t="s">
        <v>982</v>
      </c>
      <c r="W700" t="s">
        <v>66</v>
      </c>
      <c r="X700" t="s">
        <v>78</v>
      </c>
      <c r="Y700" t="s">
        <v>3852</v>
      </c>
      <c r="Z700" t="s">
        <v>182</v>
      </c>
      <c r="AA700" t="s">
        <v>984</v>
      </c>
      <c r="AB700" t="s">
        <v>984</v>
      </c>
      <c r="AC700" t="s">
        <v>82</v>
      </c>
      <c r="AD700" t="s">
        <v>83</v>
      </c>
      <c r="AE700" t="s">
        <v>66</v>
      </c>
      <c r="AF700" t="s">
        <v>876</v>
      </c>
    </row>
    <row r="701" spans="1:32">
      <c r="A701" t="s">
        <v>3853</v>
      </c>
      <c r="B701" t="s">
        <v>308</v>
      </c>
      <c r="C701" t="s">
        <v>3854</v>
      </c>
      <c r="D701" t="s">
        <v>3854</v>
      </c>
      <c r="E701" t="s">
        <v>109</v>
      </c>
      <c r="F701" t="s">
        <v>110</v>
      </c>
      <c r="G701" t="s">
        <v>111</v>
      </c>
      <c r="H701" t="s">
        <v>66</v>
      </c>
      <c r="I701" t="s">
        <v>66</v>
      </c>
      <c r="J701" t="s">
        <v>67</v>
      </c>
      <c r="K701" t="s">
        <v>71</v>
      </c>
      <c r="L701" t="s">
        <v>72</v>
      </c>
      <c r="M701" t="s">
        <v>73</v>
      </c>
      <c r="N701" t="s">
        <v>66</v>
      </c>
      <c r="O701" t="s">
        <v>73</v>
      </c>
      <c r="P701" t="s">
        <v>66</v>
      </c>
      <c r="Q701" t="s">
        <v>979</v>
      </c>
      <c r="R701" t="s">
        <v>73</v>
      </c>
      <c r="S701" t="s">
        <v>979</v>
      </c>
      <c r="T701" t="s">
        <v>3855</v>
      </c>
      <c r="U701" t="s">
        <v>3856</v>
      </c>
      <c r="V701" t="s">
        <v>982</v>
      </c>
      <c r="W701" t="s">
        <v>66</v>
      </c>
      <c r="X701" t="s">
        <v>78</v>
      </c>
      <c r="Y701" t="s">
        <v>3857</v>
      </c>
      <c r="Z701" t="s">
        <v>182</v>
      </c>
      <c r="AA701" t="s">
        <v>984</v>
      </c>
      <c r="AB701" t="s">
        <v>984</v>
      </c>
      <c r="AC701" t="s">
        <v>82</v>
      </c>
      <c r="AD701" t="s">
        <v>83</v>
      </c>
      <c r="AE701" t="s">
        <v>66</v>
      </c>
      <c r="AF701" t="s">
        <v>876</v>
      </c>
    </row>
    <row r="702" spans="1:32">
      <c r="A702" t="s">
        <v>3858</v>
      </c>
      <c r="B702" t="s">
        <v>1995</v>
      </c>
      <c r="C702" t="s">
        <v>3859</v>
      </c>
      <c r="D702" t="s">
        <v>66</v>
      </c>
      <c r="E702" t="s">
        <v>67</v>
      </c>
      <c r="F702" t="s">
        <v>110</v>
      </c>
      <c r="G702" t="s">
        <v>111</v>
      </c>
      <c r="H702" t="s">
        <v>66</v>
      </c>
      <c r="I702" t="s">
        <v>66</v>
      </c>
      <c r="J702" t="s">
        <v>67</v>
      </c>
      <c r="K702" t="s">
        <v>71</v>
      </c>
      <c r="L702" t="s">
        <v>72</v>
      </c>
      <c r="M702" t="s">
        <v>73</v>
      </c>
      <c r="N702" t="s">
        <v>66</v>
      </c>
      <c r="O702" t="s">
        <v>73</v>
      </c>
      <c r="P702" t="s">
        <v>66</v>
      </c>
      <c r="Q702" t="s">
        <v>979</v>
      </c>
      <c r="R702" t="s">
        <v>73</v>
      </c>
      <c r="S702" t="s">
        <v>979</v>
      </c>
      <c r="T702" t="s">
        <v>3860</v>
      </c>
      <c r="U702" t="s">
        <v>3861</v>
      </c>
      <c r="V702" t="s">
        <v>982</v>
      </c>
      <c r="W702" t="s">
        <v>66</v>
      </c>
      <c r="X702" t="s">
        <v>78</v>
      </c>
      <c r="Y702" t="s">
        <v>3862</v>
      </c>
      <c r="Z702" t="s">
        <v>182</v>
      </c>
      <c r="AA702" t="s">
        <v>984</v>
      </c>
      <c r="AB702" t="s">
        <v>984</v>
      </c>
      <c r="AC702" t="s">
        <v>82</v>
      </c>
      <c r="AD702" t="s">
        <v>83</v>
      </c>
      <c r="AE702" t="s">
        <v>66</v>
      </c>
      <c r="AF702" t="s">
        <v>876</v>
      </c>
    </row>
    <row r="703" spans="1:32">
      <c r="A703" t="s">
        <v>3863</v>
      </c>
      <c r="B703" t="s">
        <v>841</v>
      </c>
      <c r="C703" t="s">
        <v>3864</v>
      </c>
      <c r="D703" t="s">
        <v>3864</v>
      </c>
      <c r="E703" t="s">
        <v>109</v>
      </c>
      <c r="F703" t="s">
        <v>110</v>
      </c>
      <c r="G703" t="s">
        <v>111</v>
      </c>
      <c r="H703" t="s">
        <v>66</v>
      </c>
      <c r="I703" t="s">
        <v>66</v>
      </c>
      <c r="J703" t="s">
        <v>67</v>
      </c>
      <c r="K703" t="s">
        <v>71</v>
      </c>
      <c r="L703" t="s">
        <v>72</v>
      </c>
      <c r="M703" t="s">
        <v>73</v>
      </c>
      <c r="N703" t="s">
        <v>66</v>
      </c>
      <c r="O703" t="s">
        <v>73</v>
      </c>
      <c r="P703" t="s">
        <v>66</v>
      </c>
      <c r="Q703" t="s">
        <v>979</v>
      </c>
      <c r="R703" t="s">
        <v>73</v>
      </c>
      <c r="S703" t="s">
        <v>979</v>
      </c>
      <c r="T703" t="s">
        <v>3865</v>
      </c>
      <c r="U703" t="s">
        <v>3866</v>
      </c>
      <c r="V703" t="s">
        <v>982</v>
      </c>
      <c r="W703" t="s">
        <v>66</v>
      </c>
      <c r="X703" t="s">
        <v>78</v>
      </c>
      <c r="Y703" t="s">
        <v>3867</v>
      </c>
      <c r="Z703" t="s">
        <v>182</v>
      </c>
      <c r="AA703" t="s">
        <v>984</v>
      </c>
      <c r="AB703" t="s">
        <v>984</v>
      </c>
      <c r="AC703" t="s">
        <v>82</v>
      </c>
      <c r="AD703" t="s">
        <v>83</v>
      </c>
      <c r="AE703" t="s">
        <v>66</v>
      </c>
      <c r="AF703" t="s">
        <v>876</v>
      </c>
    </row>
    <row r="704" spans="1:32">
      <c r="A704" t="s">
        <v>3868</v>
      </c>
      <c r="B704" t="s">
        <v>308</v>
      </c>
      <c r="C704" t="s">
        <v>3869</v>
      </c>
      <c r="D704" t="s">
        <v>3869</v>
      </c>
      <c r="E704" t="s">
        <v>109</v>
      </c>
      <c r="F704" t="s">
        <v>110</v>
      </c>
      <c r="G704" t="s">
        <v>111</v>
      </c>
      <c r="H704" t="s">
        <v>66</v>
      </c>
      <c r="I704" t="s">
        <v>66</v>
      </c>
      <c r="J704" t="s">
        <v>67</v>
      </c>
      <c r="K704" t="s">
        <v>71</v>
      </c>
      <c r="L704" t="s">
        <v>72</v>
      </c>
      <c r="M704" t="s">
        <v>73</v>
      </c>
      <c r="N704" t="s">
        <v>66</v>
      </c>
      <c r="O704" t="s">
        <v>73</v>
      </c>
      <c r="P704" t="s">
        <v>66</v>
      </c>
      <c r="Q704" t="s">
        <v>979</v>
      </c>
      <c r="R704" t="s">
        <v>73</v>
      </c>
      <c r="S704" t="s">
        <v>979</v>
      </c>
      <c r="T704" t="s">
        <v>3870</v>
      </c>
      <c r="U704" t="s">
        <v>3871</v>
      </c>
      <c r="V704" t="s">
        <v>982</v>
      </c>
      <c r="W704" t="s">
        <v>66</v>
      </c>
      <c r="X704" t="s">
        <v>78</v>
      </c>
      <c r="Y704" t="s">
        <v>3872</v>
      </c>
      <c r="Z704" t="s">
        <v>182</v>
      </c>
      <c r="AA704" t="s">
        <v>984</v>
      </c>
      <c r="AB704" t="s">
        <v>984</v>
      </c>
      <c r="AC704" t="s">
        <v>82</v>
      </c>
      <c r="AD704" t="s">
        <v>83</v>
      </c>
      <c r="AE704" t="s">
        <v>66</v>
      </c>
      <c r="AF704" t="s">
        <v>876</v>
      </c>
    </row>
    <row r="705" spans="1:32">
      <c r="A705" t="s">
        <v>3873</v>
      </c>
      <c r="B705" t="s">
        <v>1058</v>
      </c>
      <c r="C705" t="s">
        <v>3874</v>
      </c>
      <c r="D705" t="s">
        <v>3874</v>
      </c>
      <c r="E705" t="s">
        <v>109</v>
      </c>
      <c r="F705" t="s">
        <v>110</v>
      </c>
      <c r="G705" t="s">
        <v>111</v>
      </c>
      <c r="H705" t="s">
        <v>66</v>
      </c>
      <c r="I705" t="s">
        <v>66</v>
      </c>
      <c r="J705" t="s">
        <v>67</v>
      </c>
      <c r="K705" t="s">
        <v>71</v>
      </c>
      <c r="L705" t="s">
        <v>72</v>
      </c>
      <c r="M705" t="s">
        <v>73</v>
      </c>
      <c r="N705" t="s">
        <v>66</v>
      </c>
      <c r="O705" t="s">
        <v>73</v>
      </c>
      <c r="P705" t="s">
        <v>66</v>
      </c>
      <c r="Q705" t="s">
        <v>979</v>
      </c>
      <c r="R705" t="s">
        <v>73</v>
      </c>
      <c r="S705" t="s">
        <v>979</v>
      </c>
      <c r="T705" t="s">
        <v>3875</v>
      </c>
      <c r="U705" t="s">
        <v>3876</v>
      </c>
      <c r="V705" t="s">
        <v>982</v>
      </c>
      <c r="W705" t="s">
        <v>66</v>
      </c>
      <c r="X705" t="s">
        <v>78</v>
      </c>
      <c r="Y705" t="s">
        <v>3877</v>
      </c>
      <c r="Z705" t="s">
        <v>182</v>
      </c>
      <c r="AA705" t="s">
        <v>984</v>
      </c>
      <c r="AB705" t="s">
        <v>984</v>
      </c>
      <c r="AC705" t="s">
        <v>82</v>
      </c>
      <c r="AD705" t="s">
        <v>83</v>
      </c>
      <c r="AE705" t="s">
        <v>66</v>
      </c>
      <c r="AF705" t="s">
        <v>876</v>
      </c>
    </row>
    <row r="706" spans="1:32">
      <c r="A706" t="s">
        <v>3878</v>
      </c>
      <c r="B706" t="s">
        <v>359</v>
      </c>
      <c r="C706" t="s">
        <v>3879</v>
      </c>
      <c r="D706" t="s">
        <v>3879</v>
      </c>
      <c r="E706" t="s">
        <v>109</v>
      </c>
      <c r="F706" t="s">
        <v>110</v>
      </c>
      <c r="G706" t="s">
        <v>111</v>
      </c>
      <c r="H706" t="s">
        <v>66</v>
      </c>
      <c r="I706" t="s">
        <v>66</v>
      </c>
      <c r="J706" t="s">
        <v>67</v>
      </c>
      <c r="K706" t="s">
        <v>71</v>
      </c>
      <c r="L706" t="s">
        <v>72</v>
      </c>
      <c r="M706" t="s">
        <v>73</v>
      </c>
      <c r="N706" t="s">
        <v>66</v>
      </c>
      <c r="O706" t="s">
        <v>73</v>
      </c>
      <c r="P706" t="s">
        <v>66</v>
      </c>
      <c r="Q706" t="s">
        <v>979</v>
      </c>
      <c r="R706" t="s">
        <v>73</v>
      </c>
      <c r="S706" t="s">
        <v>979</v>
      </c>
      <c r="T706" t="s">
        <v>3880</v>
      </c>
      <c r="U706" t="s">
        <v>3881</v>
      </c>
      <c r="V706" t="s">
        <v>982</v>
      </c>
      <c r="W706" t="s">
        <v>66</v>
      </c>
      <c r="X706" t="s">
        <v>78</v>
      </c>
      <c r="Y706" t="s">
        <v>3882</v>
      </c>
      <c r="Z706" t="s">
        <v>182</v>
      </c>
      <c r="AA706" t="s">
        <v>984</v>
      </c>
      <c r="AB706" t="s">
        <v>984</v>
      </c>
      <c r="AC706" t="s">
        <v>82</v>
      </c>
      <c r="AD706" t="s">
        <v>83</v>
      </c>
      <c r="AE706" t="s">
        <v>66</v>
      </c>
      <c r="AF706" t="s">
        <v>876</v>
      </c>
    </row>
    <row r="707" spans="1:32">
      <c r="A707" t="s">
        <v>3883</v>
      </c>
      <c r="B707" t="s">
        <v>151</v>
      </c>
      <c r="C707" t="s">
        <v>3884</v>
      </c>
      <c r="D707" t="s">
        <v>66</v>
      </c>
      <c r="E707" t="s">
        <v>67</v>
      </c>
      <c r="F707" t="s">
        <v>68</v>
      </c>
      <c r="G707" t="s">
        <v>69</v>
      </c>
      <c r="H707" t="s">
        <v>66</v>
      </c>
      <c r="I707" t="s">
        <v>66</v>
      </c>
      <c r="J707" t="s">
        <v>67</v>
      </c>
      <c r="K707" t="s">
        <v>71</v>
      </c>
      <c r="L707" t="s">
        <v>72</v>
      </c>
      <c r="M707" t="s">
        <v>73</v>
      </c>
      <c r="N707" t="s">
        <v>66</v>
      </c>
      <c r="O707" t="s">
        <v>73</v>
      </c>
      <c r="P707" t="s">
        <v>66</v>
      </c>
      <c r="Q707" t="s">
        <v>979</v>
      </c>
      <c r="R707" t="s">
        <v>73</v>
      </c>
      <c r="S707" t="s">
        <v>979</v>
      </c>
      <c r="T707" t="s">
        <v>3885</v>
      </c>
      <c r="U707" t="s">
        <v>3886</v>
      </c>
      <c r="V707" t="s">
        <v>982</v>
      </c>
      <c r="W707" t="s">
        <v>66</v>
      </c>
      <c r="X707" t="s">
        <v>78</v>
      </c>
      <c r="Y707" t="s">
        <v>3887</v>
      </c>
      <c r="Z707" t="s">
        <v>182</v>
      </c>
      <c r="AA707" t="s">
        <v>984</v>
      </c>
      <c r="AB707" t="s">
        <v>984</v>
      </c>
      <c r="AC707" t="s">
        <v>82</v>
      </c>
      <c r="AD707" t="s">
        <v>83</v>
      </c>
      <c r="AE707" t="s">
        <v>66</v>
      </c>
      <c r="AF707" t="s">
        <v>876</v>
      </c>
    </row>
    <row r="708" spans="1:32">
      <c r="A708" t="s">
        <v>3888</v>
      </c>
      <c r="B708" t="s">
        <v>162</v>
      </c>
      <c r="C708" t="s">
        <v>3889</v>
      </c>
      <c r="D708" t="s">
        <v>66</v>
      </c>
      <c r="E708" t="s">
        <v>67</v>
      </c>
      <c r="F708" t="s">
        <v>164</v>
      </c>
      <c r="G708" t="s">
        <v>165</v>
      </c>
      <c r="H708" t="s">
        <v>66</v>
      </c>
      <c r="I708" t="s">
        <v>66</v>
      </c>
      <c r="J708" t="s">
        <v>67</v>
      </c>
      <c r="K708" t="s">
        <v>71</v>
      </c>
      <c r="L708" t="s">
        <v>72</v>
      </c>
      <c r="M708" t="s">
        <v>73</v>
      </c>
      <c r="N708" t="s">
        <v>66</v>
      </c>
      <c r="O708" t="s">
        <v>73</v>
      </c>
      <c r="P708" t="s">
        <v>66</v>
      </c>
      <c r="Q708" t="s">
        <v>979</v>
      </c>
      <c r="R708" t="s">
        <v>73</v>
      </c>
      <c r="S708" t="s">
        <v>979</v>
      </c>
      <c r="T708" t="s">
        <v>3890</v>
      </c>
      <c r="U708" t="s">
        <v>3891</v>
      </c>
      <c r="V708" t="s">
        <v>982</v>
      </c>
      <c r="W708" t="s">
        <v>66</v>
      </c>
      <c r="X708" t="s">
        <v>78</v>
      </c>
      <c r="Y708" t="s">
        <v>3892</v>
      </c>
      <c r="Z708" t="s">
        <v>182</v>
      </c>
      <c r="AA708" t="s">
        <v>984</v>
      </c>
      <c r="AB708" t="s">
        <v>984</v>
      </c>
      <c r="AC708" t="s">
        <v>82</v>
      </c>
      <c r="AD708" t="s">
        <v>83</v>
      </c>
      <c r="AE708" t="s">
        <v>66</v>
      </c>
      <c r="AF708" t="s">
        <v>876</v>
      </c>
    </row>
    <row r="709" spans="1:32">
      <c r="A709" t="s">
        <v>3893</v>
      </c>
      <c r="B709" t="s">
        <v>308</v>
      </c>
      <c r="C709" t="s">
        <v>3894</v>
      </c>
      <c r="D709" t="s">
        <v>3894</v>
      </c>
      <c r="E709" t="s">
        <v>109</v>
      </c>
      <c r="F709" t="s">
        <v>110</v>
      </c>
      <c r="G709" t="s">
        <v>111</v>
      </c>
      <c r="H709" t="s">
        <v>66</v>
      </c>
      <c r="I709" t="s">
        <v>66</v>
      </c>
      <c r="J709" t="s">
        <v>67</v>
      </c>
      <c r="K709" t="s">
        <v>71</v>
      </c>
      <c r="L709" t="s">
        <v>72</v>
      </c>
      <c r="M709" t="s">
        <v>73</v>
      </c>
      <c r="N709" t="s">
        <v>66</v>
      </c>
      <c r="O709" t="s">
        <v>73</v>
      </c>
      <c r="P709" t="s">
        <v>66</v>
      </c>
      <c r="Q709" t="s">
        <v>979</v>
      </c>
      <c r="R709" t="s">
        <v>73</v>
      </c>
      <c r="S709" t="s">
        <v>979</v>
      </c>
      <c r="T709" t="s">
        <v>3895</v>
      </c>
      <c r="U709" t="s">
        <v>3896</v>
      </c>
      <c r="V709" t="s">
        <v>982</v>
      </c>
      <c r="W709" t="s">
        <v>66</v>
      </c>
      <c r="X709" t="s">
        <v>78</v>
      </c>
      <c r="Y709" t="s">
        <v>3897</v>
      </c>
      <c r="Z709" t="s">
        <v>182</v>
      </c>
      <c r="AA709" t="s">
        <v>984</v>
      </c>
      <c r="AB709" t="s">
        <v>984</v>
      </c>
      <c r="AC709" t="s">
        <v>82</v>
      </c>
      <c r="AD709" t="s">
        <v>83</v>
      </c>
      <c r="AE709" t="s">
        <v>66</v>
      </c>
      <c r="AF709" t="s">
        <v>876</v>
      </c>
    </row>
    <row r="710" spans="1:32">
      <c r="A710" t="s">
        <v>3898</v>
      </c>
      <c r="B710" t="s">
        <v>308</v>
      </c>
      <c r="C710" t="s">
        <v>3899</v>
      </c>
      <c r="D710" t="s">
        <v>3899</v>
      </c>
      <c r="E710" t="s">
        <v>109</v>
      </c>
      <c r="F710" t="s">
        <v>110</v>
      </c>
      <c r="G710" t="s">
        <v>111</v>
      </c>
      <c r="H710" t="s">
        <v>66</v>
      </c>
      <c r="I710" t="s">
        <v>66</v>
      </c>
      <c r="J710" t="s">
        <v>67</v>
      </c>
      <c r="K710" t="s">
        <v>71</v>
      </c>
      <c r="L710" t="s">
        <v>72</v>
      </c>
      <c r="M710" t="s">
        <v>73</v>
      </c>
      <c r="N710" t="s">
        <v>66</v>
      </c>
      <c r="O710" t="s">
        <v>73</v>
      </c>
      <c r="P710" t="s">
        <v>66</v>
      </c>
      <c r="Q710" t="s">
        <v>979</v>
      </c>
      <c r="R710" t="s">
        <v>73</v>
      </c>
      <c r="S710" t="s">
        <v>979</v>
      </c>
      <c r="T710" t="s">
        <v>3900</v>
      </c>
      <c r="U710" t="s">
        <v>3901</v>
      </c>
      <c r="V710" t="s">
        <v>982</v>
      </c>
      <c r="W710" t="s">
        <v>66</v>
      </c>
      <c r="X710" t="s">
        <v>78</v>
      </c>
      <c r="Y710" t="s">
        <v>3902</v>
      </c>
      <c r="Z710" t="s">
        <v>182</v>
      </c>
      <c r="AA710" t="s">
        <v>984</v>
      </c>
      <c r="AB710" t="s">
        <v>984</v>
      </c>
      <c r="AC710" t="s">
        <v>82</v>
      </c>
      <c r="AD710" t="s">
        <v>83</v>
      </c>
      <c r="AE710" t="s">
        <v>66</v>
      </c>
      <c r="AF710" t="s">
        <v>876</v>
      </c>
    </row>
    <row r="711" spans="1:32">
      <c r="A711" t="s">
        <v>3903</v>
      </c>
      <c r="B711" t="s">
        <v>162</v>
      </c>
      <c r="C711" t="s">
        <v>3904</v>
      </c>
      <c r="D711" t="s">
        <v>3904</v>
      </c>
      <c r="E711" t="s">
        <v>67</v>
      </c>
      <c r="F711" t="s">
        <v>164</v>
      </c>
      <c r="G711" t="s">
        <v>165</v>
      </c>
      <c r="H711" t="s">
        <v>66</v>
      </c>
      <c r="I711" t="s">
        <v>66</v>
      </c>
      <c r="J711" t="s">
        <v>67</v>
      </c>
      <c r="K711" t="s">
        <v>71</v>
      </c>
      <c r="L711" t="s">
        <v>72</v>
      </c>
      <c r="M711" t="s">
        <v>73</v>
      </c>
      <c r="N711" t="s">
        <v>66</v>
      </c>
      <c r="O711" t="s">
        <v>73</v>
      </c>
      <c r="P711" t="s">
        <v>66</v>
      </c>
      <c r="Q711" t="s">
        <v>979</v>
      </c>
      <c r="R711" t="s">
        <v>73</v>
      </c>
      <c r="S711" t="s">
        <v>979</v>
      </c>
      <c r="T711" t="s">
        <v>3905</v>
      </c>
      <c r="U711" t="s">
        <v>3906</v>
      </c>
      <c r="V711" t="s">
        <v>982</v>
      </c>
      <c r="W711" t="s">
        <v>66</v>
      </c>
      <c r="X711" t="s">
        <v>78</v>
      </c>
      <c r="Y711" t="s">
        <v>3907</v>
      </c>
      <c r="Z711" t="s">
        <v>182</v>
      </c>
      <c r="AA711" t="s">
        <v>984</v>
      </c>
      <c r="AB711" t="s">
        <v>984</v>
      </c>
      <c r="AC711" t="s">
        <v>82</v>
      </c>
      <c r="AD711" t="s">
        <v>83</v>
      </c>
      <c r="AE711" t="s">
        <v>66</v>
      </c>
      <c r="AF711" t="s">
        <v>876</v>
      </c>
    </row>
    <row r="712" spans="1:32">
      <c r="A712" t="s">
        <v>3908</v>
      </c>
      <c r="B712" t="s">
        <v>308</v>
      </c>
      <c r="C712" t="s">
        <v>3909</v>
      </c>
      <c r="D712" t="s">
        <v>3909</v>
      </c>
      <c r="E712" t="s">
        <v>109</v>
      </c>
      <c r="F712" t="s">
        <v>110</v>
      </c>
      <c r="G712" t="s">
        <v>111</v>
      </c>
      <c r="H712" t="s">
        <v>66</v>
      </c>
      <c r="I712" t="s">
        <v>66</v>
      </c>
      <c r="J712" t="s">
        <v>67</v>
      </c>
      <c r="K712" t="s">
        <v>71</v>
      </c>
      <c r="L712" t="s">
        <v>72</v>
      </c>
      <c r="M712" t="s">
        <v>73</v>
      </c>
      <c r="N712" t="s">
        <v>66</v>
      </c>
      <c r="O712" t="s">
        <v>73</v>
      </c>
      <c r="P712" t="s">
        <v>66</v>
      </c>
      <c r="Q712" t="s">
        <v>979</v>
      </c>
      <c r="R712" t="s">
        <v>73</v>
      </c>
      <c r="S712" t="s">
        <v>979</v>
      </c>
      <c r="T712" t="s">
        <v>3910</v>
      </c>
      <c r="U712" t="s">
        <v>3911</v>
      </c>
      <c r="V712" t="s">
        <v>982</v>
      </c>
      <c r="W712" t="s">
        <v>66</v>
      </c>
      <c r="X712" t="s">
        <v>78</v>
      </c>
      <c r="Y712" t="s">
        <v>3912</v>
      </c>
      <c r="Z712" t="s">
        <v>182</v>
      </c>
      <c r="AA712" t="s">
        <v>984</v>
      </c>
      <c r="AB712" t="s">
        <v>984</v>
      </c>
      <c r="AC712" t="s">
        <v>82</v>
      </c>
      <c r="AD712" t="s">
        <v>83</v>
      </c>
      <c r="AE712" t="s">
        <v>66</v>
      </c>
      <c r="AF712" t="s">
        <v>876</v>
      </c>
    </row>
    <row r="713" spans="1:32">
      <c r="A713" t="s">
        <v>3913</v>
      </c>
      <c r="B713" t="s">
        <v>1101</v>
      </c>
      <c r="C713" t="s">
        <v>3914</v>
      </c>
      <c r="D713" t="s">
        <v>66</v>
      </c>
      <c r="E713" t="s">
        <v>67</v>
      </c>
      <c r="F713" t="s">
        <v>110</v>
      </c>
      <c r="G713" t="s">
        <v>111</v>
      </c>
      <c r="H713" t="s">
        <v>66</v>
      </c>
      <c r="I713" t="s">
        <v>66</v>
      </c>
      <c r="J713" t="s">
        <v>67</v>
      </c>
      <c r="K713" t="s">
        <v>71</v>
      </c>
      <c r="L713" t="s">
        <v>72</v>
      </c>
      <c r="M713" t="s">
        <v>73</v>
      </c>
      <c r="N713" t="s">
        <v>66</v>
      </c>
      <c r="O713" t="s">
        <v>73</v>
      </c>
      <c r="P713" t="s">
        <v>66</v>
      </c>
      <c r="Q713" t="s">
        <v>979</v>
      </c>
      <c r="R713" t="s">
        <v>73</v>
      </c>
      <c r="S713" t="s">
        <v>979</v>
      </c>
      <c r="T713" t="s">
        <v>3915</v>
      </c>
      <c r="U713" t="s">
        <v>3916</v>
      </c>
      <c r="V713" t="s">
        <v>982</v>
      </c>
      <c r="W713" t="s">
        <v>66</v>
      </c>
      <c r="X713" t="s">
        <v>78</v>
      </c>
      <c r="Y713" t="s">
        <v>3917</v>
      </c>
      <c r="Z713" t="s">
        <v>182</v>
      </c>
      <c r="AA713" t="s">
        <v>984</v>
      </c>
      <c r="AB713" t="s">
        <v>984</v>
      </c>
      <c r="AC713" t="s">
        <v>82</v>
      </c>
      <c r="AD713" t="s">
        <v>83</v>
      </c>
      <c r="AE713" t="s">
        <v>66</v>
      </c>
      <c r="AF713" t="s">
        <v>876</v>
      </c>
    </row>
    <row r="714" spans="1:32">
      <c r="A714" t="s">
        <v>3918</v>
      </c>
      <c r="B714" t="s">
        <v>151</v>
      </c>
      <c r="C714" t="s">
        <v>3919</v>
      </c>
      <c r="D714" t="s">
        <v>66</v>
      </c>
      <c r="E714" t="s">
        <v>67</v>
      </c>
      <c r="F714" t="s">
        <v>68</v>
      </c>
      <c r="G714" t="s">
        <v>69</v>
      </c>
      <c r="H714" t="s">
        <v>66</v>
      </c>
      <c r="I714" t="s">
        <v>66</v>
      </c>
      <c r="J714" t="s">
        <v>67</v>
      </c>
      <c r="K714" t="s">
        <v>71</v>
      </c>
      <c r="L714" t="s">
        <v>72</v>
      </c>
      <c r="M714" t="s">
        <v>73</v>
      </c>
      <c r="N714" t="s">
        <v>66</v>
      </c>
      <c r="O714" t="s">
        <v>73</v>
      </c>
      <c r="P714" t="s">
        <v>66</v>
      </c>
      <c r="Q714" t="s">
        <v>979</v>
      </c>
      <c r="R714" t="s">
        <v>73</v>
      </c>
      <c r="S714" t="s">
        <v>979</v>
      </c>
      <c r="T714" t="s">
        <v>3920</v>
      </c>
      <c r="U714" t="s">
        <v>3921</v>
      </c>
      <c r="V714" t="s">
        <v>982</v>
      </c>
      <c r="W714" t="s">
        <v>66</v>
      </c>
      <c r="X714" t="s">
        <v>78</v>
      </c>
      <c r="Y714" t="s">
        <v>3922</v>
      </c>
      <c r="Z714" t="s">
        <v>182</v>
      </c>
      <c r="AA714" t="s">
        <v>984</v>
      </c>
      <c r="AB714" t="s">
        <v>984</v>
      </c>
      <c r="AC714" t="s">
        <v>82</v>
      </c>
      <c r="AD714" t="s">
        <v>83</v>
      </c>
      <c r="AE714" t="s">
        <v>66</v>
      </c>
      <c r="AF714" t="s">
        <v>876</v>
      </c>
    </row>
    <row r="715" spans="1:32">
      <c r="A715" t="s">
        <v>3923</v>
      </c>
      <c r="B715" t="s">
        <v>1004</v>
      </c>
      <c r="C715" t="s">
        <v>3924</v>
      </c>
      <c r="D715" t="s">
        <v>66</v>
      </c>
      <c r="E715" t="s">
        <v>67</v>
      </c>
      <c r="F715" t="s">
        <v>68</v>
      </c>
      <c r="G715" t="s">
        <v>69</v>
      </c>
      <c r="H715" t="s">
        <v>66</v>
      </c>
      <c r="I715" t="s">
        <v>66</v>
      </c>
      <c r="J715" t="s">
        <v>67</v>
      </c>
      <c r="K715" t="s">
        <v>71</v>
      </c>
      <c r="L715" t="s">
        <v>72</v>
      </c>
      <c r="M715" t="s">
        <v>73</v>
      </c>
      <c r="N715" t="s">
        <v>66</v>
      </c>
      <c r="O715" t="s">
        <v>73</v>
      </c>
      <c r="P715" t="s">
        <v>66</v>
      </c>
      <c r="Q715" t="s">
        <v>979</v>
      </c>
      <c r="R715" t="s">
        <v>73</v>
      </c>
      <c r="S715" t="s">
        <v>979</v>
      </c>
      <c r="T715" t="s">
        <v>3925</v>
      </c>
      <c r="U715" t="s">
        <v>3926</v>
      </c>
      <c r="V715" t="s">
        <v>982</v>
      </c>
      <c r="W715" t="s">
        <v>66</v>
      </c>
      <c r="X715" t="s">
        <v>78</v>
      </c>
      <c r="Y715" t="s">
        <v>3927</v>
      </c>
      <c r="Z715" t="s">
        <v>182</v>
      </c>
      <c r="AA715" t="s">
        <v>984</v>
      </c>
      <c r="AB715" t="s">
        <v>984</v>
      </c>
      <c r="AC715" t="s">
        <v>82</v>
      </c>
      <c r="AD715" t="s">
        <v>83</v>
      </c>
      <c r="AE715" t="s">
        <v>66</v>
      </c>
      <c r="AF715" t="s">
        <v>876</v>
      </c>
    </row>
    <row r="716" spans="1:32">
      <c r="A716" t="s">
        <v>3928</v>
      </c>
      <c r="B716" t="s">
        <v>1123</v>
      </c>
      <c r="C716" t="s">
        <v>3929</v>
      </c>
      <c r="D716" t="s">
        <v>66</v>
      </c>
      <c r="E716" t="s">
        <v>67</v>
      </c>
      <c r="F716" t="s">
        <v>68</v>
      </c>
      <c r="G716" t="s">
        <v>69</v>
      </c>
      <c r="H716" t="s">
        <v>66</v>
      </c>
      <c r="I716" t="s">
        <v>66</v>
      </c>
      <c r="J716" t="s">
        <v>67</v>
      </c>
      <c r="K716" t="s">
        <v>71</v>
      </c>
      <c r="L716" t="s">
        <v>72</v>
      </c>
      <c r="M716" t="s">
        <v>73</v>
      </c>
      <c r="N716" t="s">
        <v>66</v>
      </c>
      <c r="O716" t="s">
        <v>73</v>
      </c>
      <c r="P716" t="s">
        <v>66</v>
      </c>
      <c r="Q716" t="s">
        <v>979</v>
      </c>
      <c r="R716" t="s">
        <v>73</v>
      </c>
      <c r="S716" t="s">
        <v>979</v>
      </c>
      <c r="T716" t="s">
        <v>3930</v>
      </c>
      <c r="U716" t="s">
        <v>3931</v>
      </c>
      <c r="V716" t="s">
        <v>982</v>
      </c>
      <c r="W716" t="s">
        <v>66</v>
      </c>
      <c r="X716" t="s">
        <v>78</v>
      </c>
      <c r="Y716" t="s">
        <v>3932</v>
      </c>
      <c r="Z716" t="s">
        <v>182</v>
      </c>
      <c r="AA716" t="s">
        <v>984</v>
      </c>
      <c r="AB716" t="s">
        <v>984</v>
      </c>
      <c r="AC716" t="s">
        <v>82</v>
      </c>
      <c r="AD716" t="s">
        <v>83</v>
      </c>
      <c r="AE716" t="s">
        <v>66</v>
      </c>
      <c r="AF716" t="s">
        <v>876</v>
      </c>
    </row>
    <row r="717" spans="1:32">
      <c r="A717" t="s">
        <v>3933</v>
      </c>
      <c r="B717" t="s">
        <v>151</v>
      </c>
      <c r="C717" t="s">
        <v>3934</v>
      </c>
      <c r="D717" t="s">
        <v>66</v>
      </c>
      <c r="E717" t="s">
        <v>67</v>
      </c>
      <c r="F717" t="s">
        <v>68</v>
      </c>
      <c r="G717" t="s">
        <v>69</v>
      </c>
      <c r="H717" t="s">
        <v>66</v>
      </c>
      <c r="I717" t="s">
        <v>66</v>
      </c>
      <c r="J717" t="s">
        <v>67</v>
      </c>
      <c r="K717" t="s">
        <v>71</v>
      </c>
      <c r="L717" t="s">
        <v>72</v>
      </c>
      <c r="M717" t="s">
        <v>73</v>
      </c>
      <c r="N717" t="s">
        <v>66</v>
      </c>
      <c r="O717" t="s">
        <v>73</v>
      </c>
      <c r="P717" t="s">
        <v>66</v>
      </c>
      <c r="Q717" t="s">
        <v>979</v>
      </c>
      <c r="R717" t="s">
        <v>73</v>
      </c>
      <c r="S717" t="s">
        <v>979</v>
      </c>
      <c r="T717" t="s">
        <v>3935</v>
      </c>
      <c r="U717" t="s">
        <v>3936</v>
      </c>
      <c r="V717" t="s">
        <v>982</v>
      </c>
      <c r="W717" t="s">
        <v>66</v>
      </c>
      <c r="X717" t="s">
        <v>78</v>
      </c>
      <c r="Y717" t="s">
        <v>3937</v>
      </c>
      <c r="Z717" t="s">
        <v>182</v>
      </c>
      <c r="AA717" t="s">
        <v>984</v>
      </c>
      <c r="AB717" t="s">
        <v>984</v>
      </c>
      <c r="AC717" t="s">
        <v>82</v>
      </c>
      <c r="AD717" t="s">
        <v>83</v>
      </c>
      <c r="AE717" t="s">
        <v>66</v>
      </c>
      <c r="AF717" t="s">
        <v>876</v>
      </c>
    </row>
    <row r="718" spans="1:32">
      <c r="A718" t="s">
        <v>3938</v>
      </c>
      <c r="B718" t="s">
        <v>107</v>
      </c>
      <c r="C718" t="s">
        <v>3939</v>
      </c>
      <c r="D718" t="s">
        <v>3939</v>
      </c>
      <c r="E718" t="s">
        <v>109</v>
      </c>
      <c r="F718" t="s">
        <v>110</v>
      </c>
      <c r="G718" t="s">
        <v>111</v>
      </c>
      <c r="H718" t="s">
        <v>66</v>
      </c>
      <c r="I718" t="s">
        <v>66</v>
      </c>
      <c r="J718" t="s">
        <v>67</v>
      </c>
      <c r="K718" t="s">
        <v>71</v>
      </c>
      <c r="L718" t="s">
        <v>72</v>
      </c>
      <c r="M718" t="s">
        <v>73</v>
      </c>
      <c r="N718" t="s">
        <v>66</v>
      </c>
      <c r="O718" t="s">
        <v>73</v>
      </c>
      <c r="P718" t="s">
        <v>66</v>
      </c>
      <c r="Q718" t="s">
        <v>979</v>
      </c>
      <c r="R718" t="s">
        <v>73</v>
      </c>
      <c r="S718" t="s">
        <v>979</v>
      </c>
      <c r="T718" t="s">
        <v>3940</v>
      </c>
      <c r="U718" t="s">
        <v>3941</v>
      </c>
      <c r="V718" t="s">
        <v>982</v>
      </c>
      <c r="W718" t="s">
        <v>66</v>
      </c>
      <c r="X718" t="s">
        <v>78</v>
      </c>
      <c r="Y718" t="s">
        <v>3942</v>
      </c>
      <c r="Z718" t="s">
        <v>182</v>
      </c>
      <c r="AA718" t="s">
        <v>984</v>
      </c>
      <c r="AB718" t="s">
        <v>984</v>
      </c>
      <c r="AC718" t="s">
        <v>82</v>
      </c>
      <c r="AD718" t="s">
        <v>83</v>
      </c>
      <c r="AE718" t="s">
        <v>66</v>
      </c>
      <c r="AF718" t="s">
        <v>876</v>
      </c>
    </row>
    <row r="719" spans="1:32">
      <c r="A719" t="s">
        <v>3943</v>
      </c>
      <c r="B719" t="s">
        <v>1101</v>
      </c>
      <c r="C719" t="s">
        <v>3944</v>
      </c>
      <c r="D719" t="s">
        <v>66</v>
      </c>
      <c r="E719" t="s">
        <v>67</v>
      </c>
      <c r="F719" t="s">
        <v>110</v>
      </c>
      <c r="G719" t="s">
        <v>111</v>
      </c>
      <c r="H719" t="s">
        <v>66</v>
      </c>
      <c r="I719" t="s">
        <v>66</v>
      </c>
      <c r="J719" t="s">
        <v>67</v>
      </c>
      <c r="K719" t="s">
        <v>71</v>
      </c>
      <c r="L719" t="s">
        <v>72</v>
      </c>
      <c r="M719" t="s">
        <v>73</v>
      </c>
      <c r="N719" t="s">
        <v>66</v>
      </c>
      <c r="O719" t="s">
        <v>73</v>
      </c>
      <c r="P719" t="s">
        <v>66</v>
      </c>
      <c r="Q719" t="s">
        <v>979</v>
      </c>
      <c r="R719" t="s">
        <v>73</v>
      </c>
      <c r="S719" t="s">
        <v>979</v>
      </c>
      <c r="T719" t="s">
        <v>3945</v>
      </c>
      <c r="U719" t="s">
        <v>3946</v>
      </c>
      <c r="V719" t="s">
        <v>982</v>
      </c>
      <c r="W719" t="s">
        <v>66</v>
      </c>
      <c r="X719" t="s">
        <v>78</v>
      </c>
      <c r="Y719" t="s">
        <v>3947</v>
      </c>
      <c r="Z719" t="s">
        <v>182</v>
      </c>
      <c r="AA719" t="s">
        <v>984</v>
      </c>
      <c r="AB719" t="s">
        <v>984</v>
      </c>
      <c r="AC719" t="s">
        <v>82</v>
      </c>
      <c r="AD719" t="s">
        <v>83</v>
      </c>
      <c r="AE719" t="s">
        <v>66</v>
      </c>
      <c r="AF719" t="s">
        <v>876</v>
      </c>
    </row>
    <row r="720" spans="1:32">
      <c r="A720" t="s">
        <v>3948</v>
      </c>
      <c r="B720" t="s">
        <v>841</v>
      </c>
      <c r="C720" t="s">
        <v>3949</v>
      </c>
      <c r="D720" t="s">
        <v>3949</v>
      </c>
      <c r="E720" t="s">
        <v>109</v>
      </c>
      <c r="F720" t="s">
        <v>110</v>
      </c>
      <c r="G720" t="s">
        <v>111</v>
      </c>
      <c r="H720" t="s">
        <v>66</v>
      </c>
      <c r="I720" t="s">
        <v>66</v>
      </c>
      <c r="J720" t="s">
        <v>67</v>
      </c>
      <c r="K720" t="s">
        <v>71</v>
      </c>
      <c r="L720" t="s">
        <v>72</v>
      </c>
      <c r="M720" t="s">
        <v>73</v>
      </c>
      <c r="N720" t="s">
        <v>66</v>
      </c>
      <c r="O720" t="s">
        <v>73</v>
      </c>
      <c r="P720" t="s">
        <v>66</v>
      </c>
      <c r="Q720" t="s">
        <v>979</v>
      </c>
      <c r="R720" t="s">
        <v>73</v>
      </c>
      <c r="S720" t="s">
        <v>979</v>
      </c>
      <c r="T720" t="s">
        <v>3950</v>
      </c>
      <c r="U720" t="s">
        <v>3951</v>
      </c>
      <c r="V720" t="s">
        <v>982</v>
      </c>
      <c r="W720" t="s">
        <v>66</v>
      </c>
      <c r="X720" t="s">
        <v>78</v>
      </c>
      <c r="Y720" t="s">
        <v>3952</v>
      </c>
      <c r="Z720" t="s">
        <v>182</v>
      </c>
      <c r="AA720" t="s">
        <v>984</v>
      </c>
      <c r="AB720" t="s">
        <v>984</v>
      </c>
      <c r="AC720" t="s">
        <v>82</v>
      </c>
      <c r="AD720" t="s">
        <v>83</v>
      </c>
      <c r="AE720" t="s">
        <v>66</v>
      </c>
      <c r="AF720" t="s">
        <v>876</v>
      </c>
    </row>
    <row r="721" spans="1:32">
      <c r="A721" t="s">
        <v>3953</v>
      </c>
      <c r="B721" t="s">
        <v>308</v>
      </c>
      <c r="C721" t="s">
        <v>3954</v>
      </c>
      <c r="D721" t="s">
        <v>3954</v>
      </c>
      <c r="E721" t="s">
        <v>109</v>
      </c>
      <c r="F721" t="s">
        <v>68</v>
      </c>
      <c r="G721" t="s">
        <v>69</v>
      </c>
      <c r="H721" t="s">
        <v>66</v>
      </c>
      <c r="I721" t="s">
        <v>66</v>
      </c>
      <c r="J721" t="s">
        <v>67</v>
      </c>
      <c r="K721" t="s">
        <v>71</v>
      </c>
      <c r="L721" t="s">
        <v>72</v>
      </c>
      <c r="M721" t="s">
        <v>73</v>
      </c>
      <c r="N721" t="s">
        <v>66</v>
      </c>
      <c r="O721" t="s">
        <v>73</v>
      </c>
      <c r="P721" t="s">
        <v>66</v>
      </c>
      <c r="Q721" t="s">
        <v>979</v>
      </c>
      <c r="R721" t="s">
        <v>73</v>
      </c>
      <c r="S721" t="s">
        <v>979</v>
      </c>
      <c r="T721" t="s">
        <v>3955</v>
      </c>
      <c r="U721" t="s">
        <v>3956</v>
      </c>
      <c r="V721" t="s">
        <v>982</v>
      </c>
      <c r="W721" t="s">
        <v>66</v>
      </c>
      <c r="X721" t="s">
        <v>78</v>
      </c>
      <c r="Y721" t="s">
        <v>3957</v>
      </c>
      <c r="Z721" t="s">
        <v>182</v>
      </c>
      <c r="AA721" t="s">
        <v>984</v>
      </c>
      <c r="AB721" t="s">
        <v>984</v>
      </c>
      <c r="AC721" t="s">
        <v>82</v>
      </c>
      <c r="AD721" t="s">
        <v>83</v>
      </c>
      <c r="AE721" t="s">
        <v>66</v>
      </c>
      <c r="AF721" t="s">
        <v>876</v>
      </c>
    </row>
    <row r="722" spans="1:32">
      <c r="A722" t="s">
        <v>3958</v>
      </c>
      <c r="B722" t="s">
        <v>1058</v>
      </c>
      <c r="C722" t="s">
        <v>3959</v>
      </c>
      <c r="D722" t="s">
        <v>3959</v>
      </c>
      <c r="E722" t="s">
        <v>109</v>
      </c>
      <c r="F722" t="s">
        <v>110</v>
      </c>
      <c r="G722" t="s">
        <v>111</v>
      </c>
      <c r="H722" t="s">
        <v>66</v>
      </c>
      <c r="I722" t="s">
        <v>66</v>
      </c>
      <c r="J722" t="s">
        <v>67</v>
      </c>
      <c r="K722" t="s">
        <v>71</v>
      </c>
      <c r="L722" t="s">
        <v>72</v>
      </c>
      <c r="M722" t="s">
        <v>73</v>
      </c>
      <c r="N722" t="s">
        <v>66</v>
      </c>
      <c r="O722" t="s">
        <v>73</v>
      </c>
      <c r="P722" t="s">
        <v>66</v>
      </c>
      <c r="Q722" t="s">
        <v>979</v>
      </c>
      <c r="R722" t="s">
        <v>73</v>
      </c>
      <c r="S722" t="s">
        <v>979</v>
      </c>
      <c r="T722" t="s">
        <v>3960</v>
      </c>
      <c r="U722" t="s">
        <v>3961</v>
      </c>
      <c r="V722" t="s">
        <v>982</v>
      </c>
      <c r="W722" t="s">
        <v>66</v>
      </c>
      <c r="X722" t="s">
        <v>78</v>
      </c>
      <c r="Y722" t="s">
        <v>3962</v>
      </c>
      <c r="Z722" t="s">
        <v>182</v>
      </c>
      <c r="AA722" t="s">
        <v>984</v>
      </c>
      <c r="AB722" t="s">
        <v>984</v>
      </c>
      <c r="AC722" t="s">
        <v>82</v>
      </c>
      <c r="AD722" t="s">
        <v>83</v>
      </c>
      <c r="AE722" t="s">
        <v>66</v>
      </c>
      <c r="AF722" t="s">
        <v>876</v>
      </c>
    </row>
    <row r="723" spans="1:32">
      <c r="A723" t="s">
        <v>3963</v>
      </c>
      <c r="B723" t="s">
        <v>107</v>
      </c>
      <c r="C723" t="s">
        <v>3964</v>
      </c>
      <c r="D723" t="s">
        <v>3964</v>
      </c>
      <c r="E723" t="s">
        <v>109</v>
      </c>
      <c r="F723" t="s">
        <v>110</v>
      </c>
      <c r="G723" t="s">
        <v>111</v>
      </c>
      <c r="H723" t="s">
        <v>66</v>
      </c>
      <c r="I723" t="s">
        <v>66</v>
      </c>
      <c r="J723" t="s">
        <v>67</v>
      </c>
      <c r="K723" t="s">
        <v>71</v>
      </c>
      <c r="L723" t="s">
        <v>72</v>
      </c>
      <c r="M723" t="s">
        <v>73</v>
      </c>
      <c r="N723" t="s">
        <v>66</v>
      </c>
      <c r="O723" t="s">
        <v>73</v>
      </c>
      <c r="P723" t="s">
        <v>66</v>
      </c>
      <c r="Q723" t="s">
        <v>979</v>
      </c>
      <c r="R723" t="s">
        <v>73</v>
      </c>
      <c r="S723" t="s">
        <v>979</v>
      </c>
      <c r="T723" t="s">
        <v>3965</v>
      </c>
      <c r="U723" t="s">
        <v>3966</v>
      </c>
      <c r="V723" t="s">
        <v>982</v>
      </c>
      <c r="W723" t="s">
        <v>66</v>
      </c>
      <c r="X723" t="s">
        <v>78</v>
      </c>
      <c r="Y723" t="s">
        <v>3967</v>
      </c>
      <c r="Z723" t="s">
        <v>182</v>
      </c>
      <c r="AA723" t="s">
        <v>984</v>
      </c>
      <c r="AB723" t="s">
        <v>984</v>
      </c>
      <c r="AC723" t="s">
        <v>82</v>
      </c>
      <c r="AD723" t="s">
        <v>83</v>
      </c>
      <c r="AE723" t="s">
        <v>66</v>
      </c>
      <c r="AF723" t="s">
        <v>876</v>
      </c>
    </row>
    <row r="724" spans="1:32">
      <c r="A724" t="s">
        <v>3968</v>
      </c>
      <c r="B724" t="s">
        <v>1041</v>
      </c>
      <c r="C724" t="s">
        <v>3969</v>
      </c>
      <c r="D724" t="s">
        <v>3969</v>
      </c>
      <c r="E724" t="s">
        <v>109</v>
      </c>
      <c r="F724" t="s">
        <v>110</v>
      </c>
      <c r="G724" t="s">
        <v>111</v>
      </c>
      <c r="H724" t="s">
        <v>66</v>
      </c>
      <c r="I724" t="s">
        <v>66</v>
      </c>
      <c r="J724" t="s">
        <v>67</v>
      </c>
      <c r="K724" t="s">
        <v>71</v>
      </c>
      <c r="L724" t="s">
        <v>72</v>
      </c>
      <c r="M724" t="s">
        <v>73</v>
      </c>
      <c r="N724" t="s">
        <v>66</v>
      </c>
      <c r="O724" t="s">
        <v>73</v>
      </c>
      <c r="P724" t="s">
        <v>66</v>
      </c>
      <c r="Q724" t="s">
        <v>979</v>
      </c>
      <c r="R724" t="s">
        <v>73</v>
      </c>
      <c r="S724" t="s">
        <v>979</v>
      </c>
      <c r="T724" t="s">
        <v>3970</v>
      </c>
      <c r="U724" t="s">
        <v>3971</v>
      </c>
      <c r="V724" t="s">
        <v>982</v>
      </c>
      <c r="W724" t="s">
        <v>66</v>
      </c>
      <c r="X724" t="s">
        <v>78</v>
      </c>
      <c r="Y724" t="s">
        <v>3972</v>
      </c>
      <c r="Z724" t="s">
        <v>182</v>
      </c>
      <c r="AA724" t="s">
        <v>984</v>
      </c>
      <c r="AB724" t="s">
        <v>984</v>
      </c>
      <c r="AC724" t="s">
        <v>82</v>
      </c>
      <c r="AD724" t="s">
        <v>83</v>
      </c>
      <c r="AE724" t="s">
        <v>66</v>
      </c>
      <c r="AF724" t="s">
        <v>876</v>
      </c>
    </row>
    <row r="725" spans="1:32">
      <c r="A725" t="s">
        <v>3973</v>
      </c>
      <c r="B725" t="s">
        <v>841</v>
      </c>
      <c r="C725" t="s">
        <v>3974</v>
      </c>
      <c r="D725" t="s">
        <v>3974</v>
      </c>
      <c r="E725" t="s">
        <v>109</v>
      </c>
      <c r="F725" t="s">
        <v>110</v>
      </c>
      <c r="G725" t="s">
        <v>111</v>
      </c>
      <c r="H725" t="s">
        <v>66</v>
      </c>
      <c r="I725" t="s">
        <v>66</v>
      </c>
      <c r="J725" t="s">
        <v>67</v>
      </c>
      <c r="K725" t="s">
        <v>71</v>
      </c>
      <c r="L725" t="s">
        <v>72</v>
      </c>
      <c r="M725" t="s">
        <v>73</v>
      </c>
      <c r="N725" t="s">
        <v>66</v>
      </c>
      <c r="O725" t="s">
        <v>73</v>
      </c>
      <c r="P725" t="s">
        <v>66</v>
      </c>
      <c r="Q725" t="s">
        <v>979</v>
      </c>
      <c r="R725" t="s">
        <v>73</v>
      </c>
      <c r="S725" t="s">
        <v>979</v>
      </c>
      <c r="T725" t="s">
        <v>3975</v>
      </c>
      <c r="U725" t="s">
        <v>3976</v>
      </c>
      <c r="V725" t="s">
        <v>982</v>
      </c>
      <c r="W725" t="s">
        <v>66</v>
      </c>
      <c r="X725" t="s">
        <v>78</v>
      </c>
      <c r="Y725" t="s">
        <v>3977</v>
      </c>
      <c r="Z725" t="s">
        <v>182</v>
      </c>
      <c r="AA725" t="s">
        <v>984</v>
      </c>
      <c r="AB725" t="s">
        <v>984</v>
      </c>
      <c r="AC725" t="s">
        <v>82</v>
      </c>
      <c r="AD725" t="s">
        <v>83</v>
      </c>
      <c r="AE725" t="s">
        <v>66</v>
      </c>
      <c r="AF725" t="s">
        <v>876</v>
      </c>
    </row>
    <row r="726" spans="1:32">
      <c r="A726" t="s">
        <v>3978</v>
      </c>
      <c r="B726" t="s">
        <v>308</v>
      </c>
      <c r="C726" t="s">
        <v>3979</v>
      </c>
      <c r="D726" t="s">
        <v>3979</v>
      </c>
      <c r="E726" t="s">
        <v>109</v>
      </c>
      <c r="F726" t="s">
        <v>110</v>
      </c>
      <c r="G726" t="s">
        <v>111</v>
      </c>
      <c r="H726" t="s">
        <v>66</v>
      </c>
      <c r="I726" t="s">
        <v>66</v>
      </c>
      <c r="J726" t="s">
        <v>67</v>
      </c>
      <c r="K726" t="s">
        <v>71</v>
      </c>
      <c r="L726" t="s">
        <v>72</v>
      </c>
      <c r="M726" t="s">
        <v>73</v>
      </c>
      <c r="N726" t="s">
        <v>66</v>
      </c>
      <c r="O726" t="s">
        <v>73</v>
      </c>
      <c r="P726" t="s">
        <v>66</v>
      </c>
      <c r="Q726" t="s">
        <v>979</v>
      </c>
      <c r="R726" t="s">
        <v>73</v>
      </c>
      <c r="S726" t="s">
        <v>979</v>
      </c>
      <c r="T726" t="s">
        <v>3980</v>
      </c>
      <c r="U726" t="s">
        <v>3981</v>
      </c>
      <c r="V726" t="s">
        <v>982</v>
      </c>
      <c r="W726" t="s">
        <v>66</v>
      </c>
      <c r="X726" t="s">
        <v>78</v>
      </c>
      <c r="Y726" t="s">
        <v>3982</v>
      </c>
      <c r="Z726" t="s">
        <v>182</v>
      </c>
      <c r="AA726" t="s">
        <v>984</v>
      </c>
      <c r="AB726" t="s">
        <v>984</v>
      </c>
      <c r="AC726" t="s">
        <v>82</v>
      </c>
      <c r="AD726" t="s">
        <v>83</v>
      </c>
      <c r="AE726" t="s">
        <v>66</v>
      </c>
      <c r="AF726" t="s">
        <v>876</v>
      </c>
    </row>
    <row r="727" spans="1:32">
      <c r="A727" t="s">
        <v>3983</v>
      </c>
      <c r="B727" t="s">
        <v>1275</v>
      </c>
      <c r="C727" t="s">
        <v>3984</v>
      </c>
      <c r="D727" t="s">
        <v>66</v>
      </c>
      <c r="E727" t="s">
        <v>67</v>
      </c>
      <c r="F727" t="s">
        <v>68</v>
      </c>
      <c r="G727" t="s">
        <v>69</v>
      </c>
      <c r="H727" t="s">
        <v>66</v>
      </c>
      <c r="I727" t="s">
        <v>66</v>
      </c>
      <c r="J727" t="s">
        <v>67</v>
      </c>
      <c r="K727" t="s">
        <v>71</v>
      </c>
      <c r="L727" t="s">
        <v>72</v>
      </c>
      <c r="M727" t="s">
        <v>73</v>
      </c>
      <c r="N727" t="s">
        <v>66</v>
      </c>
      <c r="O727" t="s">
        <v>73</v>
      </c>
      <c r="P727" t="s">
        <v>66</v>
      </c>
      <c r="Q727" t="s">
        <v>979</v>
      </c>
      <c r="R727" t="s">
        <v>73</v>
      </c>
      <c r="S727" t="s">
        <v>979</v>
      </c>
      <c r="T727" t="s">
        <v>3985</v>
      </c>
      <c r="U727" t="s">
        <v>3986</v>
      </c>
      <c r="V727" t="s">
        <v>982</v>
      </c>
      <c r="W727" t="s">
        <v>66</v>
      </c>
      <c r="X727" t="s">
        <v>78</v>
      </c>
      <c r="Y727" t="s">
        <v>3987</v>
      </c>
      <c r="Z727" t="s">
        <v>182</v>
      </c>
      <c r="AA727" t="s">
        <v>984</v>
      </c>
      <c r="AB727" t="s">
        <v>984</v>
      </c>
      <c r="AC727" t="s">
        <v>82</v>
      </c>
      <c r="AD727" t="s">
        <v>83</v>
      </c>
      <c r="AE727" t="s">
        <v>66</v>
      </c>
      <c r="AF727" t="s">
        <v>876</v>
      </c>
    </row>
    <row r="728" spans="1:32">
      <c r="A728" t="s">
        <v>3988</v>
      </c>
      <c r="B728" t="s">
        <v>977</v>
      </c>
      <c r="C728" t="s">
        <v>3989</v>
      </c>
      <c r="D728" t="s">
        <v>3989</v>
      </c>
      <c r="E728" t="s">
        <v>109</v>
      </c>
      <c r="F728" t="s">
        <v>68</v>
      </c>
      <c r="G728" t="s">
        <v>69</v>
      </c>
      <c r="H728" t="s">
        <v>66</v>
      </c>
      <c r="I728" t="s">
        <v>66</v>
      </c>
      <c r="J728" t="s">
        <v>67</v>
      </c>
      <c r="K728" t="s">
        <v>71</v>
      </c>
      <c r="L728" t="s">
        <v>72</v>
      </c>
      <c r="M728" t="s">
        <v>73</v>
      </c>
      <c r="N728" t="s">
        <v>66</v>
      </c>
      <c r="O728" t="s">
        <v>73</v>
      </c>
      <c r="P728" t="s">
        <v>66</v>
      </c>
      <c r="Q728" t="s">
        <v>979</v>
      </c>
      <c r="R728" t="s">
        <v>73</v>
      </c>
      <c r="S728" t="s">
        <v>979</v>
      </c>
      <c r="T728" t="s">
        <v>3990</v>
      </c>
      <c r="U728" t="s">
        <v>3991</v>
      </c>
      <c r="V728" t="s">
        <v>982</v>
      </c>
      <c r="W728" t="s">
        <v>66</v>
      </c>
      <c r="X728" t="s">
        <v>78</v>
      </c>
      <c r="Y728" t="s">
        <v>3992</v>
      </c>
      <c r="Z728" t="s">
        <v>182</v>
      </c>
      <c r="AA728" t="s">
        <v>984</v>
      </c>
      <c r="AB728" t="s">
        <v>984</v>
      </c>
      <c r="AC728" t="s">
        <v>82</v>
      </c>
      <c r="AD728" t="s">
        <v>83</v>
      </c>
      <c r="AE728" t="s">
        <v>66</v>
      </c>
      <c r="AF728" t="s">
        <v>876</v>
      </c>
    </row>
    <row r="729" spans="1:32">
      <c r="A729" t="s">
        <v>3993</v>
      </c>
      <c r="B729" t="s">
        <v>1457</v>
      </c>
      <c r="C729" t="s">
        <v>3994</v>
      </c>
      <c r="D729" t="s">
        <v>66</v>
      </c>
      <c r="E729" t="s">
        <v>67</v>
      </c>
      <c r="F729" t="s">
        <v>68</v>
      </c>
      <c r="G729" t="s">
        <v>69</v>
      </c>
      <c r="H729" t="s">
        <v>66</v>
      </c>
      <c r="I729" t="s">
        <v>66</v>
      </c>
      <c r="J729" t="s">
        <v>67</v>
      </c>
      <c r="K729" t="s">
        <v>71</v>
      </c>
      <c r="L729" t="s">
        <v>72</v>
      </c>
      <c r="M729" t="s">
        <v>73</v>
      </c>
      <c r="N729" t="s">
        <v>66</v>
      </c>
      <c r="O729" t="s">
        <v>73</v>
      </c>
      <c r="P729" t="s">
        <v>66</v>
      </c>
      <c r="Q729" t="s">
        <v>979</v>
      </c>
      <c r="R729" t="s">
        <v>73</v>
      </c>
      <c r="S729" t="s">
        <v>979</v>
      </c>
      <c r="T729" t="s">
        <v>3995</v>
      </c>
      <c r="U729" t="s">
        <v>3996</v>
      </c>
      <c r="V729" t="s">
        <v>982</v>
      </c>
      <c r="W729" t="s">
        <v>66</v>
      </c>
      <c r="X729" t="s">
        <v>78</v>
      </c>
      <c r="Y729" t="s">
        <v>3997</v>
      </c>
      <c r="Z729" t="s">
        <v>182</v>
      </c>
      <c r="AA729" t="s">
        <v>984</v>
      </c>
      <c r="AB729" t="s">
        <v>984</v>
      </c>
      <c r="AC729" t="s">
        <v>82</v>
      </c>
      <c r="AD729" t="s">
        <v>83</v>
      </c>
      <c r="AE729" t="s">
        <v>66</v>
      </c>
      <c r="AF729" t="s">
        <v>876</v>
      </c>
    </row>
    <row r="730" spans="1:32">
      <c r="A730" t="s">
        <v>3998</v>
      </c>
      <c r="B730" t="s">
        <v>162</v>
      </c>
      <c r="C730" t="s">
        <v>3999</v>
      </c>
      <c r="D730" t="s">
        <v>66</v>
      </c>
      <c r="E730" t="s">
        <v>67</v>
      </c>
      <c r="F730" t="s">
        <v>164</v>
      </c>
      <c r="G730" t="s">
        <v>165</v>
      </c>
      <c r="H730" t="s">
        <v>66</v>
      </c>
      <c r="I730" t="s">
        <v>66</v>
      </c>
      <c r="J730" t="s">
        <v>67</v>
      </c>
      <c r="K730" t="s">
        <v>71</v>
      </c>
      <c r="L730" t="s">
        <v>72</v>
      </c>
      <c r="M730" t="s">
        <v>73</v>
      </c>
      <c r="N730" t="s">
        <v>66</v>
      </c>
      <c r="O730" t="s">
        <v>73</v>
      </c>
      <c r="P730" t="s">
        <v>66</v>
      </c>
      <c r="Q730" t="s">
        <v>979</v>
      </c>
      <c r="R730" t="s">
        <v>73</v>
      </c>
      <c r="S730" t="s">
        <v>979</v>
      </c>
      <c r="T730" t="s">
        <v>4000</v>
      </c>
      <c r="U730" t="s">
        <v>4001</v>
      </c>
      <c r="V730" t="s">
        <v>982</v>
      </c>
      <c r="W730" t="s">
        <v>66</v>
      </c>
      <c r="X730" t="s">
        <v>78</v>
      </c>
      <c r="Y730" t="s">
        <v>4002</v>
      </c>
      <c r="Z730" t="s">
        <v>182</v>
      </c>
      <c r="AA730" t="s">
        <v>984</v>
      </c>
      <c r="AB730" t="s">
        <v>984</v>
      </c>
      <c r="AC730" t="s">
        <v>82</v>
      </c>
      <c r="AD730" t="s">
        <v>83</v>
      </c>
      <c r="AE730" t="s">
        <v>66</v>
      </c>
      <c r="AF730" t="s">
        <v>876</v>
      </c>
    </row>
    <row r="731" spans="1:32">
      <c r="A731" t="s">
        <v>4003</v>
      </c>
      <c r="B731" t="s">
        <v>1229</v>
      </c>
      <c r="C731" t="s">
        <v>4004</v>
      </c>
      <c r="D731" t="s">
        <v>66</v>
      </c>
      <c r="E731" t="s">
        <v>67</v>
      </c>
      <c r="F731" t="s">
        <v>68</v>
      </c>
      <c r="G731" t="s">
        <v>69</v>
      </c>
      <c r="H731" t="s">
        <v>66</v>
      </c>
      <c r="I731" t="s">
        <v>66</v>
      </c>
      <c r="J731" t="s">
        <v>67</v>
      </c>
      <c r="K731" t="s">
        <v>71</v>
      </c>
      <c r="L731" t="s">
        <v>72</v>
      </c>
      <c r="M731" t="s">
        <v>73</v>
      </c>
      <c r="N731" t="s">
        <v>66</v>
      </c>
      <c r="O731" t="s">
        <v>73</v>
      </c>
      <c r="P731" t="s">
        <v>66</v>
      </c>
      <c r="Q731" t="s">
        <v>979</v>
      </c>
      <c r="R731" t="s">
        <v>73</v>
      </c>
      <c r="S731" t="s">
        <v>979</v>
      </c>
      <c r="T731" t="s">
        <v>4005</v>
      </c>
      <c r="U731" t="s">
        <v>4006</v>
      </c>
      <c r="V731" t="s">
        <v>982</v>
      </c>
      <c r="W731" t="s">
        <v>66</v>
      </c>
      <c r="X731" t="s">
        <v>78</v>
      </c>
      <c r="Y731" t="s">
        <v>4007</v>
      </c>
      <c r="Z731" t="s">
        <v>182</v>
      </c>
      <c r="AA731" t="s">
        <v>984</v>
      </c>
      <c r="AB731" t="s">
        <v>984</v>
      </c>
      <c r="AC731" t="s">
        <v>82</v>
      </c>
      <c r="AD731" t="s">
        <v>83</v>
      </c>
      <c r="AE731" t="s">
        <v>66</v>
      </c>
      <c r="AF731" t="s">
        <v>876</v>
      </c>
    </row>
    <row r="732" spans="1:32">
      <c r="A732" t="s">
        <v>4008</v>
      </c>
      <c r="B732" t="s">
        <v>308</v>
      </c>
      <c r="C732" t="s">
        <v>4009</v>
      </c>
      <c r="D732" t="s">
        <v>4009</v>
      </c>
      <c r="E732" t="s">
        <v>109</v>
      </c>
      <c r="F732" t="s">
        <v>110</v>
      </c>
      <c r="G732" t="s">
        <v>111</v>
      </c>
      <c r="H732" t="s">
        <v>66</v>
      </c>
      <c r="I732" t="s">
        <v>66</v>
      </c>
      <c r="J732" t="s">
        <v>67</v>
      </c>
      <c r="K732" t="s">
        <v>71</v>
      </c>
      <c r="L732" t="s">
        <v>72</v>
      </c>
      <c r="M732" t="s">
        <v>73</v>
      </c>
      <c r="N732" t="s">
        <v>66</v>
      </c>
      <c r="O732" t="s">
        <v>73</v>
      </c>
      <c r="P732" t="s">
        <v>66</v>
      </c>
      <c r="Q732" t="s">
        <v>979</v>
      </c>
      <c r="R732" t="s">
        <v>73</v>
      </c>
      <c r="S732" t="s">
        <v>979</v>
      </c>
      <c r="T732" t="s">
        <v>4010</v>
      </c>
      <c r="U732" t="s">
        <v>4011</v>
      </c>
      <c r="V732" t="s">
        <v>982</v>
      </c>
      <c r="W732" t="s">
        <v>66</v>
      </c>
      <c r="X732" t="s">
        <v>78</v>
      </c>
      <c r="Y732" t="s">
        <v>4012</v>
      </c>
      <c r="Z732" t="s">
        <v>182</v>
      </c>
      <c r="AA732" t="s">
        <v>984</v>
      </c>
      <c r="AB732" t="s">
        <v>984</v>
      </c>
      <c r="AC732" t="s">
        <v>82</v>
      </c>
      <c r="AD732" t="s">
        <v>83</v>
      </c>
      <c r="AE732" t="s">
        <v>66</v>
      </c>
      <c r="AF732" t="s">
        <v>876</v>
      </c>
    </row>
    <row r="733" spans="1:32">
      <c r="A733" t="s">
        <v>4013</v>
      </c>
      <c r="B733" t="s">
        <v>1064</v>
      </c>
      <c r="C733" t="s">
        <v>4014</v>
      </c>
      <c r="D733" t="s">
        <v>66</v>
      </c>
      <c r="E733" t="s">
        <v>67</v>
      </c>
      <c r="F733" t="s">
        <v>110</v>
      </c>
      <c r="G733" t="s">
        <v>111</v>
      </c>
      <c r="H733" t="s">
        <v>66</v>
      </c>
      <c r="I733" t="s">
        <v>66</v>
      </c>
      <c r="J733" t="s">
        <v>67</v>
      </c>
      <c r="K733" t="s">
        <v>71</v>
      </c>
      <c r="L733" t="s">
        <v>72</v>
      </c>
      <c r="M733" t="s">
        <v>73</v>
      </c>
      <c r="N733" t="s">
        <v>66</v>
      </c>
      <c r="O733" t="s">
        <v>73</v>
      </c>
      <c r="P733" t="s">
        <v>66</v>
      </c>
      <c r="Q733" t="s">
        <v>979</v>
      </c>
      <c r="R733" t="s">
        <v>73</v>
      </c>
      <c r="S733" t="s">
        <v>979</v>
      </c>
      <c r="T733" t="s">
        <v>4015</v>
      </c>
      <c r="U733" t="s">
        <v>4016</v>
      </c>
      <c r="V733" t="s">
        <v>982</v>
      </c>
      <c r="W733" t="s">
        <v>66</v>
      </c>
      <c r="X733" t="s">
        <v>78</v>
      </c>
      <c r="Y733" t="s">
        <v>4017</v>
      </c>
      <c r="Z733" t="s">
        <v>182</v>
      </c>
      <c r="AA733" t="s">
        <v>984</v>
      </c>
      <c r="AB733" t="s">
        <v>984</v>
      </c>
      <c r="AC733" t="s">
        <v>82</v>
      </c>
      <c r="AD733" t="s">
        <v>83</v>
      </c>
      <c r="AE733" t="s">
        <v>66</v>
      </c>
      <c r="AF733" t="s">
        <v>876</v>
      </c>
    </row>
    <row r="734" spans="1:32">
      <c r="A734" t="s">
        <v>4018</v>
      </c>
      <c r="B734" t="s">
        <v>1457</v>
      </c>
      <c r="C734" t="s">
        <v>4019</v>
      </c>
      <c r="D734" t="s">
        <v>66</v>
      </c>
      <c r="E734" t="s">
        <v>67</v>
      </c>
      <c r="F734" t="s">
        <v>68</v>
      </c>
      <c r="G734" t="s">
        <v>69</v>
      </c>
      <c r="H734" t="s">
        <v>66</v>
      </c>
      <c r="I734" t="s">
        <v>66</v>
      </c>
      <c r="J734" t="s">
        <v>67</v>
      </c>
      <c r="K734" t="s">
        <v>71</v>
      </c>
      <c r="L734" t="s">
        <v>72</v>
      </c>
      <c r="M734" t="s">
        <v>73</v>
      </c>
      <c r="N734" t="s">
        <v>66</v>
      </c>
      <c r="O734" t="s">
        <v>73</v>
      </c>
      <c r="P734" t="s">
        <v>66</v>
      </c>
      <c r="Q734" t="s">
        <v>979</v>
      </c>
      <c r="R734" t="s">
        <v>73</v>
      </c>
      <c r="S734" t="s">
        <v>979</v>
      </c>
      <c r="T734" t="s">
        <v>4020</v>
      </c>
      <c r="U734" t="s">
        <v>4021</v>
      </c>
      <c r="V734" t="s">
        <v>982</v>
      </c>
      <c r="W734" t="s">
        <v>66</v>
      </c>
      <c r="X734" t="s">
        <v>78</v>
      </c>
      <c r="Y734" t="s">
        <v>4022</v>
      </c>
      <c r="Z734" t="s">
        <v>182</v>
      </c>
      <c r="AA734" t="s">
        <v>984</v>
      </c>
      <c r="AB734" t="s">
        <v>984</v>
      </c>
      <c r="AC734" t="s">
        <v>82</v>
      </c>
      <c r="AD734" t="s">
        <v>83</v>
      </c>
      <c r="AE734" t="s">
        <v>66</v>
      </c>
      <c r="AF734" t="s">
        <v>876</v>
      </c>
    </row>
    <row r="735" spans="1:32">
      <c r="A735" t="s">
        <v>4023</v>
      </c>
      <c r="B735" t="s">
        <v>1004</v>
      </c>
      <c r="C735" t="s">
        <v>4024</v>
      </c>
      <c r="D735" t="s">
        <v>66</v>
      </c>
      <c r="E735" t="s">
        <v>67</v>
      </c>
      <c r="F735" t="s">
        <v>68</v>
      </c>
      <c r="G735" t="s">
        <v>69</v>
      </c>
      <c r="H735" t="s">
        <v>66</v>
      </c>
      <c r="I735" t="s">
        <v>66</v>
      </c>
      <c r="J735" t="s">
        <v>67</v>
      </c>
      <c r="K735" t="s">
        <v>71</v>
      </c>
      <c r="L735" t="s">
        <v>72</v>
      </c>
      <c r="M735" t="s">
        <v>73</v>
      </c>
      <c r="N735" t="s">
        <v>66</v>
      </c>
      <c r="O735" t="s">
        <v>73</v>
      </c>
      <c r="P735" t="s">
        <v>66</v>
      </c>
      <c r="Q735" t="s">
        <v>979</v>
      </c>
      <c r="R735" t="s">
        <v>73</v>
      </c>
      <c r="S735" t="s">
        <v>979</v>
      </c>
      <c r="T735" t="s">
        <v>4025</v>
      </c>
      <c r="U735" t="s">
        <v>4026</v>
      </c>
      <c r="V735" t="s">
        <v>982</v>
      </c>
      <c r="W735" t="s">
        <v>66</v>
      </c>
      <c r="X735" t="s">
        <v>78</v>
      </c>
      <c r="Y735" t="s">
        <v>4027</v>
      </c>
      <c r="Z735" t="s">
        <v>182</v>
      </c>
      <c r="AA735" t="s">
        <v>984</v>
      </c>
      <c r="AB735" t="s">
        <v>984</v>
      </c>
      <c r="AC735" t="s">
        <v>82</v>
      </c>
      <c r="AD735" t="s">
        <v>83</v>
      </c>
      <c r="AE735" t="s">
        <v>66</v>
      </c>
      <c r="AF735" t="s">
        <v>876</v>
      </c>
    </row>
    <row r="736" spans="1:32">
      <c r="A736" t="s">
        <v>4028</v>
      </c>
      <c r="B736" t="s">
        <v>162</v>
      </c>
      <c r="C736" t="s">
        <v>4029</v>
      </c>
      <c r="D736" t="s">
        <v>66</v>
      </c>
      <c r="E736" t="s">
        <v>67</v>
      </c>
      <c r="F736" t="s">
        <v>164</v>
      </c>
      <c r="G736" t="s">
        <v>165</v>
      </c>
      <c r="H736" t="s">
        <v>66</v>
      </c>
      <c r="I736" t="s">
        <v>66</v>
      </c>
      <c r="J736" t="s">
        <v>67</v>
      </c>
      <c r="K736" t="s">
        <v>71</v>
      </c>
      <c r="L736" t="s">
        <v>72</v>
      </c>
      <c r="M736" t="s">
        <v>73</v>
      </c>
      <c r="N736" t="s">
        <v>66</v>
      </c>
      <c r="O736" t="s">
        <v>73</v>
      </c>
      <c r="P736" t="s">
        <v>66</v>
      </c>
      <c r="Q736" t="s">
        <v>979</v>
      </c>
      <c r="R736" t="s">
        <v>73</v>
      </c>
      <c r="S736" t="s">
        <v>979</v>
      </c>
      <c r="T736" t="s">
        <v>4030</v>
      </c>
      <c r="U736" t="s">
        <v>4031</v>
      </c>
      <c r="V736" t="s">
        <v>982</v>
      </c>
      <c r="W736" t="s">
        <v>66</v>
      </c>
      <c r="X736" t="s">
        <v>78</v>
      </c>
      <c r="Y736" t="s">
        <v>4032</v>
      </c>
      <c r="Z736" t="s">
        <v>182</v>
      </c>
      <c r="AA736" t="s">
        <v>984</v>
      </c>
      <c r="AB736" t="s">
        <v>984</v>
      </c>
      <c r="AC736" t="s">
        <v>82</v>
      </c>
      <c r="AD736" t="s">
        <v>83</v>
      </c>
      <c r="AE736" t="s">
        <v>66</v>
      </c>
      <c r="AF736" t="s">
        <v>876</v>
      </c>
    </row>
    <row r="737" spans="1:32">
      <c r="A737" t="s">
        <v>4033</v>
      </c>
      <c r="B737" t="s">
        <v>1064</v>
      </c>
      <c r="C737" t="s">
        <v>4034</v>
      </c>
      <c r="D737" t="s">
        <v>66</v>
      </c>
      <c r="E737" t="s">
        <v>67</v>
      </c>
      <c r="F737" t="s">
        <v>110</v>
      </c>
      <c r="G737" t="s">
        <v>111</v>
      </c>
      <c r="H737" t="s">
        <v>66</v>
      </c>
      <c r="I737" t="s">
        <v>66</v>
      </c>
      <c r="J737" t="s">
        <v>67</v>
      </c>
      <c r="K737" t="s">
        <v>71</v>
      </c>
      <c r="L737" t="s">
        <v>72</v>
      </c>
      <c r="M737" t="s">
        <v>73</v>
      </c>
      <c r="N737" t="s">
        <v>66</v>
      </c>
      <c r="O737" t="s">
        <v>73</v>
      </c>
      <c r="P737" t="s">
        <v>66</v>
      </c>
      <c r="Q737" t="s">
        <v>979</v>
      </c>
      <c r="R737" t="s">
        <v>73</v>
      </c>
      <c r="S737" t="s">
        <v>979</v>
      </c>
      <c r="T737" t="s">
        <v>4035</v>
      </c>
      <c r="U737" t="s">
        <v>4036</v>
      </c>
      <c r="V737" t="s">
        <v>982</v>
      </c>
      <c r="W737" t="s">
        <v>66</v>
      </c>
      <c r="X737" t="s">
        <v>78</v>
      </c>
      <c r="Y737" t="s">
        <v>4037</v>
      </c>
      <c r="Z737" t="s">
        <v>182</v>
      </c>
      <c r="AA737" t="s">
        <v>984</v>
      </c>
      <c r="AB737" t="s">
        <v>984</v>
      </c>
      <c r="AC737" t="s">
        <v>82</v>
      </c>
      <c r="AD737" t="s">
        <v>83</v>
      </c>
      <c r="AE737" t="s">
        <v>66</v>
      </c>
      <c r="AF737" t="s">
        <v>876</v>
      </c>
    </row>
    <row r="738" spans="1:32">
      <c r="A738" t="s">
        <v>4038</v>
      </c>
      <c r="B738" t="s">
        <v>107</v>
      </c>
      <c r="C738" t="s">
        <v>4039</v>
      </c>
      <c r="D738" t="s">
        <v>4039</v>
      </c>
      <c r="E738" t="s">
        <v>109</v>
      </c>
      <c r="F738" t="s">
        <v>1321</v>
      </c>
      <c r="G738" t="s">
        <v>1322</v>
      </c>
      <c r="H738" t="s">
        <v>66</v>
      </c>
      <c r="I738" t="s">
        <v>66</v>
      </c>
      <c r="J738" t="s">
        <v>67</v>
      </c>
      <c r="K738" t="s">
        <v>71</v>
      </c>
      <c r="L738" t="s">
        <v>72</v>
      </c>
      <c r="M738" t="s">
        <v>73</v>
      </c>
      <c r="N738" t="s">
        <v>66</v>
      </c>
      <c r="O738" t="s">
        <v>73</v>
      </c>
      <c r="P738" t="s">
        <v>66</v>
      </c>
      <c r="Q738" t="s">
        <v>979</v>
      </c>
      <c r="R738" t="s">
        <v>73</v>
      </c>
      <c r="S738" t="s">
        <v>979</v>
      </c>
      <c r="T738" t="s">
        <v>4040</v>
      </c>
      <c r="U738" t="s">
        <v>4041</v>
      </c>
      <c r="V738" t="s">
        <v>982</v>
      </c>
      <c r="W738" t="s">
        <v>66</v>
      </c>
      <c r="X738" t="s">
        <v>78</v>
      </c>
      <c r="Y738" t="s">
        <v>4042</v>
      </c>
      <c r="Z738" t="s">
        <v>182</v>
      </c>
      <c r="AA738" t="s">
        <v>984</v>
      </c>
      <c r="AB738" t="s">
        <v>984</v>
      </c>
      <c r="AC738" t="s">
        <v>82</v>
      </c>
      <c r="AD738" t="s">
        <v>83</v>
      </c>
      <c r="AE738" t="s">
        <v>66</v>
      </c>
      <c r="AF738" t="s">
        <v>876</v>
      </c>
    </row>
    <row r="739" spans="1:32">
      <c r="A739" t="s">
        <v>4043</v>
      </c>
      <c r="B739" t="s">
        <v>4044</v>
      </c>
      <c r="C739" t="s">
        <v>4045</v>
      </c>
      <c r="D739" t="s">
        <v>66</v>
      </c>
      <c r="E739" t="s">
        <v>67</v>
      </c>
      <c r="F739" t="s">
        <v>110</v>
      </c>
      <c r="G739" t="s">
        <v>111</v>
      </c>
      <c r="H739" t="s">
        <v>66</v>
      </c>
      <c r="I739" t="s">
        <v>66</v>
      </c>
      <c r="J739" t="s">
        <v>67</v>
      </c>
      <c r="K739" t="s">
        <v>71</v>
      </c>
      <c r="L739" t="s">
        <v>72</v>
      </c>
      <c r="M739" t="s">
        <v>73</v>
      </c>
      <c r="N739" t="s">
        <v>66</v>
      </c>
      <c r="O739" t="s">
        <v>73</v>
      </c>
      <c r="P739" t="s">
        <v>66</v>
      </c>
      <c r="Q739" t="s">
        <v>979</v>
      </c>
      <c r="R739" t="s">
        <v>73</v>
      </c>
      <c r="S739" t="s">
        <v>979</v>
      </c>
      <c r="T739" t="s">
        <v>4046</v>
      </c>
      <c r="U739" t="s">
        <v>4047</v>
      </c>
      <c r="V739" t="s">
        <v>982</v>
      </c>
      <c r="W739" t="s">
        <v>66</v>
      </c>
      <c r="X739" t="s">
        <v>78</v>
      </c>
      <c r="Y739" t="s">
        <v>4048</v>
      </c>
      <c r="Z739" t="s">
        <v>182</v>
      </c>
      <c r="AA739" t="s">
        <v>984</v>
      </c>
      <c r="AB739" t="s">
        <v>984</v>
      </c>
      <c r="AC739" t="s">
        <v>82</v>
      </c>
      <c r="AD739" t="s">
        <v>83</v>
      </c>
      <c r="AE739" t="s">
        <v>66</v>
      </c>
      <c r="AF739" t="s">
        <v>876</v>
      </c>
    </row>
    <row r="740" spans="1:32">
      <c r="A740" t="s">
        <v>4049</v>
      </c>
      <c r="B740" t="s">
        <v>1004</v>
      </c>
      <c r="C740" t="s">
        <v>4050</v>
      </c>
      <c r="D740" t="s">
        <v>66</v>
      </c>
      <c r="E740" t="s">
        <v>67</v>
      </c>
      <c r="F740" t="s">
        <v>68</v>
      </c>
      <c r="G740" t="s">
        <v>69</v>
      </c>
      <c r="H740" t="s">
        <v>66</v>
      </c>
      <c r="I740" t="s">
        <v>66</v>
      </c>
      <c r="J740" t="s">
        <v>67</v>
      </c>
      <c r="K740" t="s">
        <v>71</v>
      </c>
      <c r="L740" t="s">
        <v>72</v>
      </c>
      <c r="M740" t="s">
        <v>73</v>
      </c>
      <c r="N740" t="s">
        <v>66</v>
      </c>
      <c r="O740" t="s">
        <v>73</v>
      </c>
      <c r="P740" t="s">
        <v>66</v>
      </c>
      <c r="Q740" t="s">
        <v>979</v>
      </c>
      <c r="R740" t="s">
        <v>73</v>
      </c>
      <c r="S740" t="s">
        <v>979</v>
      </c>
      <c r="T740" t="s">
        <v>4051</v>
      </c>
      <c r="U740" t="s">
        <v>4052</v>
      </c>
      <c r="V740" t="s">
        <v>982</v>
      </c>
      <c r="W740" t="s">
        <v>66</v>
      </c>
      <c r="X740" t="s">
        <v>78</v>
      </c>
      <c r="Y740" t="s">
        <v>4053</v>
      </c>
      <c r="Z740" t="s">
        <v>182</v>
      </c>
      <c r="AA740" t="s">
        <v>984</v>
      </c>
      <c r="AB740" t="s">
        <v>984</v>
      </c>
      <c r="AC740" t="s">
        <v>82</v>
      </c>
      <c r="AD740" t="s">
        <v>83</v>
      </c>
      <c r="AE740" t="s">
        <v>66</v>
      </c>
      <c r="AF740" t="s">
        <v>876</v>
      </c>
    </row>
    <row r="741" spans="1:32">
      <c r="A741" t="s">
        <v>4054</v>
      </c>
      <c r="B741" t="s">
        <v>4055</v>
      </c>
      <c r="C741" t="s">
        <v>4056</v>
      </c>
      <c r="D741" t="s">
        <v>4056</v>
      </c>
      <c r="E741" t="s">
        <v>109</v>
      </c>
      <c r="F741" t="s">
        <v>110</v>
      </c>
      <c r="G741" t="s">
        <v>111</v>
      </c>
      <c r="H741" t="s">
        <v>66</v>
      </c>
      <c r="I741" t="s">
        <v>66</v>
      </c>
      <c r="J741" t="s">
        <v>67</v>
      </c>
      <c r="K741" t="s">
        <v>71</v>
      </c>
      <c r="L741" t="s">
        <v>72</v>
      </c>
      <c r="M741" t="s">
        <v>73</v>
      </c>
      <c r="N741" t="s">
        <v>66</v>
      </c>
      <c r="O741" t="s">
        <v>73</v>
      </c>
      <c r="P741" t="s">
        <v>66</v>
      </c>
      <c r="Q741" t="s">
        <v>979</v>
      </c>
      <c r="R741" t="s">
        <v>73</v>
      </c>
      <c r="S741" t="s">
        <v>979</v>
      </c>
      <c r="T741" t="s">
        <v>4057</v>
      </c>
      <c r="U741" t="s">
        <v>4058</v>
      </c>
      <c r="V741" t="s">
        <v>982</v>
      </c>
      <c r="W741" t="s">
        <v>66</v>
      </c>
      <c r="X741" t="s">
        <v>78</v>
      </c>
      <c r="Y741" t="s">
        <v>4059</v>
      </c>
      <c r="Z741" t="s">
        <v>182</v>
      </c>
      <c r="AA741" t="s">
        <v>984</v>
      </c>
      <c r="AB741" t="s">
        <v>984</v>
      </c>
      <c r="AC741" t="s">
        <v>82</v>
      </c>
      <c r="AD741" t="s">
        <v>83</v>
      </c>
      <c r="AE741" t="s">
        <v>66</v>
      </c>
      <c r="AF741" t="s">
        <v>876</v>
      </c>
    </row>
    <row r="742" spans="1:32">
      <c r="A742" t="s">
        <v>4060</v>
      </c>
      <c r="B742" t="s">
        <v>841</v>
      </c>
      <c r="C742" t="s">
        <v>4061</v>
      </c>
      <c r="D742" t="s">
        <v>4061</v>
      </c>
      <c r="E742" t="s">
        <v>109</v>
      </c>
      <c r="F742" t="s">
        <v>110</v>
      </c>
      <c r="G742" t="s">
        <v>111</v>
      </c>
      <c r="H742" t="s">
        <v>66</v>
      </c>
      <c r="I742" t="s">
        <v>66</v>
      </c>
      <c r="J742" t="s">
        <v>67</v>
      </c>
      <c r="K742" t="s">
        <v>71</v>
      </c>
      <c r="L742" t="s">
        <v>72</v>
      </c>
      <c r="M742" t="s">
        <v>73</v>
      </c>
      <c r="N742" t="s">
        <v>66</v>
      </c>
      <c r="O742" t="s">
        <v>73</v>
      </c>
      <c r="P742" t="s">
        <v>66</v>
      </c>
      <c r="Q742" t="s">
        <v>979</v>
      </c>
      <c r="R742" t="s">
        <v>73</v>
      </c>
      <c r="S742" t="s">
        <v>979</v>
      </c>
      <c r="T742" t="s">
        <v>4062</v>
      </c>
      <c r="U742" t="s">
        <v>4063</v>
      </c>
      <c r="V742" t="s">
        <v>982</v>
      </c>
      <c r="W742" t="s">
        <v>66</v>
      </c>
      <c r="X742" t="s">
        <v>78</v>
      </c>
      <c r="Y742" t="s">
        <v>4064</v>
      </c>
      <c r="Z742" t="s">
        <v>182</v>
      </c>
      <c r="AA742" t="s">
        <v>984</v>
      </c>
      <c r="AB742" t="s">
        <v>984</v>
      </c>
      <c r="AC742" t="s">
        <v>82</v>
      </c>
      <c r="AD742" t="s">
        <v>83</v>
      </c>
      <c r="AE742" t="s">
        <v>66</v>
      </c>
      <c r="AF742" t="s">
        <v>876</v>
      </c>
    </row>
    <row r="743" spans="1:32">
      <c r="A743" t="s">
        <v>4065</v>
      </c>
      <c r="B743" t="s">
        <v>986</v>
      </c>
      <c r="C743" t="s">
        <v>4066</v>
      </c>
      <c r="D743" t="s">
        <v>66</v>
      </c>
      <c r="E743" t="s">
        <v>67</v>
      </c>
      <c r="F743" t="s">
        <v>988</v>
      </c>
      <c r="G743" t="s">
        <v>989</v>
      </c>
      <c r="H743" t="s">
        <v>66</v>
      </c>
      <c r="I743" t="s">
        <v>66</v>
      </c>
      <c r="J743" t="s">
        <v>67</v>
      </c>
      <c r="K743" t="s">
        <v>71</v>
      </c>
      <c r="L743" t="s">
        <v>72</v>
      </c>
      <c r="M743" t="s">
        <v>73</v>
      </c>
      <c r="N743" t="s">
        <v>66</v>
      </c>
      <c r="O743" t="s">
        <v>73</v>
      </c>
      <c r="P743" t="s">
        <v>66</v>
      </c>
      <c r="Q743" t="s">
        <v>979</v>
      </c>
      <c r="R743" t="s">
        <v>73</v>
      </c>
      <c r="S743" t="s">
        <v>979</v>
      </c>
      <c r="T743" t="s">
        <v>4067</v>
      </c>
      <c r="U743" t="s">
        <v>4068</v>
      </c>
      <c r="V743" t="s">
        <v>982</v>
      </c>
      <c r="W743" t="s">
        <v>66</v>
      </c>
      <c r="X743" t="s">
        <v>78</v>
      </c>
      <c r="Y743" t="s">
        <v>4069</v>
      </c>
      <c r="Z743" t="s">
        <v>182</v>
      </c>
      <c r="AA743" t="s">
        <v>984</v>
      </c>
      <c r="AB743" t="s">
        <v>984</v>
      </c>
      <c r="AC743" t="s">
        <v>82</v>
      </c>
      <c r="AD743" t="s">
        <v>83</v>
      </c>
      <c r="AE743" t="s">
        <v>66</v>
      </c>
      <c r="AF743" t="s">
        <v>876</v>
      </c>
    </row>
    <row r="744" spans="1:32">
      <c r="A744" t="s">
        <v>4070</v>
      </c>
      <c r="B744" t="s">
        <v>986</v>
      </c>
      <c r="C744" t="s">
        <v>4071</v>
      </c>
      <c r="D744" t="s">
        <v>66</v>
      </c>
      <c r="E744" t="s">
        <v>67</v>
      </c>
      <c r="F744" t="s">
        <v>988</v>
      </c>
      <c r="G744" t="s">
        <v>989</v>
      </c>
      <c r="H744" t="s">
        <v>66</v>
      </c>
      <c r="I744" t="s">
        <v>66</v>
      </c>
      <c r="J744" t="s">
        <v>67</v>
      </c>
      <c r="K744" t="s">
        <v>71</v>
      </c>
      <c r="L744" t="s">
        <v>72</v>
      </c>
      <c r="M744" t="s">
        <v>73</v>
      </c>
      <c r="N744" t="s">
        <v>66</v>
      </c>
      <c r="O744" t="s">
        <v>73</v>
      </c>
      <c r="P744" t="s">
        <v>66</v>
      </c>
      <c r="Q744" t="s">
        <v>979</v>
      </c>
      <c r="R744" t="s">
        <v>73</v>
      </c>
      <c r="S744" t="s">
        <v>979</v>
      </c>
      <c r="T744" t="s">
        <v>4072</v>
      </c>
      <c r="U744" t="s">
        <v>4073</v>
      </c>
      <c r="V744" t="s">
        <v>982</v>
      </c>
      <c r="W744" t="s">
        <v>66</v>
      </c>
      <c r="X744" t="s">
        <v>78</v>
      </c>
      <c r="Y744" t="s">
        <v>4074</v>
      </c>
      <c r="Z744" t="s">
        <v>182</v>
      </c>
      <c r="AA744" t="s">
        <v>984</v>
      </c>
      <c r="AB744" t="s">
        <v>984</v>
      </c>
      <c r="AC744" t="s">
        <v>82</v>
      </c>
      <c r="AD744" t="s">
        <v>83</v>
      </c>
      <c r="AE744" t="s">
        <v>66</v>
      </c>
      <c r="AF744" t="s">
        <v>876</v>
      </c>
    </row>
    <row r="745" spans="1:32">
      <c r="A745" t="s">
        <v>4075</v>
      </c>
      <c r="B745" t="s">
        <v>334</v>
      </c>
      <c r="C745" t="s">
        <v>4076</v>
      </c>
      <c r="D745" t="s">
        <v>4076</v>
      </c>
      <c r="E745" t="s">
        <v>109</v>
      </c>
      <c r="F745" t="s">
        <v>68</v>
      </c>
      <c r="G745" t="s">
        <v>69</v>
      </c>
      <c r="H745" t="s">
        <v>66</v>
      </c>
      <c r="I745" t="s">
        <v>66</v>
      </c>
      <c r="J745" t="s">
        <v>67</v>
      </c>
      <c r="K745" t="s">
        <v>71</v>
      </c>
      <c r="L745" t="s">
        <v>72</v>
      </c>
      <c r="M745" t="s">
        <v>73</v>
      </c>
      <c r="N745" t="s">
        <v>66</v>
      </c>
      <c r="O745" t="s">
        <v>73</v>
      </c>
      <c r="P745" t="s">
        <v>66</v>
      </c>
      <c r="Q745" t="s">
        <v>979</v>
      </c>
      <c r="R745" t="s">
        <v>73</v>
      </c>
      <c r="S745" t="s">
        <v>979</v>
      </c>
      <c r="T745" t="s">
        <v>4077</v>
      </c>
      <c r="U745" t="s">
        <v>4078</v>
      </c>
      <c r="V745" t="s">
        <v>982</v>
      </c>
      <c r="W745" t="s">
        <v>66</v>
      </c>
      <c r="X745" t="s">
        <v>78</v>
      </c>
      <c r="Y745" t="s">
        <v>4079</v>
      </c>
      <c r="Z745" t="s">
        <v>182</v>
      </c>
      <c r="AA745" t="s">
        <v>984</v>
      </c>
      <c r="AB745" t="s">
        <v>984</v>
      </c>
      <c r="AC745" t="s">
        <v>82</v>
      </c>
      <c r="AD745" t="s">
        <v>83</v>
      </c>
      <c r="AE745" t="s">
        <v>66</v>
      </c>
      <c r="AF745" t="s">
        <v>876</v>
      </c>
    </row>
    <row r="746" spans="1:32">
      <c r="A746" t="s">
        <v>4080</v>
      </c>
      <c r="B746" t="s">
        <v>4081</v>
      </c>
      <c r="C746" t="s">
        <v>4082</v>
      </c>
      <c r="D746" t="s">
        <v>66</v>
      </c>
      <c r="E746" t="s">
        <v>67</v>
      </c>
      <c r="F746" t="s">
        <v>68</v>
      </c>
      <c r="G746" t="s">
        <v>69</v>
      </c>
      <c r="H746" t="s">
        <v>66</v>
      </c>
      <c r="I746" t="s">
        <v>66</v>
      </c>
      <c r="J746" t="s">
        <v>67</v>
      </c>
      <c r="K746" t="s">
        <v>71</v>
      </c>
      <c r="L746" t="s">
        <v>72</v>
      </c>
      <c r="M746" t="s">
        <v>73</v>
      </c>
      <c r="N746" t="s">
        <v>66</v>
      </c>
      <c r="O746" t="s">
        <v>73</v>
      </c>
      <c r="P746" t="s">
        <v>66</v>
      </c>
      <c r="Q746" t="s">
        <v>979</v>
      </c>
      <c r="R746" t="s">
        <v>73</v>
      </c>
      <c r="S746" t="s">
        <v>979</v>
      </c>
      <c r="T746" t="s">
        <v>4083</v>
      </c>
      <c r="U746" t="s">
        <v>4084</v>
      </c>
      <c r="V746" t="s">
        <v>982</v>
      </c>
      <c r="W746" t="s">
        <v>66</v>
      </c>
      <c r="X746" t="s">
        <v>78</v>
      </c>
      <c r="Y746" t="s">
        <v>4085</v>
      </c>
      <c r="Z746" t="s">
        <v>182</v>
      </c>
      <c r="AA746" t="s">
        <v>984</v>
      </c>
      <c r="AB746" t="s">
        <v>984</v>
      </c>
      <c r="AC746" t="s">
        <v>82</v>
      </c>
      <c r="AD746" t="s">
        <v>83</v>
      </c>
      <c r="AE746" t="s">
        <v>66</v>
      </c>
      <c r="AF746" t="s">
        <v>876</v>
      </c>
    </row>
    <row r="747" spans="1:32">
      <c r="A747" t="s">
        <v>4086</v>
      </c>
      <c r="B747" t="s">
        <v>1995</v>
      </c>
      <c r="C747" t="s">
        <v>4087</v>
      </c>
      <c r="D747" t="s">
        <v>66</v>
      </c>
      <c r="E747" t="s">
        <v>67</v>
      </c>
      <c r="F747" t="s">
        <v>110</v>
      </c>
      <c r="G747" t="s">
        <v>111</v>
      </c>
      <c r="H747" t="s">
        <v>66</v>
      </c>
      <c r="I747" t="s">
        <v>66</v>
      </c>
      <c r="J747" t="s">
        <v>67</v>
      </c>
      <c r="K747" t="s">
        <v>71</v>
      </c>
      <c r="L747" t="s">
        <v>72</v>
      </c>
      <c r="M747" t="s">
        <v>73</v>
      </c>
      <c r="N747" t="s">
        <v>66</v>
      </c>
      <c r="O747" t="s">
        <v>73</v>
      </c>
      <c r="P747" t="s">
        <v>66</v>
      </c>
      <c r="Q747" t="s">
        <v>979</v>
      </c>
      <c r="R747" t="s">
        <v>73</v>
      </c>
      <c r="S747" t="s">
        <v>979</v>
      </c>
      <c r="T747" t="s">
        <v>4088</v>
      </c>
      <c r="U747" t="s">
        <v>4089</v>
      </c>
      <c r="V747" t="s">
        <v>982</v>
      </c>
      <c r="W747" t="s">
        <v>66</v>
      </c>
      <c r="X747" t="s">
        <v>78</v>
      </c>
      <c r="Y747" t="s">
        <v>4090</v>
      </c>
      <c r="Z747" t="s">
        <v>182</v>
      </c>
      <c r="AA747" t="s">
        <v>984</v>
      </c>
      <c r="AB747" t="s">
        <v>984</v>
      </c>
      <c r="AC747" t="s">
        <v>82</v>
      </c>
      <c r="AD747" t="s">
        <v>83</v>
      </c>
      <c r="AE747" t="s">
        <v>66</v>
      </c>
      <c r="AF747" t="s">
        <v>876</v>
      </c>
    </row>
    <row r="748" spans="1:32">
      <c r="A748" t="s">
        <v>4091</v>
      </c>
      <c r="B748" t="s">
        <v>1004</v>
      </c>
      <c r="C748" t="s">
        <v>4092</v>
      </c>
      <c r="D748" t="s">
        <v>66</v>
      </c>
      <c r="E748" t="s">
        <v>67</v>
      </c>
      <c r="F748" t="s">
        <v>68</v>
      </c>
      <c r="G748" t="s">
        <v>69</v>
      </c>
      <c r="H748" t="s">
        <v>66</v>
      </c>
      <c r="I748" t="s">
        <v>66</v>
      </c>
      <c r="J748" t="s">
        <v>67</v>
      </c>
      <c r="K748" t="s">
        <v>71</v>
      </c>
      <c r="L748" t="s">
        <v>72</v>
      </c>
      <c r="M748" t="s">
        <v>73</v>
      </c>
      <c r="N748" t="s">
        <v>66</v>
      </c>
      <c r="O748" t="s">
        <v>73</v>
      </c>
      <c r="P748" t="s">
        <v>66</v>
      </c>
      <c r="Q748" t="s">
        <v>979</v>
      </c>
      <c r="R748" t="s">
        <v>73</v>
      </c>
      <c r="S748" t="s">
        <v>979</v>
      </c>
      <c r="T748" t="s">
        <v>4093</v>
      </c>
      <c r="U748" t="s">
        <v>4094</v>
      </c>
      <c r="V748" t="s">
        <v>982</v>
      </c>
      <c r="W748" t="s">
        <v>66</v>
      </c>
      <c r="X748" t="s">
        <v>78</v>
      </c>
      <c r="Y748" t="s">
        <v>4095</v>
      </c>
      <c r="Z748" t="s">
        <v>182</v>
      </c>
      <c r="AA748" t="s">
        <v>984</v>
      </c>
      <c r="AB748" t="s">
        <v>984</v>
      </c>
      <c r="AC748" t="s">
        <v>82</v>
      </c>
      <c r="AD748" t="s">
        <v>83</v>
      </c>
      <c r="AE748" t="s">
        <v>66</v>
      </c>
      <c r="AF748" t="s">
        <v>876</v>
      </c>
    </row>
    <row r="749" spans="1:32">
      <c r="A749" t="s">
        <v>4096</v>
      </c>
      <c r="B749" t="s">
        <v>986</v>
      </c>
      <c r="C749" t="s">
        <v>4097</v>
      </c>
      <c r="D749" t="s">
        <v>66</v>
      </c>
      <c r="E749" t="s">
        <v>67</v>
      </c>
      <c r="F749" t="s">
        <v>988</v>
      </c>
      <c r="G749" t="s">
        <v>989</v>
      </c>
      <c r="H749" t="s">
        <v>66</v>
      </c>
      <c r="I749" t="s">
        <v>66</v>
      </c>
      <c r="J749" t="s">
        <v>67</v>
      </c>
      <c r="K749" t="s">
        <v>71</v>
      </c>
      <c r="L749" t="s">
        <v>72</v>
      </c>
      <c r="M749" t="s">
        <v>73</v>
      </c>
      <c r="N749" t="s">
        <v>66</v>
      </c>
      <c r="O749" t="s">
        <v>73</v>
      </c>
      <c r="P749" t="s">
        <v>66</v>
      </c>
      <c r="Q749" t="s">
        <v>979</v>
      </c>
      <c r="R749" t="s">
        <v>73</v>
      </c>
      <c r="S749" t="s">
        <v>979</v>
      </c>
      <c r="T749" t="s">
        <v>4098</v>
      </c>
      <c r="U749" t="s">
        <v>4099</v>
      </c>
      <c r="V749" t="s">
        <v>982</v>
      </c>
      <c r="W749" t="s">
        <v>66</v>
      </c>
      <c r="X749" t="s">
        <v>78</v>
      </c>
      <c r="Y749" t="s">
        <v>4100</v>
      </c>
      <c r="Z749" t="s">
        <v>182</v>
      </c>
      <c r="AA749" t="s">
        <v>984</v>
      </c>
      <c r="AB749" t="s">
        <v>984</v>
      </c>
      <c r="AC749" t="s">
        <v>82</v>
      </c>
      <c r="AD749" t="s">
        <v>83</v>
      </c>
      <c r="AE749" t="s">
        <v>66</v>
      </c>
      <c r="AF749" t="s">
        <v>876</v>
      </c>
    </row>
    <row r="750" spans="1:32">
      <c r="A750" t="s">
        <v>4101</v>
      </c>
      <c r="B750" t="s">
        <v>1995</v>
      </c>
      <c r="C750" t="s">
        <v>4102</v>
      </c>
      <c r="D750" t="s">
        <v>66</v>
      </c>
      <c r="E750" t="s">
        <v>67</v>
      </c>
      <c r="F750" t="s">
        <v>110</v>
      </c>
      <c r="G750" t="s">
        <v>111</v>
      </c>
      <c r="H750" t="s">
        <v>66</v>
      </c>
      <c r="I750" t="s">
        <v>66</v>
      </c>
      <c r="J750" t="s">
        <v>67</v>
      </c>
      <c r="K750" t="s">
        <v>71</v>
      </c>
      <c r="L750" t="s">
        <v>72</v>
      </c>
      <c r="M750" t="s">
        <v>73</v>
      </c>
      <c r="N750" t="s">
        <v>66</v>
      </c>
      <c r="O750" t="s">
        <v>73</v>
      </c>
      <c r="P750" t="s">
        <v>66</v>
      </c>
      <c r="Q750" t="s">
        <v>979</v>
      </c>
      <c r="R750" t="s">
        <v>73</v>
      </c>
      <c r="S750" t="s">
        <v>979</v>
      </c>
      <c r="T750" t="s">
        <v>4103</v>
      </c>
      <c r="U750" t="s">
        <v>4104</v>
      </c>
      <c r="V750" t="s">
        <v>982</v>
      </c>
      <c r="W750" t="s">
        <v>66</v>
      </c>
      <c r="X750" t="s">
        <v>78</v>
      </c>
      <c r="Y750" t="s">
        <v>4105</v>
      </c>
      <c r="Z750" t="s">
        <v>182</v>
      </c>
      <c r="AA750" t="s">
        <v>984</v>
      </c>
      <c r="AB750" t="s">
        <v>984</v>
      </c>
      <c r="AC750" t="s">
        <v>82</v>
      </c>
      <c r="AD750" t="s">
        <v>83</v>
      </c>
      <c r="AE750" t="s">
        <v>66</v>
      </c>
      <c r="AF750" t="s">
        <v>876</v>
      </c>
    </row>
    <row r="751" spans="1:32">
      <c r="A751" t="s">
        <v>4106</v>
      </c>
      <c r="B751" t="s">
        <v>841</v>
      </c>
      <c r="C751" t="s">
        <v>4107</v>
      </c>
      <c r="D751" t="s">
        <v>4107</v>
      </c>
      <c r="E751" t="s">
        <v>109</v>
      </c>
      <c r="F751" t="s">
        <v>110</v>
      </c>
      <c r="G751" t="s">
        <v>111</v>
      </c>
      <c r="H751" t="s">
        <v>66</v>
      </c>
      <c r="I751" t="s">
        <v>66</v>
      </c>
      <c r="J751" t="s">
        <v>67</v>
      </c>
      <c r="K751" t="s">
        <v>71</v>
      </c>
      <c r="L751" t="s">
        <v>72</v>
      </c>
      <c r="M751" t="s">
        <v>73</v>
      </c>
      <c r="N751" t="s">
        <v>66</v>
      </c>
      <c r="O751" t="s">
        <v>73</v>
      </c>
      <c r="P751" t="s">
        <v>66</v>
      </c>
      <c r="Q751" t="s">
        <v>979</v>
      </c>
      <c r="R751" t="s">
        <v>73</v>
      </c>
      <c r="S751" t="s">
        <v>979</v>
      </c>
      <c r="T751" t="s">
        <v>4108</v>
      </c>
      <c r="U751" t="s">
        <v>4109</v>
      </c>
      <c r="V751" t="s">
        <v>982</v>
      </c>
      <c r="W751" t="s">
        <v>66</v>
      </c>
      <c r="X751" t="s">
        <v>78</v>
      </c>
      <c r="Y751" t="s">
        <v>4110</v>
      </c>
      <c r="Z751" t="s">
        <v>182</v>
      </c>
      <c r="AA751" t="s">
        <v>984</v>
      </c>
      <c r="AB751" t="s">
        <v>984</v>
      </c>
      <c r="AC751" t="s">
        <v>82</v>
      </c>
      <c r="AD751" t="s">
        <v>83</v>
      </c>
      <c r="AE751" t="s">
        <v>66</v>
      </c>
      <c r="AF751" t="s">
        <v>876</v>
      </c>
    </row>
    <row r="752" spans="1:32">
      <c r="A752" t="s">
        <v>4111</v>
      </c>
      <c r="B752" t="s">
        <v>308</v>
      </c>
      <c r="C752" t="s">
        <v>4112</v>
      </c>
      <c r="D752" t="s">
        <v>4112</v>
      </c>
      <c r="E752" t="s">
        <v>109</v>
      </c>
      <c r="F752" t="s">
        <v>68</v>
      </c>
      <c r="G752" t="s">
        <v>69</v>
      </c>
      <c r="H752" t="s">
        <v>66</v>
      </c>
      <c r="I752" t="s">
        <v>66</v>
      </c>
      <c r="J752" t="s">
        <v>67</v>
      </c>
      <c r="K752" t="s">
        <v>71</v>
      </c>
      <c r="L752" t="s">
        <v>72</v>
      </c>
      <c r="M752" t="s">
        <v>73</v>
      </c>
      <c r="N752" t="s">
        <v>66</v>
      </c>
      <c r="O752" t="s">
        <v>73</v>
      </c>
      <c r="P752" t="s">
        <v>66</v>
      </c>
      <c r="Q752" t="s">
        <v>979</v>
      </c>
      <c r="R752" t="s">
        <v>73</v>
      </c>
      <c r="S752" t="s">
        <v>979</v>
      </c>
      <c r="T752" t="s">
        <v>4113</v>
      </c>
      <c r="U752" t="s">
        <v>4114</v>
      </c>
      <c r="V752" t="s">
        <v>982</v>
      </c>
      <c r="W752" t="s">
        <v>66</v>
      </c>
      <c r="X752" t="s">
        <v>78</v>
      </c>
      <c r="Y752" t="s">
        <v>4115</v>
      </c>
      <c r="Z752" t="s">
        <v>182</v>
      </c>
      <c r="AA752" t="s">
        <v>984</v>
      </c>
      <c r="AB752" t="s">
        <v>984</v>
      </c>
      <c r="AC752" t="s">
        <v>82</v>
      </c>
      <c r="AD752" t="s">
        <v>83</v>
      </c>
      <c r="AE752" t="s">
        <v>66</v>
      </c>
      <c r="AF752" t="s">
        <v>876</v>
      </c>
    </row>
    <row r="753" spans="1:32">
      <c r="A753" t="s">
        <v>4116</v>
      </c>
      <c r="B753" t="s">
        <v>1319</v>
      </c>
      <c r="C753" t="s">
        <v>4117</v>
      </c>
      <c r="D753" t="s">
        <v>66</v>
      </c>
      <c r="E753" t="s">
        <v>67</v>
      </c>
      <c r="F753" t="s">
        <v>1321</v>
      </c>
      <c r="G753" t="s">
        <v>1322</v>
      </c>
      <c r="H753" t="s">
        <v>66</v>
      </c>
      <c r="I753" t="s">
        <v>66</v>
      </c>
      <c r="J753" t="s">
        <v>67</v>
      </c>
      <c r="K753" t="s">
        <v>71</v>
      </c>
      <c r="L753" t="s">
        <v>72</v>
      </c>
      <c r="M753" t="s">
        <v>73</v>
      </c>
      <c r="N753" t="s">
        <v>66</v>
      </c>
      <c r="O753" t="s">
        <v>73</v>
      </c>
      <c r="P753" t="s">
        <v>66</v>
      </c>
      <c r="Q753" t="s">
        <v>979</v>
      </c>
      <c r="R753" t="s">
        <v>73</v>
      </c>
      <c r="S753" t="s">
        <v>979</v>
      </c>
      <c r="T753" t="s">
        <v>4118</v>
      </c>
      <c r="U753" t="s">
        <v>4119</v>
      </c>
      <c r="V753" t="s">
        <v>982</v>
      </c>
      <c r="W753" t="s">
        <v>66</v>
      </c>
      <c r="X753" t="s">
        <v>78</v>
      </c>
      <c r="Y753" t="s">
        <v>4120</v>
      </c>
      <c r="Z753" t="s">
        <v>182</v>
      </c>
      <c r="AA753" t="s">
        <v>984</v>
      </c>
      <c r="AB753" t="s">
        <v>984</v>
      </c>
      <c r="AC753" t="s">
        <v>82</v>
      </c>
      <c r="AD753" t="s">
        <v>83</v>
      </c>
      <c r="AE753" t="s">
        <v>66</v>
      </c>
      <c r="AF753" t="s">
        <v>876</v>
      </c>
    </row>
    <row r="754" spans="1:32">
      <c r="A754" t="s">
        <v>4121</v>
      </c>
      <c r="B754" t="s">
        <v>1064</v>
      </c>
      <c r="C754" t="s">
        <v>4122</v>
      </c>
      <c r="D754" t="s">
        <v>66</v>
      </c>
      <c r="E754" t="s">
        <v>67</v>
      </c>
      <c r="F754" t="s">
        <v>110</v>
      </c>
      <c r="G754" t="s">
        <v>111</v>
      </c>
      <c r="H754" t="s">
        <v>66</v>
      </c>
      <c r="I754" t="s">
        <v>66</v>
      </c>
      <c r="J754" t="s">
        <v>67</v>
      </c>
      <c r="K754" t="s">
        <v>71</v>
      </c>
      <c r="L754" t="s">
        <v>72</v>
      </c>
      <c r="M754" t="s">
        <v>73</v>
      </c>
      <c r="N754" t="s">
        <v>66</v>
      </c>
      <c r="O754" t="s">
        <v>73</v>
      </c>
      <c r="P754" t="s">
        <v>66</v>
      </c>
      <c r="Q754" t="s">
        <v>979</v>
      </c>
      <c r="R754" t="s">
        <v>73</v>
      </c>
      <c r="S754" t="s">
        <v>979</v>
      </c>
      <c r="T754" t="s">
        <v>4123</v>
      </c>
      <c r="U754" t="s">
        <v>4124</v>
      </c>
      <c r="V754" t="s">
        <v>982</v>
      </c>
      <c r="W754" t="s">
        <v>66</v>
      </c>
      <c r="X754" t="s">
        <v>78</v>
      </c>
      <c r="Y754" t="s">
        <v>4125</v>
      </c>
      <c r="Z754" t="s">
        <v>182</v>
      </c>
      <c r="AA754" t="s">
        <v>984</v>
      </c>
      <c r="AB754" t="s">
        <v>984</v>
      </c>
      <c r="AC754" t="s">
        <v>82</v>
      </c>
      <c r="AD754" t="s">
        <v>83</v>
      </c>
      <c r="AE754" t="s">
        <v>66</v>
      </c>
      <c r="AF754" t="s">
        <v>876</v>
      </c>
    </row>
    <row r="755" spans="1:32">
      <c r="A755" t="s">
        <v>4126</v>
      </c>
      <c r="B755" t="s">
        <v>4127</v>
      </c>
      <c r="C755" t="s">
        <v>4128</v>
      </c>
      <c r="D755" t="s">
        <v>4128</v>
      </c>
      <c r="E755" t="s">
        <v>109</v>
      </c>
      <c r="F755" t="s">
        <v>110</v>
      </c>
      <c r="G755" t="s">
        <v>111</v>
      </c>
      <c r="H755" t="s">
        <v>66</v>
      </c>
      <c r="I755" t="s">
        <v>66</v>
      </c>
      <c r="J755" t="s">
        <v>67</v>
      </c>
      <c r="K755" t="s">
        <v>71</v>
      </c>
      <c r="L755" t="s">
        <v>72</v>
      </c>
      <c r="M755" t="s">
        <v>73</v>
      </c>
      <c r="N755" t="s">
        <v>66</v>
      </c>
      <c r="O755" t="s">
        <v>73</v>
      </c>
      <c r="P755" t="s">
        <v>66</v>
      </c>
      <c r="Q755" t="s">
        <v>979</v>
      </c>
      <c r="R755" t="s">
        <v>73</v>
      </c>
      <c r="S755" t="s">
        <v>979</v>
      </c>
      <c r="T755" t="s">
        <v>4129</v>
      </c>
      <c r="U755" t="s">
        <v>4130</v>
      </c>
      <c r="V755" t="s">
        <v>982</v>
      </c>
      <c r="W755" t="s">
        <v>66</v>
      </c>
      <c r="X755" t="s">
        <v>78</v>
      </c>
      <c r="Y755" t="s">
        <v>4131</v>
      </c>
      <c r="Z755" t="s">
        <v>182</v>
      </c>
      <c r="AA755" t="s">
        <v>984</v>
      </c>
      <c r="AB755" t="s">
        <v>984</v>
      </c>
      <c r="AC755" t="s">
        <v>82</v>
      </c>
      <c r="AD755" t="s">
        <v>83</v>
      </c>
      <c r="AE755" t="s">
        <v>66</v>
      </c>
      <c r="AF755" t="s">
        <v>876</v>
      </c>
    </row>
    <row r="756" spans="1:32">
      <c r="A756" t="s">
        <v>4132</v>
      </c>
      <c r="B756" t="s">
        <v>162</v>
      </c>
      <c r="C756" t="s">
        <v>4133</v>
      </c>
      <c r="D756" t="s">
        <v>66</v>
      </c>
      <c r="E756" t="s">
        <v>67</v>
      </c>
      <c r="F756" t="s">
        <v>164</v>
      </c>
      <c r="G756" t="s">
        <v>165</v>
      </c>
      <c r="H756" t="s">
        <v>66</v>
      </c>
      <c r="I756" t="s">
        <v>66</v>
      </c>
      <c r="J756" t="s">
        <v>67</v>
      </c>
      <c r="K756" t="s">
        <v>71</v>
      </c>
      <c r="L756" t="s">
        <v>72</v>
      </c>
      <c r="M756" t="s">
        <v>73</v>
      </c>
      <c r="N756" t="s">
        <v>66</v>
      </c>
      <c r="O756" t="s">
        <v>73</v>
      </c>
      <c r="P756" t="s">
        <v>66</v>
      </c>
      <c r="Q756" t="s">
        <v>979</v>
      </c>
      <c r="R756" t="s">
        <v>73</v>
      </c>
      <c r="S756" t="s">
        <v>979</v>
      </c>
      <c r="T756" t="s">
        <v>4134</v>
      </c>
      <c r="U756" t="s">
        <v>4135</v>
      </c>
      <c r="V756" t="s">
        <v>982</v>
      </c>
      <c r="W756" t="s">
        <v>66</v>
      </c>
      <c r="X756" t="s">
        <v>78</v>
      </c>
      <c r="Y756" t="s">
        <v>4136</v>
      </c>
      <c r="Z756" t="s">
        <v>182</v>
      </c>
      <c r="AA756" t="s">
        <v>984</v>
      </c>
      <c r="AB756" t="s">
        <v>984</v>
      </c>
      <c r="AC756" t="s">
        <v>82</v>
      </c>
      <c r="AD756" t="s">
        <v>83</v>
      </c>
      <c r="AE756" t="s">
        <v>66</v>
      </c>
      <c r="AF756" t="s">
        <v>876</v>
      </c>
    </row>
    <row r="757" spans="1:32">
      <c r="A757" t="s">
        <v>4137</v>
      </c>
      <c r="B757" t="s">
        <v>162</v>
      </c>
      <c r="C757" t="s">
        <v>4138</v>
      </c>
      <c r="D757" t="s">
        <v>66</v>
      </c>
      <c r="E757" t="s">
        <v>67</v>
      </c>
      <c r="F757" t="s">
        <v>164</v>
      </c>
      <c r="G757" t="s">
        <v>165</v>
      </c>
      <c r="H757" t="s">
        <v>66</v>
      </c>
      <c r="I757" t="s">
        <v>66</v>
      </c>
      <c r="J757" t="s">
        <v>67</v>
      </c>
      <c r="K757" t="s">
        <v>71</v>
      </c>
      <c r="L757" t="s">
        <v>72</v>
      </c>
      <c r="M757" t="s">
        <v>73</v>
      </c>
      <c r="N757" t="s">
        <v>66</v>
      </c>
      <c r="O757" t="s">
        <v>73</v>
      </c>
      <c r="P757" t="s">
        <v>66</v>
      </c>
      <c r="Q757" t="s">
        <v>979</v>
      </c>
      <c r="R757" t="s">
        <v>73</v>
      </c>
      <c r="S757" t="s">
        <v>979</v>
      </c>
      <c r="T757" t="s">
        <v>4139</v>
      </c>
      <c r="U757" t="s">
        <v>4140</v>
      </c>
      <c r="V757" t="s">
        <v>982</v>
      </c>
      <c r="W757" t="s">
        <v>66</v>
      </c>
      <c r="X757" t="s">
        <v>78</v>
      </c>
      <c r="Y757" t="s">
        <v>4141</v>
      </c>
      <c r="Z757" t="s">
        <v>182</v>
      </c>
      <c r="AA757" t="s">
        <v>984</v>
      </c>
      <c r="AB757" t="s">
        <v>984</v>
      </c>
      <c r="AC757" t="s">
        <v>82</v>
      </c>
      <c r="AD757" t="s">
        <v>83</v>
      </c>
      <c r="AE757" t="s">
        <v>66</v>
      </c>
      <c r="AF757" t="s">
        <v>876</v>
      </c>
    </row>
    <row r="758" spans="1:32">
      <c r="A758" t="s">
        <v>4142</v>
      </c>
      <c r="B758" t="s">
        <v>841</v>
      </c>
      <c r="C758" t="s">
        <v>4143</v>
      </c>
      <c r="D758" t="s">
        <v>4143</v>
      </c>
      <c r="E758" t="s">
        <v>109</v>
      </c>
      <c r="F758" t="s">
        <v>110</v>
      </c>
      <c r="G758" t="s">
        <v>111</v>
      </c>
      <c r="H758" t="s">
        <v>66</v>
      </c>
      <c r="I758" t="s">
        <v>66</v>
      </c>
      <c r="J758" t="s">
        <v>67</v>
      </c>
      <c r="K758" t="s">
        <v>71</v>
      </c>
      <c r="L758" t="s">
        <v>72</v>
      </c>
      <c r="M758" t="s">
        <v>73</v>
      </c>
      <c r="N758" t="s">
        <v>66</v>
      </c>
      <c r="O758" t="s">
        <v>73</v>
      </c>
      <c r="P758" t="s">
        <v>66</v>
      </c>
      <c r="Q758" t="s">
        <v>979</v>
      </c>
      <c r="R758" t="s">
        <v>73</v>
      </c>
      <c r="S758" t="s">
        <v>979</v>
      </c>
      <c r="T758" t="s">
        <v>4144</v>
      </c>
      <c r="U758" t="s">
        <v>4145</v>
      </c>
      <c r="V758" t="s">
        <v>982</v>
      </c>
      <c r="W758" t="s">
        <v>66</v>
      </c>
      <c r="X758" t="s">
        <v>78</v>
      </c>
      <c r="Y758" t="s">
        <v>4146</v>
      </c>
      <c r="Z758" t="s">
        <v>182</v>
      </c>
      <c r="AA758" t="s">
        <v>984</v>
      </c>
      <c r="AB758" t="s">
        <v>984</v>
      </c>
      <c r="AC758" t="s">
        <v>82</v>
      </c>
      <c r="AD758" t="s">
        <v>83</v>
      </c>
      <c r="AE758" t="s">
        <v>66</v>
      </c>
      <c r="AF758" t="s">
        <v>876</v>
      </c>
    </row>
    <row r="759" spans="1:32">
      <c r="A759" t="s">
        <v>4147</v>
      </c>
      <c r="B759" t="s">
        <v>1004</v>
      </c>
      <c r="C759" t="s">
        <v>4148</v>
      </c>
      <c r="D759" t="s">
        <v>66</v>
      </c>
      <c r="E759" t="s">
        <v>67</v>
      </c>
      <c r="F759" t="s">
        <v>68</v>
      </c>
      <c r="G759" t="s">
        <v>69</v>
      </c>
      <c r="H759" t="s">
        <v>66</v>
      </c>
      <c r="I759" t="s">
        <v>66</v>
      </c>
      <c r="J759" t="s">
        <v>67</v>
      </c>
      <c r="K759" t="s">
        <v>71</v>
      </c>
      <c r="L759" t="s">
        <v>72</v>
      </c>
      <c r="M759" t="s">
        <v>73</v>
      </c>
      <c r="N759" t="s">
        <v>66</v>
      </c>
      <c r="O759" t="s">
        <v>73</v>
      </c>
      <c r="P759" t="s">
        <v>66</v>
      </c>
      <c r="Q759" t="s">
        <v>979</v>
      </c>
      <c r="R759" t="s">
        <v>73</v>
      </c>
      <c r="S759" t="s">
        <v>979</v>
      </c>
      <c r="T759" t="s">
        <v>4149</v>
      </c>
      <c r="U759" t="s">
        <v>4150</v>
      </c>
      <c r="V759" t="s">
        <v>982</v>
      </c>
      <c r="W759" t="s">
        <v>66</v>
      </c>
      <c r="X759" t="s">
        <v>78</v>
      </c>
      <c r="Y759" t="s">
        <v>4151</v>
      </c>
      <c r="Z759" t="s">
        <v>182</v>
      </c>
      <c r="AA759" t="s">
        <v>984</v>
      </c>
      <c r="AB759" t="s">
        <v>984</v>
      </c>
      <c r="AC759" t="s">
        <v>82</v>
      </c>
      <c r="AD759" t="s">
        <v>83</v>
      </c>
      <c r="AE759" t="s">
        <v>66</v>
      </c>
      <c r="AF759" t="s">
        <v>876</v>
      </c>
    </row>
    <row r="760" spans="1:32">
      <c r="A760" t="s">
        <v>4152</v>
      </c>
      <c r="B760" t="s">
        <v>162</v>
      </c>
      <c r="C760" t="s">
        <v>4153</v>
      </c>
      <c r="D760" t="s">
        <v>66</v>
      </c>
      <c r="E760" t="s">
        <v>67</v>
      </c>
      <c r="F760" t="s">
        <v>164</v>
      </c>
      <c r="G760" t="s">
        <v>165</v>
      </c>
      <c r="H760" t="s">
        <v>66</v>
      </c>
      <c r="I760" t="s">
        <v>66</v>
      </c>
      <c r="J760" t="s">
        <v>67</v>
      </c>
      <c r="K760" t="s">
        <v>71</v>
      </c>
      <c r="L760" t="s">
        <v>72</v>
      </c>
      <c r="M760" t="s">
        <v>73</v>
      </c>
      <c r="N760" t="s">
        <v>66</v>
      </c>
      <c r="O760" t="s">
        <v>73</v>
      </c>
      <c r="P760" t="s">
        <v>66</v>
      </c>
      <c r="Q760" t="s">
        <v>979</v>
      </c>
      <c r="R760" t="s">
        <v>73</v>
      </c>
      <c r="S760" t="s">
        <v>979</v>
      </c>
      <c r="T760" t="s">
        <v>4154</v>
      </c>
      <c r="U760" t="s">
        <v>4155</v>
      </c>
      <c r="V760" t="s">
        <v>982</v>
      </c>
      <c r="W760" t="s">
        <v>66</v>
      </c>
      <c r="X760" t="s">
        <v>78</v>
      </c>
      <c r="Y760" t="s">
        <v>4156</v>
      </c>
      <c r="Z760" t="s">
        <v>182</v>
      </c>
      <c r="AA760" t="s">
        <v>984</v>
      </c>
      <c r="AB760" t="s">
        <v>984</v>
      </c>
      <c r="AC760" t="s">
        <v>82</v>
      </c>
      <c r="AD760" t="s">
        <v>83</v>
      </c>
      <c r="AE760" t="s">
        <v>66</v>
      </c>
      <c r="AF760" t="s">
        <v>876</v>
      </c>
    </row>
    <row r="761" spans="1:32">
      <c r="A761" t="s">
        <v>4157</v>
      </c>
      <c r="B761" t="s">
        <v>1004</v>
      </c>
      <c r="C761" t="s">
        <v>4158</v>
      </c>
      <c r="D761" t="s">
        <v>66</v>
      </c>
      <c r="E761" t="s">
        <v>67</v>
      </c>
      <c r="F761" t="s">
        <v>68</v>
      </c>
      <c r="G761" t="s">
        <v>69</v>
      </c>
      <c r="H761" t="s">
        <v>66</v>
      </c>
      <c r="I761" t="s">
        <v>66</v>
      </c>
      <c r="J761" t="s">
        <v>67</v>
      </c>
      <c r="K761" t="s">
        <v>71</v>
      </c>
      <c r="L761" t="s">
        <v>72</v>
      </c>
      <c r="M761" t="s">
        <v>73</v>
      </c>
      <c r="N761" t="s">
        <v>66</v>
      </c>
      <c r="O761" t="s">
        <v>73</v>
      </c>
      <c r="P761" t="s">
        <v>66</v>
      </c>
      <c r="Q761" t="s">
        <v>979</v>
      </c>
      <c r="R761" t="s">
        <v>73</v>
      </c>
      <c r="S761" t="s">
        <v>979</v>
      </c>
      <c r="T761" t="s">
        <v>4159</v>
      </c>
      <c r="U761" t="s">
        <v>4160</v>
      </c>
      <c r="V761" t="s">
        <v>982</v>
      </c>
      <c r="W761" t="s">
        <v>66</v>
      </c>
      <c r="X761" t="s">
        <v>78</v>
      </c>
      <c r="Y761" t="s">
        <v>4161</v>
      </c>
      <c r="Z761" t="s">
        <v>182</v>
      </c>
      <c r="AA761" t="s">
        <v>984</v>
      </c>
      <c r="AB761" t="s">
        <v>984</v>
      </c>
      <c r="AC761" t="s">
        <v>82</v>
      </c>
      <c r="AD761" t="s">
        <v>83</v>
      </c>
      <c r="AE761" t="s">
        <v>66</v>
      </c>
      <c r="AF761" t="s">
        <v>876</v>
      </c>
    </row>
    <row r="762" spans="1:32">
      <c r="A762" t="s">
        <v>4162</v>
      </c>
      <c r="B762" t="s">
        <v>162</v>
      </c>
      <c r="C762" t="s">
        <v>4163</v>
      </c>
      <c r="D762" t="s">
        <v>66</v>
      </c>
      <c r="E762" t="s">
        <v>67</v>
      </c>
      <c r="F762" t="s">
        <v>164</v>
      </c>
      <c r="G762" t="s">
        <v>165</v>
      </c>
      <c r="H762" t="s">
        <v>66</v>
      </c>
      <c r="I762" t="s">
        <v>66</v>
      </c>
      <c r="J762" t="s">
        <v>67</v>
      </c>
      <c r="K762" t="s">
        <v>71</v>
      </c>
      <c r="L762" t="s">
        <v>72</v>
      </c>
      <c r="M762" t="s">
        <v>73</v>
      </c>
      <c r="N762" t="s">
        <v>66</v>
      </c>
      <c r="O762" t="s">
        <v>73</v>
      </c>
      <c r="P762" t="s">
        <v>66</v>
      </c>
      <c r="Q762" t="s">
        <v>979</v>
      </c>
      <c r="R762" t="s">
        <v>73</v>
      </c>
      <c r="S762" t="s">
        <v>979</v>
      </c>
      <c r="T762" t="s">
        <v>4164</v>
      </c>
      <c r="U762" t="s">
        <v>4165</v>
      </c>
      <c r="V762" t="s">
        <v>982</v>
      </c>
      <c r="W762" t="s">
        <v>66</v>
      </c>
      <c r="X762" t="s">
        <v>78</v>
      </c>
      <c r="Y762" t="s">
        <v>4166</v>
      </c>
      <c r="Z762" t="s">
        <v>182</v>
      </c>
      <c r="AA762" t="s">
        <v>984</v>
      </c>
      <c r="AB762" t="s">
        <v>984</v>
      </c>
      <c r="AC762" t="s">
        <v>82</v>
      </c>
      <c r="AD762" t="s">
        <v>83</v>
      </c>
      <c r="AE762" t="s">
        <v>66</v>
      </c>
      <c r="AF762" t="s">
        <v>876</v>
      </c>
    </row>
    <row r="763" spans="1:32">
      <c r="A763" t="s">
        <v>4167</v>
      </c>
      <c r="B763" t="s">
        <v>308</v>
      </c>
      <c r="C763" t="s">
        <v>4168</v>
      </c>
      <c r="D763" t="s">
        <v>4168</v>
      </c>
      <c r="E763" t="s">
        <v>109</v>
      </c>
      <c r="F763" t="s">
        <v>110</v>
      </c>
      <c r="G763" t="s">
        <v>111</v>
      </c>
      <c r="H763" t="s">
        <v>66</v>
      </c>
      <c r="I763" t="s">
        <v>66</v>
      </c>
      <c r="J763" t="s">
        <v>67</v>
      </c>
      <c r="K763" t="s">
        <v>71</v>
      </c>
      <c r="L763" t="s">
        <v>72</v>
      </c>
      <c r="M763" t="s">
        <v>73</v>
      </c>
      <c r="N763" t="s">
        <v>66</v>
      </c>
      <c r="O763" t="s">
        <v>73</v>
      </c>
      <c r="P763" t="s">
        <v>66</v>
      </c>
      <c r="Q763" t="s">
        <v>979</v>
      </c>
      <c r="R763" t="s">
        <v>73</v>
      </c>
      <c r="S763" t="s">
        <v>979</v>
      </c>
      <c r="T763" t="s">
        <v>4169</v>
      </c>
      <c r="U763" t="s">
        <v>4170</v>
      </c>
      <c r="V763" t="s">
        <v>982</v>
      </c>
      <c r="W763" t="s">
        <v>66</v>
      </c>
      <c r="X763" t="s">
        <v>78</v>
      </c>
      <c r="Y763" t="s">
        <v>4171</v>
      </c>
      <c r="Z763" t="s">
        <v>182</v>
      </c>
      <c r="AA763" t="s">
        <v>984</v>
      </c>
      <c r="AB763" t="s">
        <v>984</v>
      </c>
      <c r="AC763" t="s">
        <v>82</v>
      </c>
      <c r="AD763" t="s">
        <v>83</v>
      </c>
      <c r="AE763" t="s">
        <v>66</v>
      </c>
      <c r="AF763" t="s">
        <v>876</v>
      </c>
    </row>
    <row r="764" spans="1:32">
      <c r="A764" t="s">
        <v>4172</v>
      </c>
      <c r="B764" t="s">
        <v>4173</v>
      </c>
      <c r="C764" t="s">
        <v>4174</v>
      </c>
      <c r="D764" t="s">
        <v>66</v>
      </c>
      <c r="E764" t="s">
        <v>67</v>
      </c>
      <c r="F764" t="s">
        <v>110</v>
      </c>
      <c r="G764" t="s">
        <v>111</v>
      </c>
      <c r="H764" t="s">
        <v>66</v>
      </c>
      <c r="I764" t="s">
        <v>66</v>
      </c>
      <c r="J764" t="s">
        <v>67</v>
      </c>
      <c r="K764" t="s">
        <v>71</v>
      </c>
      <c r="L764" t="s">
        <v>72</v>
      </c>
      <c r="M764" t="s">
        <v>73</v>
      </c>
      <c r="N764" t="s">
        <v>66</v>
      </c>
      <c r="O764" t="s">
        <v>73</v>
      </c>
      <c r="P764" t="s">
        <v>66</v>
      </c>
      <c r="Q764" t="s">
        <v>979</v>
      </c>
      <c r="R764" t="s">
        <v>73</v>
      </c>
      <c r="S764" t="s">
        <v>979</v>
      </c>
      <c r="T764" t="s">
        <v>4175</v>
      </c>
      <c r="U764" t="s">
        <v>4176</v>
      </c>
      <c r="V764" t="s">
        <v>982</v>
      </c>
      <c r="W764" t="s">
        <v>66</v>
      </c>
      <c r="X764" t="s">
        <v>78</v>
      </c>
      <c r="Y764" t="s">
        <v>4177</v>
      </c>
      <c r="Z764" t="s">
        <v>182</v>
      </c>
      <c r="AA764" t="s">
        <v>984</v>
      </c>
      <c r="AB764" t="s">
        <v>984</v>
      </c>
      <c r="AC764" t="s">
        <v>82</v>
      </c>
      <c r="AD764" t="s">
        <v>83</v>
      </c>
      <c r="AE764" t="s">
        <v>66</v>
      </c>
      <c r="AF764" t="s">
        <v>876</v>
      </c>
    </row>
    <row r="765" spans="1:32">
      <c r="A765" t="s">
        <v>4178</v>
      </c>
      <c r="B765" t="s">
        <v>986</v>
      </c>
      <c r="C765" t="s">
        <v>4179</v>
      </c>
      <c r="D765" t="s">
        <v>66</v>
      </c>
      <c r="E765" t="s">
        <v>67</v>
      </c>
      <c r="F765" t="s">
        <v>988</v>
      </c>
      <c r="G765" t="s">
        <v>989</v>
      </c>
      <c r="H765" t="s">
        <v>66</v>
      </c>
      <c r="I765" t="s">
        <v>66</v>
      </c>
      <c r="J765" t="s">
        <v>67</v>
      </c>
      <c r="K765" t="s">
        <v>71</v>
      </c>
      <c r="L765" t="s">
        <v>72</v>
      </c>
      <c r="M765" t="s">
        <v>73</v>
      </c>
      <c r="N765" t="s">
        <v>66</v>
      </c>
      <c r="O765" t="s">
        <v>73</v>
      </c>
      <c r="P765" t="s">
        <v>66</v>
      </c>
      <c r="Q765" t="s">
        <v>979</v>
      </c>
      <c r="R765" t="s">
        <v>73</v>
      </c>
      <c r="S765" t="s">
        <v>979</v>
      </c>
      <c r="T765" t="s">
        <v>4180</v>
      </c>
      <c r="U765" t="s">
        <v>4181</v>
      </c>
      <c r="V765" t="s">
        <v>982</v>
      </c>
      <c r="W765" t="s">
        <v>66</v>
      </c>
      <c r="X765" t="s">
        <v>78</v>
      </c>
      <c r="Y765" t="s">
        <v>4182</v>
      </c>
      <c r="Z765" t="s">
        <v>182</v>
      </c>
      <c r="AA765" t="s">
        <v>984</v>
      </c>
      <c r="AB765" t="s">
        <v>984</v>
      </c>
      <c r="AC765" t="s">
        <v>82</v>
      </c>
      <c r="AD765" t="s">
        <v>83</v>
      </c>
      <c r="AE765" t="s">
        <v>66</v>
      </c>
      <c r="AF765" t="s">
        <v>876</v>
      </c>
    </row>
    <row r="766" spans="1:32">
      <c r="A766" t="s">
        <v>4183</v>
      </c>
      <c r="B766" t="s">
        <v>107</v>
      </c>
      <c r="C766" t="s">
        <v>4184</v>
      </c>
      <c r="D766" t="s">
        <v>4184</v>
      </c>
      <c r="E766" t="s">
        <v>109</v>
      </c>
      <c r="F766" t="s">
        <v>110</v>
      </c>
      <c r="G766" t="s">
        <v>111</v>
      </c>
      <c r="H766" t="s">
        <v>66</v>
      </c>
      <c r="I766" t="s">
        <v>66</v>
      </c>
      <c r="J766" t="s">
        <v>67</v>
      </c>
      <c r="K766" t="s">
        <v>71</v>
      </c>
      <c r="L766" t="s">
        <v>72</v>
      </c>
      <c r="M766" t="s">
        <v>73</v>
      </c>
      <c r="N766" t="s">
        <v>66</v>
      </c>
      <c r="O766" t="s">
        <v>73</v>
      </c>
      <c r="P766" t="s">
        <v>66</v>
      </c>
      <c r="Q766" t="s">
        <v>979</v>
      </c>
      <c r="R766" t="s">
        <v>73</v>
      </c>
      <c r="S766" t="s">
        <v>979</v>
      </c>
      <c r="T766" t="s">
        <v>4185</v>
      </c>
      <c r="U766" t="s">
        <v>4186</v>
      </c>
      <c r="V766" t="s">
        <v>982</v>
      </c>
      <c r="W766" t="s">
        <v>66</v>
      </c>
      <c r="X766" t="s">
        <v>78</v>
      </c>
      <c r="Y766" t="s">
        <v>4187</v>
      </c>
      <c r="Z766" t="s">
        <v>182</v>
      </c>
      <c r="AA766" t="s">
        <v>984</v>
      </c>
      <c r="AB766" t="s">
        <v>984</v>
      </c>
      <c r="AC766" t="s">
        <v>82</v>
      </c>
      <c r="AD766" t="s">
        <v>83</v>
      </c>
      <c r="AE766" t="s">
        <v>66</v>
      </c>
      <c r="AF766" t="s">
        <v>876</v>
      </c>
    </row>
    <row r="767" spans="1:32">
      <c r="A767" t="s">
        <v>4188</v>
      </c>
      <c r="B767" t="s">
        <v>1546</v>
      </c>
      <c r="C767" t="s">
        <v>4189</v>
      </c>
      <c r="D767" t="s">
        <v>4189</v>
      </c>
      <c r="E767" t="s">
        <v>109</v>
      </c>
      <c r="F767" t="s">
        <v>110</v>
      </c>
      <c r="G767" t="s">
        <v>111</v>
      </c>
      <c r="H767" t="s">
        <v>66</v>
      </c>
      <c r="I767" t="s">
        <v>66</v>
      </c>
      <c r="J767" t="s">
        <v>67</v>
      </c>
      <c r="K767" t="s">
        <v>71</v>
      </c>
      <c r="L767" t="s">
        <v>72</v>
      </c>
      <c r="M767" t="s">
        <v>73</v>
      </c>
      <c r="N767" t="s">
        <v>66</v>
      </c>
      <c r="O767" t="s">
        <v>73</v>
      </c>
      <c r="P767" t="s">
        <v>66</v>
      </c>
      <c r="Q767" t="s">
        <v>979</v>
      </c>
      <c r="R767" t="s">
        <v>73</v>
      </c>
      <c r="S767" t="s">
        <v>979</v>
      </c>
      <c r="T767" t="s">
        <v>4190</v>
      </c>
      <c r="U767" t="s">
        <v>4191</v>
      </c>
      <c r="V767" t="s">
        <v>982</v>
      </c>
      <c r="W767" t="s">
        <v>66</v>
      </c>
      <c r="X767" t="s">
        <v>78</v>
      </c>
      <c r="Y767" t="s">
        <v>4192</v>
      </c>
      <c r="Z767" t="s">
        <v>182</v>
      </c>
      <c r="AA767" t="s">
        <v>984</v>
      </c>
      <c r="AB767" t="s">
        <v>984</v>
      </c>
      <c r="AC767" t="s">
        <v>82</v>
      </c>
      <c r="AD767" t="s">
        <v>83</v>
      </c>
      <c r="AE767" t="s">
        <v>66</v>
      </c>
      <c r="AF767" t="s">
        <v>876</v>
      </c>
    </row>
    <row r="768" spans="1:32">
      <c r="A768" t="s">
        <v>4193</v>
      </c>
      <c r="B768" t="s">
        <v>1058</v>
      </c>
      <c r="C768" t="s">
        <v>4194</v>
      </c>
      <c r="D768" t="s">
        <v>4194</v>
      </c>
      <c r="E768" t="s">
        <v>109</v>
      </c>
      <c r="F768" t="s">
        <v>110</v>
      </c>
      <c r="G768" t="s">
        <v>111</v>
      </c>
      <c r="H768" t="s">
        <v>66</v>
      </c>
      <c r="I768" t="s">
        <v>66</v>
      </c>
      <c r="J768" t="s">
        <v>67</v>
      </c>
      <c r="K768" t="s">
        <v>71</v>
      </c>
      <c r="L768" t="s">
        <v>72</v>
      </c>
      <c r="M768" t="s">
        <v>73</v>
      </c>
      <c r="N768" t="s">
        <v>66</v>
      </c>
      <c r="O768" t="s">
        <v>73</v>
      </c>
      <c r="P768" t="s">
        <v>66</v>
      </c>
      <c r="Q768" t="s">
        <v>979</v>
      </c>
      <c r="R768" t="s">
        <v>73</v>
      </c>
      <c r="S768" t="s">
        <v>979</v>
      </c>
      <c r="T768" t="s">
        <v>4195</v>
      </c>
      <c r="U768" t="s">
        <v>4196</v>
      </c>
      <c r="V768" t="s">
        <v>982</v>
      </c>
      <c r="W768" t="s">
        <v>66</v>
      </c>
      <c r="X768" t="s">
        <v>78</v>
      </c>
      <c r="Y768" t="s">
        <v>4197</v>
      </c>
      <c r="Z768" t="s">
        <v>182</v>
      </c>
      <c r="AA768" t="s">
        <v>984</v>
      </c>
      <c r="AB768" t="s">
        <v>984</v>
      </c>
      <c r="AC768" t="s">
        <v>82</v>
      </c>
      <c r="AD768" t="s">
        <v>83</v>
      </c>
      <c r="AE768" t="s">
        <v>66</v>
      </c>
      <c r="AF768" t="s">
        <v>876</v>
      </c>
    </row>
    <row r="769" spans="1:32">
      <c r="A769" t="s">
        <v>4198</v>
      </c>
      <c r="B769" t="s">
        <v>151</v>
      </c>
      <c r="C769" t="s">
        <v>4199</v>
      </c>
      <c r="D769" t="s">
        <v>66</v>
      </c>
      <c r="E769" t="s">
        <v>67</v>
      </c>
      <c r="F769" t="s">
        <v>68</v>
      </c>
      <c r="G769" t="s">
        <v>69</v>
      </c>
      <c r="H769" t="s">
        <v>66</v>
      </c>
      <c r="I769" t="s">
        <v>66</v>
      </c>
      <c r="J769" t="s">
        <v>67</v>
      </c>
      <c r="K769" t="s">
        <v>71</v>
      </c>
      <c r="L769" t="s">
        <v>72</v>
      </c>
      <c r="M769" t="s">
        <v>73</v>
      </c>
      <c r="N769" t="s">
        <v>66</v>
      </c>
      <c r="O769" t="s">
        <v>73</v>
      </c>
      <c r="P769" t="s">
        <v>66</v>
      </c>
      <c r="Q769" t="s">
        <v>979</v>
      </c>
      <c r="R769" t="s">
        <v>73</v>
      </c>
      <c r="S769" t="s">
        <v>979</v>
      </c>
      <c r="T769" t="s">
        <v>4200</v>
      </c>
      <c r="U769" t="s">
        <v>4201</v>
      </c>
      <c r="V769" t="s">
        <v>982</v>
      </c>
      <c r="W769" t="s">
        <v>66</v>
      </c>
      <c r="X769" t="s">
        <v>78</v>
      </c>
      <c r="Y769" t="s">
        <v>4202</v>
      </c>
      <c r="Z769" t="s">
        <v>182</v>
      </c>
      <c r="AA769" t="s">
        <v>984</v>
      </c>
      <c r="AB769" t="s">
        <v>984</v>
      </c>
      <c r="AC769" t="s">
        <v>82</v>
      </c>
      <c r="AD769" t="s">
        <v>83</v>
      </c>
      <c r="AE769" t="s">
        <v>66</v>
      </c>
      <c r="AF769" t="s">
        <v>876</v>
      </c>
    </row>
    <row r="770" spans="1:32">
      <c r="A770" t="s">
        <v>4203</v>
      </c>
      <c r="B770" t="s">
        <v>130</v>
      </c>
      <c r="C770" t="s">
        <v>4204</v>
      </c>
      <c r="D770" t="s">
        <v>4204</v>
      </c>
      <c r="E770" t="s">
        <v>109</v>
      </c>
      <c r="F770" t="s">
        <v>110</v>
      </c>
      <c r="G770" t="s">
        <v>111</v>
      </c>
      <c r="H770" t="s">
        <v>66</v>
      </c>
      <c r="I770" t="s">
        <v>66</v>
      </c>
      <c r="J770" t="s">
        <v>67</v>
      </c>
      <c r="K770" t="s">
        <v>71</v>
      </c>
      <c r="L770" t="s">
        <v>72</v>
      </c>
      <c r="M770" t="s">
        <v>73</v>
      </c>
      <c r="N770" t="s">
        <v>66</v>
      </c>
      <c r="O770" t="s">
        <v>73</v>
      </c>
      <c r="P770" t="s">
        <v>66</v>
      </c>
      <c r="Q770" t="s">
        <v>979</v>
      </c>
      <c r="R770" t="s">
        <v>73</v>
      </c>
      <c r="S770" t="s">
        <v>979</v>
      </c>
      <c r="T770" t="s">
        <v>4205</v>
      </c>
      <c r="U770" t="s">
        <v>4206</v>
      </c>
      <c r="V770" t="s">
        <v>982</v>
      </c>
      <c r="W770" t="s">
        <v>66</v>
      </c>
      <c r="X770" t="s">
        <v>78</v>
      </c>
      <c r="Y770" t="s">
        <v>4207</v>
      </c>
      <c r="Z770" t="s">
        <v>182</v>
      </c>
      <c r="AA770" t="s">
        <v>984</v>
      </c>
      <c r="AB770" t="s">
        <v>984</v>
      </c>
      <c r="AC770" t="s">
        <v>82</v>
      </c>
      <c r="AD770" t="s">
        <v>83</v>
      </c>
      <c r="AE770" t="s">
        <v>66</v>
      </c>
      <c r="AF770" t="s">
        <v>876</v>
      </c>
    </row>
    <row r="771" spans="1:32">
      <c r="A771" t="s">
        <v>4208</v>
      </c>
      <c r="B771" t="s">
        <v>1995</v>
      </c>
      <c r="C771" t="s">
        <v>4209</v>
      </c>
      <c r="D771" t="s">
        <v>66</v>
      </c>
      <c r="E771" t="s">
        <v>67</v>
      </c>
      <c r="F771" t="s">
        <v>110</v>
      </c>
      <c r="G771" t="s">
        <v>111</v>
      </c>
      <c r="H771" t="s">
        <v>66</v>
      </c>
      <c r="I771" t="s">
        <v>66</v>
      </c>
      <c r="J771" t="s">
        <v>67</v>
      </c>
      <c r="K771" t="s">
        <v>71</v>
      </c>
      <c r="L771" t="s">
        <v>72</v>
      </c>
      <c r="M771" t="s">
        <v>73</v>
      </c>
      <c r="N771" t="s">
        <v>66</v>
      </c>
      <c r="O771" t="s">
        <v>73</v>
      </c>
      <c r="P771" t="s">
        <v>66</v>
      </c>
      <c r="Q771" t="s">
        <v>979</v>
      </c>
      <c r="R771" t="s">
        <v>73</v>
      </c>
      <c r="S771" t="s">
        <v>979</v>
      </c>
      <c r="T771" t="s">
        <v>4210</v>
      </c>
      <c r="U771" t="s">
        <v>4211</v>
      </c>
      <c r="V771" t="s">
        <v>982</v>
      </c>
      <c r="W771" t="s">
        <v>66</v>
      </c>
      <c r="X771" t="s">
        <v>78</v>
      </c>
      <c r="Y771" t="s">
        <v>4212</v>
      </c>
      <c r="Z771" t="s">
        <v>182</v>
      </c>
      <c r="AA771" t="s">
        <v>984</v>
      </c>
      <c r="AB771" t="s">
        <v>984</v>
      </c>
      <c r="AC771" t="s">
        <v>82</v>
      </c>
      <c r="AD771" t="s">
        <v>83</v>
      </c>
      <c r="AE771" t="s">
        <v>66</v>
      </c>
      <c r="AF771" t="s">
        <v>876</v>
      </c>
    </row>
    <row r="772" spans="1:32">
      <c r="A772" t="s">
        <v>4213</v>
      </c>
      <c r="B772" t="s">
        <v>162</v>
      </c>
      <c r="C772" t="s">
        <v>4214</v>
      </c>
      <c r="D772" t="s">
        <v>66</v>
      </c>
      <c r="E772" t="s">
        <v>67</v>
      </c>
      <c r="F772" t="s">
        <v>164</v>
      </c>
      <c r="G772" t="s">
        <v>165</v>
      </c>
      <c r="H772" t="s">
        <v>66</v>
      </c>
      <c r="I772" t="s">
        <v>66</v>
      </c>
      <c r="J772" t="s">
        <v>67</v>
      </c>
      <c r="K772" t="s">
        <v>71</v>
      </c>
      <c r="L772" t="s">
        <v>72</v>
      </c>
      <c r="M772" t="s">
        <v>73</v>
      </c>
      <c r="N772" t="s">
        <v>66</v>
      </c>
      <c r="O772" t="s">
        <v>73</v>
      </c>
      <c r="P772" t="s">
        <v>66</v>
      </c>
      <c r="Q772" t="s">
        <v>979</v>
      </c>
      <c r="R772" t="s">
        <v>73</v>
      </c>
      <c r="S772" t="s">
        <v>979</v>
      </c>
      <c r="T772" t="s">
        <v>4215</v>
      </c>
      <c r="U772" t="s">
        <v>4216</v>
      </c>
      <c r="V772" t="s">
        <v>982</v>
      </c>
      <c r="W772" t="s">
        <v>66</v>
      </c>
      <c r="X772" t="s">
        <v>78</v>
      </c>
      <c r="Y772" t="s">
        <v>4217</v>
      </c>
      <c r="Z772" t="s">
        <v>182</v>
      </c>
      <c r="AA772" t="s">
        <v>984</v>
      </c>
      <c r="AB772" t="s">
        <v>984</v>
      </c>
      <c r="AC772" t="s">
        <v>82</v>
      </c>
      <c r="AD772" t="s">
        <v>83</v>
      </c>
      <c r="AE772" t="s">
        <v>66</v>
      </c>
      <c r="AF772" t="s">
        <v>876</v>
      </c>
    </row>
    <row r="773" spans="1:32">
      <c r="A773" t="s">
        <v>4218</v>
      </c>
      <c r="B773" t="s">
        <v>308</v>
      </c>
      <c r="C773" t="s">
        <v>4219</v>
      </c>
      <c r="D773" t="s">
        <v>4219</v>
      </c>
      <c r="E773" t="s">
        <v>109</v>
      </c>
      <c r="F773" t="s">
        <v>110</v>
      </c>
      <c r="G773" t="s">
        <v>111</v>
      </c>
      <c r="H773" t="s">
        <v>66</v>
      </c>
      <c r="I773" t="s">
        <v>66</v>
      </c>
      <c r="J773" t="s">
        <v>67</v>
      </c>
      <c r="K773" t="s">
        <v>71</v>
      </c>
      <c r="L773" t="s">
        <v>72</v>
      </c>
      <c r="M773" t="s">
        <v>73</v>
      </c>
      <c r="N773" t="s">
        <v>66</v>
      </c>
      <c r="O773" t="s">
        <v>73</v>
      </c>
      <c r="P773" t="s">
        <v>66</v>
      </c>
      <c r="Q773" t="s">
        <v>979</v>
      </c>
      <c r="R773" t="s">
        <v>73</v>
      </c>
      <c r="S773" t="s">
        <v>979</v>
      </c>
      <c r="T773" t="s">
        <v>4220</v>
      </c>
      <c r="U773" t="s">
        <v>4221</v>
      </c>
      <c r="V773" t="s">
        <v>982</v>
      </c>
      <c r="W773" t="s">
        <v>66</v>
      </c>
      <c r="X773" t="s">
        <v>78</v>
      </c>
      <c r="Y773" t="s">
        <v>4222</v>
      </c>
      <c r="Z773" t="s">
        <v>182</v>
      </c>
      <c r="AA773" t="s">
        <v>984</v>
      </c>
      <c r="AB773" t="s">
        <v>984</v>
      </c>
      <c r="AC773" t="s">
        <v>82</v>
      </c>
      <c r="AD773" t="s">
        <v>83</v>
      </c>
      <c r="AE773" t="s">
        <v>66</v>
      </c>
      <c r="AF773" t="s">
        <v>876</v>
      </c>
    </row>
    <row r="774" spans="1:32">
      <c r="A774" t="s">
        <v>4223</v>
      </c>
      <c r="B774" t="s">
        <v>162</v>
      </c>
      <c r="C774" t="s">
        <v>4224</v>
      </c>
      <c r="D774" t="s">
        <v>66</v>
      </c>
      <c r="E774" t="s">
        <v>67</v>
      </c>
      <c r="F774" t="s">
        <v>164</v>
      </c>
      <c r="G774" t="s">
        <v>165</v>
      </c>
      <c r="H774" t="s">
        <v>66</v>
      </c>
      <c r="I774" t="s">
        <v>66</v>
      </c>
      <c r="J774" t="s">
        <v>67</v>
      </c>
      <c r="K774" t="s">
        <v>71</v>
      </c>
      <c r="L774" t="s">
        <v>72</v>
      </c>
      <c r="M774" t="s">
        <v>73</v>
      </c>
      <c r="N774" t="s">
        <v>66</v>
      </c>
      <c r="O774" t="s">
        <v>73</v>
      </c>
      <c r="P774" t="s">
        <v>66</v>
      </c>
      <c r="Q774" t="s">
        <v>979</v>
      </c>
      <c r="R774" t="s">
        <v>73</v>
      </c>
      <c r="S774" t="s">
        <v>979</v>
      </c>
      <c r="T774" t="s">
        <v>4225</v>
      </c>
      <c r="U774" t="s">
        <v>4226</v>
      </c>
      <c r="V774" t="s">
        <v>982</v>
      </c>
      <c r="W774" t="s">
        <v>66</v>
      </c>
      <c r="X774" t="s">
        <v>78</v>
      </c>
      <c r="Y774" t="s">
        <v>4227</v>
      </c>
      <c r="Z774" t="s">
        <v>182</v>
      </c>
      <c r="AA774" t="s">
        <v>984</v>
      </c>
      <c r="AB774" t="s">
        <v>984</v>
      </c>
      <c r="AC774" t="s">
        <v>82</v>
      </c>
      <c r="AD774" t="s">
        <v>83</v>
      </c>
      <c r="AE774" t="s">
        <v>66</v>
      </c>
      <c r="AF774" t="s">
        <v>876</v>
      </c>
    </row>
    <row r="775" spans="1:32">
      <c r="A775" t="s">
        <v>4228</v>
      </c>
      <c r="B775" t="s">
        <v>1186</v>
      </c>
      <c r="C775" t="s">
        <v>4229</v>
      </c>
      <c r="D775" t="s">
        <v>66</v>
      </c>
      <c r="E775" t="s">
        <v>67</v>
      </c>
      <c r="F775" t="s">
        <v>68</v>
      </c>
      <c r="G775" t="s">
        <v>69</v>
      </c>
      <c r="H775" t="s">
        <v>66</v>
      </c>
      <c r="I775" t="s">
        <v>66</v>
      </c>
      <c r="J775" t="s">
        <v>67</v>
      </c>
      <c r="K775" t="s">
        <v>71</v>
      </c>
      <c r="L775" t="s">
        <v>72</v>
      </c>
      <c r="M775" t="s">
        <v>73</v>
      </c>
      <c r="N775" t="s">
        <v>66</v>
      </c>
      <c r="O775" t="s">
        <v>73</v>
      </c>
      <c r="P775" t="s">
        <v>66</v>
      </c>
      <c r="Q775" t="s">
        <v>979</v>
      </c>
      <c r="R775" t="s">
        <v>73</v>
      </c>
      <c r="S775" t="s">
        <v>979</v>
      </c>
      <c r="T775" t="s">
        <v>4230</v>
      </c>
      <c r="U775" t="s">
        <v>4231</v>
      </c>
      <c r="V775" t="s">
        <v>982</v>
      </c>
      <c r="W775" t="s">
        <v>66</v>
      </c>
      <c r="X775" t="s">
        <v>78</v>
      </c>
      <c r="Y775" t="s">
        <v>4232</v>
      </c>
      <c r="Z775" t="s">
        <v>182</v>
      </c>
      <c r="AA775" t="s">
        <v>984</v>
      </c>
      <c r="AB775" t="s">
        <v>984</v>
      </c>
      <c r="AC775" t="s">
        <v>82</v>
      </c>
      <c r="AD775" t="s">
        <v>83</v>
      </c>
      <c r="AE775" t="s">
        <v>66</v>
      </c>
      <c r="AF775" t="s">
        <v>876</v>
      </c>
    </row>
    <row r="776" spans="1:32">
      <c r="A776" t="s">
        <v>4233</v>
      </c>
      <c r="B776" t="s">
        <v>151</v>
      </c>
      <c r="C776" t="s">
        <v>4234</v>
      </c>
      <c r="D776" t="s">
        <v>66</v>
      </c>
      <c r="E776" t="s">
        <v>67</v>
      </c>
      <c r="F776" t="s">
        <v>68</v>
      </c>
      <c r="G776" t="s">
        <v>69</v>
      </c>
      <c r="H776" t="s">
        <v>66</v>
      </c>
      <c r="I776" t="s">
        <v>66</v>
      </c>
      <c r="J776" t="s">
        <v>67</v>
      </c>
      <c r="K776" t="s">
        <v>71</v>
      </c>
      <c r="L776" t="s">
        <v>72</v>
      </c>
      <c r="M776" t="s">
        <v>73</v>
      </c>
      <c r="N776" t="s">
        <v>66</v>
      </c>
      <c r="O776" t="s">
        <v>73</v>
      </c>
      <c r="P776" t="s">
        <v>66</v>
      </c>
      <c r="Q776" t="s">
        <v>979</v>
      </c>
      <c r="R776" t="s">
        <v>73</v>
      </c>
      <c r="S776" t="s">
        <v>979</v>
      </c>
      <c r="T776" t="s">
        <v>4235</v>
      </c>
      <c r="U776" t="s">
        <v>4236</v>
      </c>
      <c r="V776" t="s">
        <v>982</v>
      </c>
      <c r="W776" t="s">
        <v>66</v>
      </c>
      <c r="X776" t="s">
        <v>78</v>
      </c>
      <c r="Y776" t="s">
        <v>4237</v>
      </c>
      <c r="Z776" t="s">
        <v>182</v>
      </c>
      <c r="AA776" t="s">
        <v>984</v>
      </c>
      <c r="AB776" t="s">
        <v>984</v>
      </c>
      <c r="AC776" t="s">
        <v>82</v>
      </c>
      <c r="AD776" t="s">
        <v>83</v>
      </c>
      <c r="AE776" t="s">
        <v>66</v>
      </c>
      <c r="AF776" t="s">
        <v>876</v>
      </c>
    </row>
    <row r="777" spans="1:32">
      <c r="A777" t="s">
        <v>4238</v>
      </c>
      <c r="B777" t="s">
        <v>2486</v>
      </c>
      <c r="C777" t="s">
        <v>4239</v>
      </c>
      <c r="D777" t="s">
        <v>66</v>
      </c>
      <c r="E777" t="s">
        <v>67</v>
      </c>
      <c r="F777" t="s">
        <v>68</v>
      </c>
      <c r="G777" t="s">
        <v>69</v>
      </c>
      <c r="H777" t="s">
        <v>66</v>
      </c>
      <c r="I777" t="s">
        <v>66</v>
      </c>
      <c r="J777" t="s">
        <v>67</v>
      </c>
      <c r="K777" t="s">
        <v>71</v>
      </c>
      <c r="L777" t="s">
        <v>72</v>
      </c>
      <c r="M777" t="s">
        <v>73</v>
      </c>
      <c r="N777" t="s">
        <v>66</v>
      </c>
      <c r="O777" t="s">
        <v>73</v>
      </c>
      <c r="P777" t="s">
        <v>66</v>
      </c>
      <c r="Q777" t="s">
        <v>979</v>
      </c>
      <c r="R777" t="s">
        <v>73</v>
      </c>
      <c r="S777" t="s">
        <v>979</v>
      </c>
      <c r="T777" t="s">
        <v>4240</v>
      </c>
      <c r="U777" t="s">
        <v>4241</v>
      </c>
      <c r="V777" t="s">
        <v>982</v>
      </c>
      <c r="W777" t="s">
        <v>66</v>
      </c>
      <c r="X777" t="s">
        <v>78</v>
      </c>
      <c r="Y777" t="s">
        <v>4242</v>
      </c>
      <c r="Z777" t="s">
        <v>182</v>
      </c>
      <c r="AA777" t="s">
        <v>984</v>
      </c>
      <c r="AB777" t="s">
        <v>984</v>
      </c>
      <c r="AC777" t="s">
        <v>82</v>
      </c>
      <c r="AD777" t="s">
        <v>83</v>
      </c>
      <c r="AE777" t="s">
        <v>66</v>
      </c>
      <c r="AF777" t="s">
        <v>876</v>
      </c>
    </row>
    <row r="778" spans="1:32">
      <c r="A778" t="s">
        <v>4243</v>
      </c>
      <c r="B778" t="s">
        <v>3702</v>
      </c>
      <c r="C778" t="s">
        <v>4244</v>
      </c>
      <c r="D778" t="s">
        <v>66</v>
      </c>
      <c r="E778" t="s">
        <v>67</v>
      </c>
      <c r="F778" t="s">
        <v>110</v>
      </c>
      <c r="G778" t="s">
        <v>111</v>
      </c>
      <c r="H778" t="s">
        <v>66</v>
      </c>
      <c r="I778" t="s">
        <v>66</v>
      </c>
      <c r="J778" t="s">
        <v>67</v>
      </c>
      <c r="K778" t="s">
        <v>71</v>
      </c>
      <c r="L778" t="s">
        <v>72</v>
      </c>
      <c r="M778" t="s">
        <v>73</v>
      </c>
      <c r="N778" t="s">
        <v>66</v>
      </c>
      <c r="O778" t="s">
        <v>73</v>
      </c>
      <c r="P778" t="s">
        <v>66</v>
      </c>
      <c r="Q778" t="s">
        <v>979</v>
      </c>
      <c r="R778" t="s">
        <v>73</v>
      </c>
      <c r="S778" t="s">
        <v>979</v>
      </c>
      <c r="T778" t="s">
        <v>4245</v>
      </c>
      <c r="U778" t="s">
        <v>4246</v>
      </c>
      <c r="V778" t="s">
        <v>982</v>
      </c>
      <c r="W778" t="s">
        <v>66</v>
      </c>
      <c r="X778" t="s">
        <v>78</v>
      </c>
      <c r="Y778" t="s">
        <v>4247</v>
      </c>
      <c r="Z778" t="s">
        <v>182</v>
      </c>
      <c r="AA778" t="s">
        <v>984</v>
      </c>
      <c r="AB778" t="s">
        <v>984</v>
      </c>
      <c r="AC778" t="s">
        <v>82</v>
      </c>
      <c r="AD778" t="s">
        <v>83</v>
      </c>
      <c r="AE778" t="s">
        <v>66</v>
      </c>
      <c r="AF778" t="s">
        <v>876</v>
      </c>
    </row>
    <row r="779" spans="1:32">
      <c r="A779" t="s">
        <v>4248</v>
      </c>
      <c r="B779" t="s">
        <v>1004</v>
      </c>
      <c r="C779" t="s">
        <v>4249</v>
      </c>
      <c r="D779" t="s">
        <v>66</v>
      </c>
      <c r="E779" t="s">
        <v>67</v>
      </c>
      <c r="F779" t="s">
        <v>68</v>
      </c>
      <c r="G779" t="s">
        <v>69</v>
      </c>
      <c r="H779" t="s">
        <v>66</v>
      </c>
      <c r="I779" t="s">
        <v>66</v>
      </c>
      <c r="J779" t="s">
        <v>67</v>
      </c>
      <c r="K779" t="s">
        <v>71</v>
      </c>
      <c r="L779" t="s">
        <v>72</v>
      </c>
      <c r="M779" t="s">
        <v>73</v>
      </c>
      <c r="N779" t="s">
        <v>66</v>
      </c>
      <c r="O779" t="s">
        <v>73</v>
      </c>
      <c r="P779" t="s">
        <v>66</v>
      </c>
      <c r="Q779" t="s">
        <v>979</v>
      </c>
      <c r="R779" t="s">
        <v>73</v>
      </c>
      <c r="S779" t="s">
        <v>979</v>
      </c>
      <c r="T779" t="s">
        <v>4250</v>
      </c>
      <c r="U779" t="s">
        <v>4251</v>
      </c>
      <c r="V779" t="s">
        <v>982</v>
      </c>
      <c r="W779" t="s">
        <v>66</v>
      </c>
      <c r="X779" t="s">
        <v>78</v>
      </c>
      <c r="Y779" t="s">
        <v>4252</v>
      </c>
      <c r="Z779" t="s">
        <v>182</v>
      </c>
      <c r="AA779" t="s">
        <v>984</v>
      </c>
      <c r="AB779" t="s">
        <v>984</v>
      </c>
      <c r="AC779" t="s">
        <v>82</v>
      </c>
      <c r="AD779" t="s">
        <v>83</v>
      </c>
      <c r="AE779" t="s">
        <v>66</v>
      </c>
      <c r="AF779" t="s">
        <v>876</v>
      </c>
    </row>
    <row r="780" spans="1:32">
      <c r="A780" t="s">
        <v>4253</v>
      </c>
      <c r="B780" t="s">
        <v>4254</v>
      </c>
      <c r="C780" t="s">
        <v>4255</v>
      </c>
      <c r="D780" t="s">
        <v>4255</v>
      </c>
      <c r="E780" t="s">
        <v>109</v>
      </c>
      <c r="F780" t="s">
        <v>110</v>
      </c>
      <c r="G780" t="s">
        <v>111</v>
      </c>
      <c r="H780" t="s">
        <v>66</v>
      </c>
      <c r="I780" t="s">
        <v>66</v>
      </c>
      <c r="J780" t="s">
        <v>67</v>
      </c>
      <c r="K780" t="s">
        <v>71</v>
      </c>
      <c r="L780" t="s">
        <v>72</v>
      </c>
      <c r="M780" t="s">
        <v>73</v>
      </c>
      <c r="N780" t="s">
        <v>66</v>
      </c>
      <c r="O780" t="s">
        <v>73</v>
      </c>
      <c r="P780" t="s">
        <v>66</v>
      </c>
      <c r="Q780" t="s">
        <v>979</v>
      </c>
      <c r="R780" t="s">
        <v>73</v>
      </c>
      <c r="S780" t="s">
        <v>979</v>
      </c>
      <c r="T780" t="s">
        <v>4256</v>
      </c>
      <c r="U780" t="s">
        <v>4257</v>
      </c>
      <c r="V780" t="s">
        <v>982</v>
      </c>
      <c r="W780" t="s">
        <v>66</v>
      </c>
      <c r="X780" t="s">
        <v>78</v>
      </c>
      <c r="Y780" t="s">
        <v>4258</v>
      </c>
      <c r="Z780" t="s">
        <v>182</v>
      </c>
      <c r="AA780" t="s">
        <v>984</v>
      </c>
      <c r="AB780" t="s">
        <v>984</v>
      </c>
      <c r="AC780" t="s">
        <v>82</v>
      </c>
      <c r="AD780" t="s">
        <v>83</v>
      </c>
      <c r="AE780" t="s">
        <v>66</v>
      </c>
      <c r="AF780" t="s">
        <v>876</v>
      </c>
    </row>
    <row r="781" spans="1:32">
      <c r="A781" t="s">
        <v>4259</v>
      </c>
      <c r="B781" t="s">
        <v>107</v>
      </c>
      <c r="C781" t="s">
        <v>4260</v>
      </c>
      <c r="D781" t="s">
        <v>4260</v>
      </c>
      <c r="E781" t="s">
        <v>109</v>
      </c>
      <c r="F781" t="s">
        <v>110</v>
      </c>
      <c r="G781" t="s">
        <v>111</v>
      </c>
      <c r="H781" t="s">
        <v>66</v>
      </c>
      <c r="I781" t="s">
        <v>66</v>
      </c>
      <c r="J781" t="s">
        <v>67</v>
      </c>
      <c r="K781" t="s">
        <v>71</v>
      </c>
      <c r="L781" t="s">
        <v>72</v>
      </c>
      <c r="M781" t="s">
        <v>73</v>
      </c>
      <c r="N781" t="s">
        <v>66</v>
      </c>
      <c r="O781" t="s">
        <v>73</v>
      </c>
      <c r="P781" t="s">
        <v>66</v>
      </c>
      <c r="Q781" t="s">
        <v>979</v>
      </c>
      <c r="R781" t="s">
        <v>73</v>
      </c>
      <c r="S781" t="s">
        <v>979</v>
      </c>
      <c r="T781" t="s">
        <v>4261</v>
      </c>
      <c r="U781" t="s">
        <v>4262</v>
      </c>
      <c r="V781" t="s">
        <v>982</v>
      </c>
      <c r="W781" t="s">
        <v>66</v>
      </c>
      <c r="X781" t="s">
        <v>78</v>
      </c>
      <c r="Y781" t="s">
        <v>4263</v>
      </c>
      <c r="Z781" t="s">
        <v>182</v>
      </c>
      <c r="AA781" t="s">
        <v>984</v>
      </c>
      <c r="AB781" t="s">
        <v>984</v>
      </c>
      <c r="AC781" t="s">
        <v>82</v>
      </c>
      <c r="AD781" t="s">
        <v>83</v>
      </c>
      <c r="AE781" t="s">
        <v>66</v>
      </c>
      <c r="AF781" t="s">
        <v>876</v>
      </c>
    </row>
    <row r="782" spans="1:32">
      <c r="A782" t="s">
        <v>4264</v>
      </c>
      <c r="B782" t="s">
        <v>162</v>
      </c>
      <c r="C782" t="s">
        <v>4265</v>
      </c>
      <c r="D782" t="s">
        <v>66</v>
      </c>
      <c r="E782" t="s">
        <v>67</v>
      </c>
      <c r="F782" t="s">
        <v>164</v>
      </c>
      <c r="G782" t="s">
        <v>165</v>
      </c>
      <c r="H782" t="s">
        <v>66</v>
      </c>
      <c r="I782" t="s">
        <v>66</v>
      </c>
      <c r="J782" t="s">
        <v>67</v>
      </c>
      <c r="K782" t="s">
        <v>71</v>
      </c>
      <c r="L782" t="s">
        <v>72</v>
      </c>
      <c r="M782" t="s">
        <v>73</v>
      </c>
      <c r="N782" t="s">
        <v>66</v>
      </c>
      <c r="O782" t="s">
        <v>73</v>
      </c>
      <c r="P782" t="s">
        <v>66</v>
      </c>
      <c r="Q782" t="s">
        <v>979</v>
      </c>
      <c r="R782" t="s">
        <v>73</v>
      </c>
      <c r="S782" t="s">
        <v>979</v>
      </c>
      <c r="T782" t="s">
        <v>4266</v>
      </c>
      <c r="U782" t="s">
        <v>4267</v>
      </c>
      <c r="V782" t="s">
        <v>982</v>
      </c>
      <c r="W782" t="s">
        <v>66</v>
      </c>
      <c r="X782" t="s">
        <v>78</v>
      </c>
      <c r="Y782" t="s">
        <v>4268</v>
      </c>
      <c r="Z782" t="s">
        <v>182</v>
      </c>
      <c r="AA782" t="s">
        <v>984</v>
      </c>
      <c r="AB782" t="s">
        <v>984</v>
      </c>
      <c r="AC782" t="s">
        <v>82</v>
      </c>
      <c r="AD782" t="s">
        <v>83</v>
      </c>
      <c r="AE782" t="s">
        <v>66</v>
      </c>
      <c r="AF782" t="s">
        <v>876</v>
      </c>
    </row>
    <row r="783" spans="1:32">
      <c r="A783" t="s">
        <v>4269</v>
      </c>
      <c r="B783" t="s">
        <v>986</v>
      </c>
      <c r="C783" t="s">
        <v>4270</v>
      </c>
      <c r="D783" t="s">
        <v>66</v>
      </c>
      <c r="E783" t="s">
        <v>67</v>
      </c>
      <c r="F783" t="s">
        <v>988</v>
      </c>
      <c r="G783" t="s">
        <v>989</v>
      </c>
      <c r="H783" t="s">
        <v>66</v>
      </c>
      <c r="I783" t="s">
        <v>66</v>
      </c>
      <c r="J783" t="s">
        <v>67</v>
      </c>
      <c r="K783" t="s">
        <v>71</v>
      </c>
      <c r="L783" t="s">
        <v>72</v>
      </c>
      <c r="M783" t="s">
        <v>73</v>
      </c>
      <c r="N783" t="s">
        <v>66</v>
      </c>
      <c r="O783" t="s">
        <v>73</v>
      </c>
      <c r="P783" t="s">
        <v>66</v>
      </c>
      <c r="Q783" t="s">
        <v>979</v>
      </c>
      <c r="R783" t="s">
        <v>73</v>
      </c>
      <c r="S783" t="s">
        <v>979</v>
      </c>
      <c r="T783" t="s">
        <v>4271</v>
      </c>
      <c r="U783" t="s">
        <v>4272</v>
      </c>
      <c r="V783" t="s">
        <v>982</v>
      </c>
      <c r="W783" t="s">
        <v>66</v>
      </c>
      <c r="X783" t="s">
        <v>78</v>
      </c>
      <c r="Y783" t="s">
        <v>4273</v>
      </c>
      <c r="Z783" t="s">
        <v>182</v>
      </c>
      <c r="AA783" t="s">
        <v>984</v>
      </c>
      <c r="AB783" t="s">
        <v>984</v>
      </c>
      <c r="AC783" t="s">
        <v>82</v>
      </c>
      <c r="AD783" t="s">
        <v>83</v>
      </c>
      <c r="AE783" t="s">
        <v>66</v>
      </c>
      <c r="AF783" t="s">
        <v>876</v>
      </c>
    </row>
    <row r="784" spans="1:32">
      <c r="A784" t="s">
        <v>4274</v>
      </c>
      <c r="B784" t="s">
        <v>1064</v>
      </c>
      <c r="C784" t="s">
        <v>4275</v>
      </c>
      <c r="D784" t="s">
        <v>66</v>
      </c>
      <c r="E784" t="s">
        <v>67</v>
      </c>
      <c r="F784" t="s">
        <v>110</v>
      </c>
      <c r="G784" t="s">
        <v>111</v>
      </c>
      <c r="H784" t="s">
        <v>66</v>
      </c>
      <c r="I784" t="s">
        <v>66</v>
      </c>
      <c r="J784" t="s">
        <v>67</v>
      </c>
      <c r="K784" t="s">
        <v>71</v>
      </c>
      <c r="L784" t="s">
        <v>72</v>
      </c>
      <c r="M784" t="s">
        <v>73</v>
      </c>
      <c r="N784" t="s">
        <v>66</v>
      </c>
      <c r="O784" t="s">
        <v>73</v>
      </c>
      <c r="P784" t="s">
        <v>66</v>
      </c>
      <c r="Q784" t="s">
        <v>979</v>
      </c>
      <c r="R784" t="s">
        <v>73</v>
      </c>
      <c r="S784" t="s">
        <v>979</v>
      </c>
      <c r="T784" t="s">
        <v>4276</v>
      </c>
      <c r="U784" t="s">
        <v>4277</v>
      </c>
      <c r="V784" t="s">
        <v>982</v>
      </c>
      <c r="W784" t="s">
        <v>66</v>
      </c>
      <c r="X784" t="s">
        <v>78</v>
      </c>
      <c r="Y784" t="s">
        <v>4278</v>
      </c>
      <c r="Z784" t="s">
        <v>182</v>
      </c>
      <c r="AA784" t="s">
        <v>984</v>
      </c>
      <c r="AB784" t="s">
        <v>984</v>
      </c>
      <c r="AC784" t="s">
        <v>82</v>
      </c>
      <c r="AD784" t="s">
        <v>83</v>
      </c>
      <c r="AE784" t="s">
        <v>66</v>
      </c>
      <c r="AF784" t="s">
        <v>876</v>
      </c>
    </row>
    <row r="785" spans="1:32">
      <c r="A785" t="s">
        <v>4279</v>
      </c>
      <c r="B785" t="s">
        <v>2486</v>
      </c>
      <c r="C785" t="s">
        <v>4280</v>
      </c>
      <c r="D785" t="s">
        <v>66</v>
      </c>
      <c r="E785" t="s">
        <v>67</v>
      </c>
      <c r="F785" t="s">
        <v>68</v>
      </c>
      <c r="G785" t="s">
        <v>69</v>
      </c>
      <c r="H785" t="s">
        <v>66</v>
      </c>
      <c r="I785" t="s">
        <v>66</v>
      </c>
      <c r="J785" t="s">
        <v>67</v>
      </c>
      <c r="K785" t="s">
        <v>71</v>
      </c>
      <c r="L785" t="s">
        <v>72</v>
      </c>
      <c r="M785" t="s">
        <v>73</v>
      </c>
      <c r="N785" t="s">
        <v>66</v>
      </c>
      <c r="O785" t="s">
        <v>73</v>
      </c>
      <c r="P785" t="s">
        <v>66</v>
      </c>
      <c r="Q785" t="s">
        <v>979</v>
      </c>
      <c r="R785" t="s">
        <v>73</v>
      </c>
      <c r="S785" t="s">
        <v>979</v>
      </c>
      <c r="T785" t="s">
        <v>4281</v>
      </c>
      <c r="U785" t="s">
        <v>4282</v>
      </c>
      <c r="V785" t="s">
        <v>982</v>
      </c>
      <c r="W785" t="s">
        <v>66</v>
      </c>
      <c r="X785" t="s">
        <v>78</v>
      </c>
      <c r="Y785" t="s">
        <v>4283</v>
      </c>
      <c r="Z785" t="s">
        <v>182</v>
      </c>
      <c r="AA785" t="s">
        <v>984</v>
      </c>
      <c r="AB785" t="s">
        <v>984</v>
      </c>
      <c r="AC785" t="s">
        <v>82</v>
      </c>
      <c r="AD785" t="s">
        <v>83</v>
      </c>
      <c r="AE785" t="s">
        <v>66</v>
      </c>
      <c r="AF785" t="s">
        <v>876</v>
      </c>
    </row>
    <row r="786" spans="1:32">
      <c r="A786" t="s">
        <v>4284</v>
      </c>
      <c r="B786" t="s">
        <v>986</v>
      </c>
      <c r="C786" t="s">
        <v>4285</v>
      </c>
      <c r="D786" t="s">
        <v>66</v>
      </c>
      <c r="E786" t="s">
        <v>67</v>
      </c>
      <c r="F786" t="s">
        <v>988</v>
      </c>
      <c r="G786" t="s">
        <v>989</v>
      </c>
      <c r="H786" t="s">
        <v>66</v>
      </c>
      <c r="I786" t="s">
        <v>66</v>
      </c>
      <c r="J786" t="s">
        <v>67</v>
      </c>
      <c r="K786" t="s">
        <v>71</v>
      </c>
      <c r="L786" t="s">
        <v>72</v>
      </c>
      <c r="M786" t="s">
        <v>73</v>
      </c>
      <c r="N786" t="s">
        <v>66</v>
      </c>
      <c r="O786" t="s">
        <v>73</v>
      </c>
      <c r="P786" t="s">
        <v>66</v>
      </c>
      <c r="Q786" t="s">
        <v>979</v>
      </c>
      <c r="R786" t="s">
        <v>73</v>
      </c>
      <c r="S786" t="s">
        <v>979</v>
      </c>
      <c r="T786" t="s">
        <v>4286</v>
      </c>
      <c r="U786" t="s">
        <v>4287</v>
      </c>
      <c r="V786" t="s">
        <v>982</v>
      </c>
      <c r="W786" t="s">
        <v>66</v>
      </c>
      <c r="X786" t="s">
        <v>78</v>
      </c>
      <c r="Y786" t="s">
        <v>4288</v>
      </c>
      <c r="Z786" t="s">
        <v>182</v>
      </c>
      <c r="AA786" t="s">
        <v>984</v>
      </c>
      <c r="AB786" t="s">
        <v>984</v>
      </c>
      <c r="AC786" t="s">
        <v>82</v>
      </c>
      <c r="AD786" t="s">
        <v>83</v>
      </c>
      <c r="AE786" t="s">
        <v>66</v>
      </c>
      <c r="AF786" t="s">
        <v>876</v>
      </c>
    </row>
    <row r="787" spans="1:32">
      <c r="A787" t="s">
        <v>4289</v>
      </c>
      <c r="B787" t="s">
        <v>4290</v>
      </c>
      <c r="C787" t="s">
        <v>4291</v>
      </c>
      <c r="D787" t="s">
        <v>4291</v>
      </c>
      <c r="E787" t="s">
        <v>109</v>
      </c>
      <c r="F787" t="s">
        <v>68</v>
      </c>
      <c r="G787" t="s">
        <v>69</v>
      </c>
      <c r="H787" t="s">
        <v>66</v>
      </c>
      <c r="I787" t="s">
        <v>66</v>
      </c>
      <c r="J787" t="s">
        <v>67</v>
      </c>
      <c r="K787" t="s">
        <v>71</v>
      </c>
      <c r="L787" t="s">
        <v>72</v>
      </c>
      <c r="M787" t="s">
        <v>73</v>
      </c>
      <c r="N787" t="s">
        <v>66</v>
      </c>
      <c r="O787" t="s">
        <v>73</v>
      </c>
      <c r="P787" t="s">
        <v>66</v>
      </c>
      <c r="Q787" t="s">
        <v>979</v>
      </c>
      <c r="R787" t="s">
        <v>73</v>
      </c>
      <c r="S787" t="s">
        <v>979</v>
      </c>
      <c r="T787" t="s">
        <v>4292</v>
      </c>
      <c r="U787" t="s">
        <v>4293</v>
      </c>
      <c r="V787" t="s">
        <v>982</v>
      </c>
      <c r="W787" t="s">
        <v>66</v>
      </c>
      <c r="X787" t="s">
        <v>78</v>
      </c>
      <c r="Y787" t="s">
        <v>4294</v>
      </c>
      <c r="Z787" t="s">
        <v>182</v>
      </c>
      <c r="AA787" t="s">
        <v>984</v>
      </c>
      <c r="AB787" t="s">
        <v>984</v>
      </c>
      <c r="AC787" t="s">
        <v>82</v>
      </c>
      <c r="AD787" t="s">
        <v>83</v>
      </c>
      <c r="AE787" t="s">
        <v>66</v>
      </c>
      <c r="AF787" t="s">
        <v>876</v>
      </c>
    </row>
    <row r="788" spans="1:32">
      <c r="A788" t="s">
        <v>4295</v>
      </c>
      <c r="B788" t="s">
        <v>107</v>
      </c>
      <c r="C788" t="s">
        <v>4296</v>
      </c>
      <c r="D788" t="s">
        <v>4296</v>
      </c>
      <c r="E788" t="s">
        <v>109</v>
      </c>
      <c r="F788" t="s">
        <v>110</v>
      </c>
      <c r="G788" t="s">
        <v>111</v>
      </c>
      <c r="H788" t="s">
        <v>66</v>
      </c>
      <c r="I788" t="s">
        <v>66</v>
      </c>
      <c r="J788" t="s">
        <v>67</v>
      </c>
      <c r="K788" t="s">
        <v>71</v>
      </c>
      <c r="L788" t="s">
        <v>72</v>
      </c>
      <c r="M788" t="s">
        <v>73</v>
      </c>
      <c r="N788" t="s">
        <v>66</v>
      </c>
      <c r="O788" t="s">
        <v>73</v>
      </c>
      <c r="P788" t="s">
        <v>66</v>
      </c>
      <c r="Q788" t="s">
        <v>979</v>
      </c>
      <c r="R788" t="s">
        <v>73</v>
      </c>
      <c r="S788" t="s">
        <v>979</v>
      </c>
      <c r="T788" t="s">
        <v>4297</v>
      </c>
      <c r="U788" t="s">
        <v>4298</v>
      </c>
      <c r="V788" t="s">
        <v>982</v>
      </c>
      <c r="W788" t="s">
        <v>66</v>
      </c>
      <c r="X788" t="s">
        <v>78</v>
      </c>
      <c r="Y788" t="s">
        <v>4299</v>
      </c>
      <c r="Z788" t="s">
        <v>182</v>
      </c>
      <c r="AA788" t="s">
        <v>984</v>
      </c>
      <c r="AB788" t="s">
        <v>984</v>
      </c>
      <c r="AC788" t="s">
        <v>82</v>
      </c>
      <c r="AD788" t="s">
        <v>83</v>
      </c>
      <c r="AE788" t="s">
        <v>66</v>
      </c>
      <c r="AF788" t="s">
        <v>876</v>
      </c>
    </row>
    <row r="789" spans="1:32">
      <c r="A789" t="s">
        <v>4300</v>
      </c>
      <c r="B789" t="s">
        <v>162</v>
      </c>
      <c r="C789" t="s">
        <v>4301</v>
      </c>
      <c r="D789" t="s">
        <v>66</v>
      </c>
      <c r="E789" t="s">
        <v>67</v>
      </c>
      <c r="F789" t="s">
        <v>164</v>
      </c>
      <c r="G789" t="s">
        <v>165</v>
      </c>
      <c r="H789" t="s">
        <v>66</v>
      </c>
      <c r="I789" t="s">
        <v>66</v>
      </c>
      <c r="J789" t="s">
        <v>67</v>
      </c>
      <c r="K789" t="s">
        <v>71</v>
      </c>
      <c r="L789" t="s">
        <v>72</v>
      </c>
      <c r="M789" t="s">
        <v>73</v>
      </c>
      <c r="N789" t="s">
        <v>66</v>
      </c>
      <c r="O789" t="s">
        <v>73</v>
      </c>
      <c r="P789" t="s">
        <v>66</v>
      </c>
      <c r="Q789" t="s">
        <v>979</v>
      </c>
      <c r="R789" t="s">
        <v>73</v>
      </c>
      <c r="S789" t="s">
        <v>979</v>
      </c>
      <c r="T789" t="s">
        <v>4302</v>
      </c>
      <c r="U789" t="s">
        <v>4303</v>
      </c>
      <c r="V789" t="s">
        <v>982</v>
      </c>
      <c r="W789" t="s">
        <v>66</v>
      </c>
      <c r="X789" t="s">
        <v>78</v>
      </c>
      <c r="Y789" t="s">
        <v>4304</v>
      </c>
      <c r="Z789" t="s">
        <v>182</v>
      </c>
      <c r="AA789" t="s">
        <v>984</v>
      </c>
      <c r="AB789" t="s">
        <v>984</v>
      </c>
      <c r="AC789" t="s">
        <v>82</v>
      </c>
      <c r="AD789" t="s">
        <v>83</v>
      </c>
      <c r="AE789" t="s">
        <v>66</v>
      </c>
      <c r="AF789" t="s">
        <v>876</v>
      </c>
    </row>
    <row r="790" spans="1:32">
      <c r="A790" t="s">
        <v>4305</v>
      </c>
      <c r="B790" t="s">
        <v>162</v>
      </c>
      <c r="C790" t="s">
        <v>4306</v>
      </c>
      <c r="D790" t="s">
        <v>66</v>
      </c>
      <c r="E790" t="s">
        <v>67</v>
      </c>
      <c r="F790" t="s">
        <v>164</v>
      </c>
      <c r="G790" t="s">
        <v>165</v>
      </c>
      <c r="H790" t="s">
        <v>66</v>
      </c>
      <c r="I790" t="s">
        <v>66</v>
      </c>
      <c r="J790" t="s">
        <v>67</v>
      </c>
      <c r="K790" t="s">
        <v>71</v>
      </c>
      <c r="L790" t="s">
        <v>72</v>
      </c>
      <c r="M790" t="s">
        <v>73</v>
      </c>
      <c r="N790" t="s">
        <v>66</v>
      </c>
      <c r="O790" t="s">
        <v>73</v>
      </c>
      <c r="P790" t="s">
        <v>66</v>
      </c>
      <c r="Q790" t="s">
        <v>979</v>
      </c>
      <c r="R790" t="s">
        <v>73</v>
      </c>
      <c r="S790" t="s">
        <v>979</v>
      </c>
      <c r="T790" t="s">
        <v>4307</v>
      </c>
      <c r="U790" t="s">
        <v>4308</v>
      </c>
      <c r="V790" t="s">
        <v>982</v>
      </c>
      <c r="W790" t="s">
        <v>66</v>
      </c>
      <c r="X790" t="s">
        <v>78</v>
      </c>
      <c r="Y790" t="s">
        <v>4309</v>
      </c>
      <c r="Z790" t="s">
        <v>182</v>
      </c>
      <c r="AA790" t="s">
        <v>984</v>
      </c>
      <c r="AB790" t="s">
        <v>984</v>
      </c>
      <c r="AC790" t="s">
        <v>82</v>
      </c>
      <c r="AD790" t="s">
        <v>83</v>
      </c>
      <c r="AE790" t="s">
        <v>66</v>
      </c>
      <c r="AF790" t="s">
        <v>876</v>
      </c>
    </row>
    <row r="791" spans="1:32">
      <c r="A791" t="s">
        <v>4310</v>
      </c>
      <c r="B791" t="s">
        <v>308</v>
      </c>
      <c r="C791" t="s">
        <v>4311</v>
      </c>
      <c r="D791" t="s">
        <v>4311</v>
      </c>
      <c r="E791" t="s">
        <v>109</v>
      </c>
      <c r="F791" t="s">
        <v>68</v>
      </c>
      <c r="G791" t="s">
        <v>69</v>
      </c>
      <c r="H791" t="s">
        <v>66</v>
      </c>
      <c r="I791" t="s">
        <v>66</v>
      </c>
      <c r="J791" t="s">
        <v>67</v>
      </c>
      <c r="K791" t="s">
        <v>71</v>
      </c>
      <c r="L791" t="s">
        <v>72</v>
      </c>
      <c r="M791" t="s">
        <v>73</v>
      </c>
      <c r="N791" t="s">
        <v>66</v>
      </c>
      <c r="O791" t="s">
        <v>73</v>
      </c>
      <c r="P791" t="s">
        <v>66</v>
      </c>
      <c r="Q791" t="s">
        <v>979</v>
      </c>
      <c r="R791" t="s">
        <v>73</v>
      </c>
      <c r="S791" t="s">
        <v>979</v>
      </c>
      <c r="T791" t="s">
        <v>4312</v>
      </c>
      <c r="U791" t="s">
        <v>4313</v>
      </c>
      <c r="V791" t="s">
        <v>982</v>
      </c>
      <c r="W791" t="s">
        <v>66</v>
      </c>
      <c r="X791" t="s">
        <v>78</v>
      </c>
      <c r="Y791" t="s">
        <v>4314</v>
      </c>
      <c r="Z791" t="s">
        <v>182</v>
      </c>
      <c r="AA791" t="s">
        <v>984</v>
      </c>
      <c r="AB791" t="s">
        <v>984</v>
      </c>
      <c r="AC791" t="s">
        <v>82</v>
      </c>
      <c r="AD791" t="s">
        <v>83</v>
      </c>
      <c r="AE791" t="s">
        <v>66</v>
      </c>
      <c r="AF791" t="s">
        <v>876</v>
      </c>
    </row>
    <row r="792" spans="1:32">
      <c r="A792" t="s">
        <v>4315</v>
      </c>
      <c r="B792" t="s">
        <v>4316</v>
      </c>
      <c r="C792" t="s">
        <v>4317</v>
      </c>
      <c r="D792" t="s">
        <v>4317</v>
      </c>
      <c r="E792" t="s">
        <v>109</v>
      </c>
      <c r="F792" t="s">
        <v>68</v>
      </c>
      <c r="G792" t="s">
        <v>69</v>
      </c>
      <c r="H792" t="s">
        <v>66</v>
      </c>
      <c r="I792" t="s">
        <v>66</v>
      </c>
      <c r="J792" t="s">
        <v>67</v>
      </c>
      <c r="K792" t="s">
        <v>71</v>
      </c>
      <c r="L792" t="s">
        <v>72</v>
      </c>
      <c r="M792" t="s">
        <v>73</v>
      </c>
      <c r="N792" t="s">
        <v>66</v>
      </c>
      <c r="O792" t="s">
        <v>73</v>
      </c>
      <c r="P792" t="s">
        <v>66</v>
      </c>
      <c r="Q792" t="s">
        <v>979</v>
      </c>
      <c r="R792" t="s">
        <v>73</v>
      </c>
      <c r="S792" t="s">
        <v>979</v>
      </c>
      <c r="T792" t="s">
        <v>4318</v>
      </c>
      <c r="U792" t="s">
        <v>4319</v>
      </c>
      <c r="V792" t="s">
        <v>982</v>
      </c>
      <c r="W792" t="s">
        <v>66</v>
      </c>
      <c r="X792" t="s">
        <v>78</v>
      </c>
      <c r="Y792" t="s">
        <v>4320</v>
      </c>
      <c r="Z792" t="s">
        <v>182</v>
      </c>
      <c r="AA792" t="s">
        <v>984</v>
      </c>
      <c r="AB792" t="s">
        <v>984</v>
      </c>
      <c r="AC792" t="s">
        <v>82</v>
      </c>
      <c r="AD792" t="s">
        <v>83</v>
      </c>
      <c r="AE792" t="s">
        <v>66</v>
      </c>
      <c r="AF792" t="s">
        <v>876</v>
      </c>
    </row>
    <row r="793" spans="1:32">
      <c r="A793" t="s">
        <v>4321</v>
      </c>
      <c r="B793" t="s">
        <v>107</v>
      </c>
      <c r="C793" t="s">
        <v>4322</v>
      </c>
      <c r="D793" t="s">
        <v>4322</v>
      </c>
      <c r="E793" t="s">
        <v>109</v>
      </c>
      <c r="F793" t="s">
        <v>110</v>
      </c>
      <c r="G793" t="s">
        <v>111</v>
      </c>
      <c r="H793" t="s">
        <v>66</v>
      </c>
      <c r="I793" t="s">
        <v>66</v>
      </c>
      <c r="J793" t="s">
        <v>67</v>
      </c>
      <c r="K793" t="s">
        <v>71</v>
      </c>
      <c r="L793" t="s">
        <v>72</v>
      </c>
      <c r="M793" t="s">
        <v>73</v>
      </c>
      <c r="N793" t="s">
        <v>66</v>
      </c>
      <c r="O793" t="s">
        <v>73</v>
      </c>
      <c r="P793" t="s">
        <v>66</v>
      </c>
      <c r="Q793" t="s">
        <v>979</v>
      </c>
      <c r="R793" t="s">
        <v>73</v>
      </c>
      <c r="S793" t="s">
        <v>979</v>
      </c>
      <c r="T793" t="s">
        <v>4323</v>
      </c>
      <c r="U793" t="s">
        <v>4324</v>
      </c>
      <c r="V793" t="s">
        <v>982</v>
      </c>
      <c r="W793" t="s">
        <v>66</v>
      </c>
      <c r="X793" t="s">
        <v>78</v>
      </c>
      <c r="Y793" t="s">
        <v>4325</v>
      </c>
      <c r="Z793" t="s">
        <v>182</v>
      </c>
      <c r="AA793" t="s">
        <v>984</v>
      </c>
      <c r="AB793" t="s">
        <v>984</v>
      </c>
      <c r="AC793" t="s">
        <v>82</v>
      </c>
      <c r="AD793" t="s">
        <v>83</v>
      </c>
      <c r="AE793" t="s">
        <v>66</v>
      </c>
      <c r="AF793" t="s">
        <v>876</v>
      </c>
    </row>
    <row r="794" spans="1:32">
      <c r="A794" t="s">
        <v>4326</v>
      </c>
      <c r="B794" t="s">
        <v>162</v>
      </c>
      <c r="C794" t="s">
        <v>4327</v>
      </c>
      <c r="D794" t="s">
        <v>66</v>
      </c>
      <c r="E794" t="s">
        <v>67</v>
      </c>
      <c r="F794" t="s">
        <v>164</v>
      </c>
      <c r="G794" t="s">
        <v>165</v>
      </c>
      <c r="H794" t="s">
        <v>66</v>
      </c>
      <c r="I794" t="s">
        <v>66</v>
      </c>
      <c r="J794" t="s">
        <v>67</v>
      </c>
      <c r="K794" t="s">
        <v>71</v>
      </c>
      <c r="L794" t="s">
        <v>72</v>
      </c>
      <c r="M794" t="s">
        <v>73</v>
      </c>
      <c r="N794" t="s">
        <v>66</v>
      </c>
      <c r="O794" t="s">
        <v>73</v>
      </c>
      <c r="P794" t="s">
        <v>66</v>
      </c>
      <c r="Q794" t="s">
        <v>979</v>
      </c>
      <c r="R794" t="s">
        <v>73</v>
      </c>
      <c r="S794" t="s">
        <v>979</v>
      </c>
      <c r="T794" t="s">
        <v>4328</v>
      </c>
      <c r="U794" t="s">
        <v>4329</v>
      </c>
      <c r="V794" t="s">
        <v>982</v>
      </c>
      <c r="W794" t="s">
        <v>66</v>
      </c>
      <c r="X794" t="s">
        <v>78</v>
      </c>
      <c r="Y794" t="s">
        <v>4330</v>
      </c>
      <c r="Z794" t="s">
        <v>182</v>
      </c>
      <c r="AA794" t="s">
        <v>984</v>
      </c>
      <c r="AB794" t="s">
        <v>984</v>
      </c>
      <c r="AC794" t="s">
        <v>82</v>
      </c>
      <c r="AD794" t="s">
        <v>83</v>
      </c>
      <c r="AE794" t="s">
        <v>66</v>
      </c>
      <c r="AF794" t="s">
        <v>876</v>
      </c>
    </row>
    <row r="795" spans="1:32">
      <c r="A795" t="s">
        <v>4331</v>
      </c>
      <c r="B795" t="s">
        <v>162</v>
      </c>
      <c r="C795" t="s">
        <v>4332</v>
      </c>
      <c r="D795" t="s">
        <v>66</v>
      </c>
      <c r="E795" t="s">
        <v>67</v>
      </c>
      <c r="F795" t="s">
        <v>164</v>
      </c>
      <c r="G795" t="s">
        <v>165</v>
      </c>
      <c r="H795" t="s">
        <v>66</v>
      </c>
      <c r="I795" t="s">
        <v>66</v>
      </c>
      <c r="J795" t="s">
        <v>67</v>
      </c>
      <c r="K795" t="s">
        <v>71</v>
      </c>
      <c r="L795" t="s">
        <v>72</v>
      </c>
      <c r="M795" t="s">
        <v>73</v>
      </c>
      <c r="N795" t="s">
        <v>66</v>
      </c>
      <c r="O795" t="s">
        <v>73</v>
      </c>
      <c r="P795" t="s">
        <v>66</v>
      </c>
      <c r="Q795" t="s">
        <v>979</v>
      </c>
      <c r="R795" t="s">
        <v>73</v>
      </c>
      <c r="S795" t="s">
        <v>979</v>
      </c>
      <c r="T795" t="s">
        <v>4333</v>
      </c>
      <c r="U795" t="s">
        <v>4334</v>
      </c>
      <c r="V795" t="s">
        <v>982</v>
      </c>
      <c r="W795" t="s">
        <v>66</v>
      </c>
      <c r="X795" t="s">
        <v>78</v>
      </c>
      <c r="Y795" t="s">
        <v>4335</v>
      </c>
      <c r="Z795" t="s">
        <v>182</v>
      </c>
      <c r="AA795" t="s">
        <v>984</v>
      </c>
      <c r="AB795" t="s">
        <v>984</v>
      </c>
      <c r="AC795" t="s">
        <v>82</v>
      </c>
      <c r="AD795" t="s">
        <v>83</v>
      </c>
      <c r="AE795" t="s">
        <v>66</v>
      </c>
      <c r="AF795" t="s">
        <v>876</v>
      </c>
    </row>
    <row r="796" spans="1:32">
      <c r="A796" t="s">
        <v>4336</v>
      </c>
      <c r="B796" t="s">
        <v>107</v>
      </c>
      <c r="C796" t="s">
        <v>4337</v>
      </c>
      <c r="D796" t="s">
        <v>4337</v>
      </c>
      <c r="E796" t="s">
        <v>109</v>
      </c>
      <c r="F796" t="s">
        <v>110</v>
      </c>
      <c r="G796" t="s">
        <v>111</v>
      </c>
      <c r="H796" t="s">
        <v>66</v>
      </c>
      <c r="I796" t="s">
        <v>66</v>
      </c>
      <c r="J796" t="s">
        <v>67</v>
      </c>
      <c r="K796" t="s">
        <v>71</v>
      </c>
      <c r="L796" t="s">
        <v>72</v>
      </c>
      <c r="M796" t="s">
        <v>73</v>
      </c>
      <c r="N796" t="s">
        <v>66</v>
      </c>
      <c r="O796" t="s">
        <v>73</v>
      </c>
      <c r="P796" t="s">
        <v>66</v>
      </c>
      <c r="Q796" t="s">
        <v>979</v>
      </c>
      <c r="R796" t="s">
        <v>73</v>
      </c>
      <c r="S796" t="s">
        <v>979</v>
      </c>
      <c r="T796" t="s">
        <v>4338</v>
      </c>
      <c r="U796" t="s">
        <v>4339</v>
      </c>
      <c r="V796" t="s">
        <v>982</v>
      </c>
      <c r="W796" t="s">
        <v>66</v>
      </c>
      <c r="X796" t="s">
        <v>78</v>
      </c>
      <c r="Y796" t="s">
        <v>4340</v>
      </c>
      <c r="Z796" t="s">
        <v>182</v>
      </c>
      <c r="AA796" t="s">
        <v>984</v>
      </c>
      <c r="AB796" t="s">
        <v>984</v>
      </c>
      <c r="AC796" t="s">
        <v>82</v>
      </c>
      <c r="AD796" t="s">
        <v>83</v>
      </c>
      <c r="AE796" t="s">
        <v>66</v>
      </c>
      <c r="AF796" t="s">
        <v>876</v>
      </c>
    </row>
    <row r="797" spans="1:32">
      <c r="A797" t="s">
        <v>4341</v>
      </c>
      <c r="B797" t="s">
        <v>130</v>
      </c>
      <c r="C797" t="s">
        <v>4342</v>
      </c>
      <c r="D797" t="s">
        <v>4342</v>
      </c>
      <c r="E797" t="s">
        <v>109</v>
      </c>
      <c r="F797" t="s">
        <v>110</v>
      </c>
      <c r="G797" t="s">
        <v>111</v>
      </c>
      <c r="H797" t="s">
        <v>66</v>
      </c>
      <c r="I797" t="s">
        <v>66</v>
      </c>
      <c r="J797" t="s">
        <v>67</v>
      </c>
      <c r="K797" t="s">
        <v>71</v>
      </c>
      <c r="L797" t="s">
        <v>72</v>
      </c>
      <c r="M797" t="s">
        <v>73</v>
      </c>
      <c r="N797" t="s">
        <v>66</v>
      </c>
      <c r="O797" t="s">
        <v>73</v>
      </c>
      <c r="P797" t="s">
        <v>66</v>
      </c>
      <c r="Q797" t="s">
        <v>979</v>
      </c>
      <c r="R797" t="s">
        <v>73</v>
      </c>
      <c r="S797" t="s">
        <v>979</v>
      </c>
      <c r="T797" t="s">
        <v>4343</v>
      </c>
      <c r="U797" t="s">
        <v>4344</v>
      </c>
      <c r="V797" t="s">
        <v>982</v>
      </c>
      <c r="W797" t="s">
        <v>66</v>
      </c>
      <c r="X797" t="s">
        <v>78</v>
      </c>
      <c r="Y797" t="s">
        <v>4345</v>
      </c>
      <c r="Z797" t="s">
        <v>182</v>
      </c>
      <c r="AA797" t="s">
        <v>984</v>
      </c>
      <c r="AB797" t="s">
        <v>984</v>
      </c>
      <c r="AC797" t="s">
        <v>82</v>
      </c>
      <c r="AD797" t="s">
        <v>83</v>
      </c>
      <c r="AE797" t="s">
        <v>66</v>
      </c>
      <c r="AF797" t="s">
        <v>876</v>
      </c>
    </row>
    <row r="798" spans="1:32">
      <c r="A798" t="s">
        <v>4346</v>
      </c>
      <c r="B798" t="s">
        <v>1004</v>
      </c>
      <c r="C798" t="s">
        <v>4347</v>
      </c>
      <c r="D798" t="s">
        <v>66</v>
      </c>
      <c r="E798" t="s">
        <v>67</v>
      </c>
      <c r="F798" t="s">
        <v>68</v>
      </c>
      <c r="G798" t="s">
        <v>69</v>
      </c>
      <c r="H798" t="s">
        <v>66</v>
      </c>
      <c r="I798" t="s">
        <v>66</v>
      </c>
      <c r="J798" t="s">
        <v>67</v>
      </c>
      <c r="K798" t="s">
        <v>71</v>
      </c>
      <c r="L798" t="s">
        <v>72</v>
      </c>
      <c r="M798" t="s">
        <v>73</v>
      </c>
      <c r="N798" t="s">
        <v>66</v>
      </c>
      <c r="O798" t="s">
        <v>73</v>
      </c>
      <c r="P798" t="s">
        <v>66</v>
      </c>
      <c r="Q798" t="s">
        <v>979</v>
      </c>
      <c r="R798" t="s">
        <v>73</v>
      </c>
      <c r="S798" t="s">
        <v>979</v>
      </c>
      <c r="T798" t="s">
        <v>4348</v>
      </c>
      <c r="U798" t="s">
        <v>4349</v>
      </c>
      <c r="V798" t="s">
        <v>982</v>
      </c>
      <c r="W798" t="s">
        <v>66</v>
      </c>
      <c r="X798" t="s">
        <v>78</v>
      </c>
      <c r="Y798" t="s">
        <v>4350</v>
      </c>
      <c r="Z798" t="s">
        <v>182</v>
      </c>
      <c r="AA798" t="s">
        <v>984</v>
      </c>
      <c r="AB798" t="s">
        <v>984</v>
      </c>
      <c r="AC798" t="s">
        <v>82</v>
      </c>
      <c r="AD798" t="s">
        <v>83</v>
      </c>
      <c r="AE798" t="s">
        <v>66</v>
      </c>
      <c r="AF798" t="s">
        <v>876</v>
      </c>
    </row>
    <row r="799" spans="1:32">
      <c r="A799" t="s">
        <v>4351</v>
      </c>
      <c r="B799" t="s">
        <v>151</v>
      </c>
      <c r="C799" t="s">
        <v>4352</v>
      </c>
      <c r="D799" t="s">
        <v>66</v>
      </c>
      <c r="E799" t="s">
        <v>67</v>
      </c>
      <c r="F799" t="s">
        <v>68</v>
      </c>
      <c r="G799" t="s">
        <v>69</v>
      </c>
      <c r="H799" t="s">
        <v>66</v>
      </c>
      <c r="I799" t="s">
        <v>66</v>
      </c>
      <c r="J799" t="s">
        <v>67</v>
      </c>
      <c r="K799" t="s">
        <v>71</v>
      </c>
      <c r="L799" t="s">
        <v>72</v>
      </c>
      <c r="M799" t="s">
        <v>73</v>
      </c>
      <c r="N799" t="s">
        <v>66</v>
      </c>
      <c r="O799" t="s">
        <v>73</v>
      </c>
      <c r="P799" t="s">
        <v>66</v>
      </c>
      <c r="Q799" t="s">
        <v>979</v>
      </c>
      <c r="R799" t="s">
        <v>73</v>
      </c>
      <c r="S799" t="s">
        <v>979</v>
      </c>
      <c r="T799" t="s">
        <v>4353</v>
      </c>
      <c r="U799" t="s">
        <v>4354</v>
      </c>
      <c r="V799" t="s">
        <v>982</v>
      </c>
      <c r="W799" t="s">
        <v>66</v>
      </c>
      <c r="X799" t="s">
        <v>78</v>
      </c>
      <c r="Y799" t="s">
        <v>4355</v>
      </c>
      <c r="Z799" t="s">
        <v>182</v>
      </c>
      <c r="AA799" t="s">
        <v>984</v>
      </c>
      <c r="AB799" t="s">
        <v>984</v>
      </c>
      <c r="AC799" t="s">
        <v>82</v>
      </c>
      <c r="AD799" t="s">
        <v>83</v>
      </c>
      <c r="AE799" t="s">
        <v>66</v>
      </c>
      <c r="AF799" t="s">
        <v>876</v>
      </c>
    </row>
    <row r="800" spans="1:32">
      <c r="A800" t="s">
        <v>4356</v>
      </c>
      <c r="B800" t="s">
        <v>1064</v>
      </c>
      <c r="C800" t="s">
        <v>4357</v>
      </c>
      <c r="D800" t="s">
        <v>66</v>
      </c>
      <c r="E800" t="s">
        <v>67</v>
      </c>
      <c r="F800" t="s">
        <v>110</v>
      </c>
      <c r="G800" t="s">
        <v>111</v>
      </c>
      <c r="H800" t="s">
        <v>66</v>
      </c>
      <c r="I800" t="s">
        <v>66</v>
      </c>
      <c r="J800" t="s">
        <v>67</v>
      </c>
      <c r="K800" t="s">
        <v>71</v>
      </c>
      <c r="L800" t="s">
        <v>72</v>
      </c>
      <c r="M800" t="s">
        <v>73</v>
      </c>
      <c r="N800" t="s">
        <v>66</v>
      </c>
      <c r="O800" t="s">
        <v>73</v>
      </c>
      <c r="P800" t="s">
        <v>66</v>
      </c>
      <c r="Q800" t="s">
        <v>979</v>
      </c>
      <c r="R800" t="s">
        <v>73</v>
      </c>
      <c r="S800" t="s">
        <v>979</v>
      </c>
      <c r="T800" t="s">
        <v>4358</v>
      </c>
      <c r="U800" t="s">
        <v>4359</v>
      </c>
      <c r="V800" t="s">
        <v>982</v>
      </c>
      <c r="W800" t="s">
        <v>66</v>
      </c>
      <c r="X800" t="s">
        <v>78</v>
      </c>
      <c r="Y800" t="s">
        <v>4360</v>
      </c>
      <c r="Z800" t="s">
        <v>182</v>
      </c>
      <c r="AA800" t="s">
        <v>984</v>
      </c>
      <c r="AB800" t="s">
        <v>984</v>
      </c>
      <c r="AC800" t="s">
        <v>82</v>
      </c>
      <c r="AD800" t="s">
        <v>83</v>
      </c>
      <c r="AE800" t="s">
        <v>66</v>
      </c>
      <c r="AF800" t="s">
        <v>876</v>
      </c>
    </row>
    <row r="801" spans="1:32">
      <c r="A801" t="s">
        <v>4361</v>
      </c>
      <c r="B801" t="s">
        <v>121</v>
      </c>
      <c r="C801" t="s">
        <v>4362</v>
      </c>
      <c r="D801" t="s">
        <v>4362</v>
      </c>
      <c r="E801" t="s">
        <v>109</v>
      </c>
      <c r="F801" t="s">
        <v>110</v>
      </c>
      <c r="G801" t="s">
        <v>111</v>
      </c>
      <c r="H801" t="s">
        <v>66</v>
      </c>
      <c r="I801" t="s">
        <v>66</v>
      </c>
      <c r="J801" t="s">
        <v>67</v>
      </c>
      <c r="K801" t="s">
        <v>71</v>
      </c>
      <c r="L801" t="s">
        <v>72</v>
      </c>
      <c r="M801" t="s">
        <v>73</v>
      </c>
      <c r="N801" t="s">
        <v>66</v>
      </c>
      <c r="O801" t="s">
        <v>73</v>
      </c>
      <c r="P801" t="s">
        <v>66</v>
      </c>
      <c r="Q801" t="s">
        <v>979</v>
      </c>
      <c r="R801" t="s">
        <v>73</v>
      </c>
      <c r="S801" t="s">
        <v>979</v>
      </c>
      <c r="T801" t="s">
        <v>4363</v>
      </c>
      <c r="U801" t="s">
        <v>4364</v>
      </c>
      <c r="V801" t="s">
        <v>982</v>
      </c>
      <c r="W801" t="s">
        <v>66</v>
      </c>
      <c r="X801" t="s">
        <v>78</v>
      </c>
      <c r="Y801" t="s">
        <v>4365</v>
      </c>
      <c r="Z801" t="s">
        <v>182</v>
      </c>
      <c r="AA801" t="s">
        <v>984</v>
      </c>
      <c r="AB801" t="s">
        <v>984</v>
      </c>
      <c r="AC801" t="s">
        <v>82</v>
      </c>
      <c r="AD801" t="s">
        <v>83</v>
      </c>
      <c r="AE801" t="s">
        <v>66</v>
      </c>
      <c r="AF801" t="s">
        <v>876</v>
      </c>
    </row>
    <row r="802" spans="1:32">
      <c r="A802" t="s">
        <v>4366</v>
      </c>
      <c r="B802" t="s">
        <v>162</v>
      </c>
      <c r="C802" t="s">
        <v>4367</v>
      </c>
      <c r="D802" t="s">
        <v>66</v>
      </c>
      <c r="E802" t="s">
        <v>67</v>
      </c>
      <c r="F802" t="s">
        <v>164</v>
      </c>
      <c r="G802" t="s">
        <v>165</v>
      </c>
      <c r="H802" t="s">
        <v>66</v>
      </c>
      <c r="I802" t="s">
        <v>66</v>
      </c>
      <c r="J802" t="s">
        <v>67</v>
      </c>
      <c r="K802" t="s">
        <v>71</v>
      </c>
      <c r="L802" t="s">
        <v>72</v>
      </c>
      <c r="M802" t="s">
        <v>73</v>
      </c>
      <c r="N802" t="s">
        <v>66</v>
      </c>
      <c r="O802" t="s">
        <v>73</v>
      </c>
      <c r="P802" t="s">
        <v>66</v>
      </c>
      <c r="Q802" t="s">
        <v>979</v>
      </c>
      <c r="R802" t="s">
        <v>73</v>
      </c>
      <c r="S802" t="s">
        <v>979</v>
      </c>
      <c r="T802" t="s">
        <v>4368</v>
      </c>
      <c r="U802" t="s">
        <v>4369</v>
      </c>
      <c r="V802" t="s">
        <v>982</v>
      </c>
      <c r="W802" t="s">
        <v>66</v>
      </c>
      <c r="X802" t="s">
        <v>78</v>
      </c>
      <c r="Y802" t="s">
        <v>4370</v>
      </c>
      <c r="Z802" t="s">
        <v>182</v>
      </c>
      <c r="AA802" t="s">
        <v>984</v>
      </c>
      <c r="AB802" t="s">
        <v>984</v>
      </c>
      <c r="AC802" t="s">
        <v>82</v>
      </c>
      <c r="AD802" t="s">
        <v>83</v>
      </c>
      <c r="AE802" t="s">
        <v>66</v>
      </c>
      <c r="AF802" t="s">
        <v>876</v>
      </c>
    </row>
    <row r="803" spans="1:32">
      <c r="A803" t="s">
        <v>4371</v>
      </c>
      <c r="B803" t="s">
        <v>173</v>
      </c>
      <c r="C803" t="s">
        <v>4372</v>
      </c>
      <c r="D803" t="s">
        <v>66</v>
      </c>
      <c r="E803" t="s">
        <v>67</v>
      </c>
      <c r="F803" t="s">
        <v>175</v>
      </c>
      <c r="G803" t="s">
        <v>176</v>
      </c>
      <c r="H803" t="s">
        <v>66</v>
      </c>
      <c r="I803" t="s">
        <v>66</v>
      </c>
      <c r="J803" t="s">
        <v>67</v>
      </c>
      <c r="K803" t="s">
        <v>71</v>
      </c>
      <c r="L803" t="s">
        <v>72</v>
      </c>
      <c r="M803" t="s">
        <v>73</v>
      </c>
      <c r="N803" t="s">
        <v>66</v>
      </c>
      <c r="O803" t="s">
        <v>73</v>
      </c>
      <c r="P803" t="s">
        <v>66</v>
      </c>
      <c r="Q803" t="s">
        <v>979</v>
      </c>
      <c r="R803" t="s">
        <v>73</v>
      </c>
      <c r="S803" t="s">
        <v>979</v>
      </c>
      <c r="T803" t="s">
        <v>4373</v>
      </c>
      <c r="U803" t="s">
        <v>4374</v>
      </c>
      <c r="V803" t="s">
        <v>982</v>
      </c>
      <c r="W803" t="s">
        <v>66</v>
      </c>
      <c r="X803" t="s">
        <v>78</v>
      </c>
      <c r="Y803" t="s">
        <v>4375</v>
      </c>
      <c r="Z803" t="s">
        <v>182</v>
      </c>
      <c r="AA803" t="s">
        <v>984</v>
      </c>
      <c r="AB803" t="s">
        <v>984</v>
      </c>
      <c r="AC803" t="s">
        <v>82</v>
      </c>
      <c r="AD803" t="s">
        <v>83</v>
      </c>
      <c r="AE803" t="s">
        <v>66</v>
      </c>
      <c r="AF803" t="s">
        <v>876</v>
      </c>
    </row>
    <row r="804" spans="1:32">
      <c r="A804" t="s">
        <v>4376</v>
      </c>
      <c r="B804" t="s">
        <v>1319</v>
      </c>
      <c r="C804" t="s">
        <v>4377</v>
      </c>
      <c r="D804" t="s">
        <v>66</v>
      </c>
      <c r="E804" t="s">
        <v>67</v>
      </c>
      <c r="F804" t="s">
        <v>1321</v>
      </c>
      <c r="G804" t="s">
        <v>1322</v>
      </c>
      <c r="H804" t="s">
        <v>66</v>
      </c>
      <c r="I804" t="s">
        <v>66</v>
      </c>
      <c r="J804" t="s">
        <v>67</v>
      </c>
      <c r="K804" t="s">
        <v>71</v>
      </c>
      <c r="L804" t="s">
        <v>72</v>
      </c>
      <c r="M804" t="s">
        <v>73</v>
      </c>
      <c r="N804" t="s">
        <v>66</v>
      </c>
      <c r="O804" t="s">
        <v>73</v>
      </c>
      <c r="P804" t="s">
        <v>66</v>
      </c>
      <c r="Q804" t="s">
        <v>979</v>
      </c>
      <c r="R804" t="s">
        <v>73</v>
      </c>
      <c r="S804" t="s">
        <v>979</v>
      </c>
      <c r="T804" t="s">
        <v>4378</v>
      </c>
      <c r="U804" t="s">
        <v>4379</v>
      </c>
      <c r="V804" t="s">
        <v>982</v>
      </c>
      <c r="W804" t="s">
        <v>66</v>
      </c>
      <c r="X804" t="s">
        <v>78</v>
      </c>
      <c r="Y804" t="s">
        <v>4380</v>
      </c>
      <c r="Z804" t="s">
        <v>182</v>
      </c>
      <c r="AA804" t="s">
        <v>984</v>
      </c>
      <c r="AB804" t="s">
        <v>984</v>
      </c>
      <c r="AC804" t="s">
        <v>82</v>
      </c>
      <c r="AD804" t="s">
        <v>83</v>
      </c>
      <c r="AE804" t="s">
        <v>66</v>
      </c>
      <c r="AF804" t="s">
        <v>876</v>
      </c>
    </row>
    <row r="805" spans="1:32">
      <c r="A805" t="s">
        <v>4381</v>
      </c>
      <c r="B805" t="s">
        <v>162</v>
      </c>
      <c r="C805" t="s">
        <v>4382</v>
      </c>
      <c r="D805" t="s">
        <v>66</v>
      </c>
      <c r="E805" t="s">
        <v>67</v>
      </c>
      <c r="F805" t="s">
        <v>164</v>
      </c>
      <c r="G805" t="s">
        <v>165</v>
      </c>
      <c r="H805" t="s">
        <v>66</v>
      </c>
      <c r="I805" t="s">
        <v>66</v>
      </c>
      <c r="J805" t="s">
        <v>67</v>
      </c>
      <c r="K805" t="s">
        <v>71</v>
      </c>
      <c r="L805" t="s">
        <v>72</v>
      </c>
      <c r="M805" t="s">
        <v>73</v>
      </c>
      <c r="N805" t="s">
        <v>66</v>
      </c>
      <c r="O805" t="s">
        <v>73</v>
      </c>
      <c r="P805" t="s">
        <v>66</v>
      </c>
      <c r="Q805" t="s">
        <v>979</v>
      </c>
      <c r="R805" t="s">
        <v>73</v>
      </c>
      <c r="S805" t="s">
        <v>979</v>
      </c>
      <c r="T805" t="s">
        <v>4383</v>
      </c>
      <c r="U805" t="s">
        <v>4384</v>
      </c>
      <c r="V805" t="s">
        <v>982</v>
      </c>
      <c r="W805" t="s">
        <v>66</v>
      </c>
      <c r="X805" t="s">
        <v>78</v>
      </c>
      <c r="Y805" t="s">
        <v>4385</v>
      </c>
      <c r="Z805" t="s">
        <v>182</v>
      </c>
      <c r="AA805" t="s">
        <v>984</v>
      </c>
      <c r="AB805" t="s">
        <v>984</v>
      </c>
      <c r="AC805" t="s">
        <v>82</v>
      </c>
      <c r="AD805" t="s">
        <v>83</v>
      </c>
      <c r="AE805" t="s">
        <v>66</v>
      </c>
      <c r="AF805" t="s">
        <v>876</v>
      </c>
    </row>
    <row r="806" spans="1:32">
      <c r="A806" t="s">
        <v>4386</v>
      </c>
      <c r="B806" t="s">
        <v>1004</v>
      </c>
      <c r="C806" t="s">
        <v>4387</v>
      </c>
      <c r="D806" t="s">
        <v>66</v>
      </c>
      <c r="E806" t="s">
        <v>67</v>
      </c>
      <c r="F806" t="s">
        <v>68</v>
      </c>
      <c r="G806" t="s">
        <v>69</v>
      </c>
      <c r="H806" t="s">
        <v>66</v>
      </c>
      <c r="I806" t="s">
        <v>66</v>
      </c>
      <c r="J806" t="s">
        <v>67</v>
      </c>
      <c r="K806" t="s">
        <v>71</v>
      </c>
      <c r="L806" t="s">
        <v>72</v>
      </c>
      <c r="M806" t="s">
        <v>73</v>
      </c>
      <c r="N806" t="s">
        <v>66</v>
      </c>
      <c r="O806" t="s">
        <v>73</v>
      </c>
      <c r="P806" t="s">
        <v>66</v>
      </c>
      <c r="Q806" t="s">
        <v>979</v>
      </c>
      <c r="R806" t="s">
        <v>73</v>
      </c>
      <c r="S806" t="s">
        <v>979</v>
      </c>
      <c r="T806" t="s">
        <v>4388</v>
      </c>
      <c r="U806" t="s">
        <v>4389</v>
      </c>
      <c r="V806" t="s">
        <v>982</v>
      </c>
      <c r="W806" t="s">
        <v>66</v>
      </c>
      <c r="X806" t="s">
        <v>78</v>
      </c>
      <c r="Y806" t="s">
        <v>4390</v>
      </c>
      <c r="Z806" t="s">
        <v>182</v>
      </c>
      <c r="AA806" t="s">
        <v>984</v>
      </c>
      <c r="AB806" t="s">
        <v>984</v>
      </c>
      <c r="AC806" t="s">
        <v>82</v>
      </c>
      <c r="AD806" t="s">
        <v>83</v>
      </c>
      <c r="AE806" t="s">
        <v>66</v>
      </c>
      <c r="AF806" t="s">
        <v>876</v>
      </c>
    </row>
    <row r="807" spans="1:32">
      <c r="A807" t="s">
        <v>4391</v>
      </c>
      <c r="B807" t="s">
        <v>1004</v>
      </c>
      <c r="C807" t="s">
        <v>4392</v>
      </c>
      <c r="D807" t="s">
        <v>66</v>
      </c>
      <c r="E807" t="s">
        <v>67</v>
      </c>
      <c r="F807" t="s">
        <v>68</v>
      </c>
      <c r="G807" t="s">
        <v>69</v>
      </c>
      <c r="H807" t="s">
        <v>66</v>
      </c>
      <c r="I807" t="s">
        <v>66</v>
      </c>
      <c r="J807" t="s">
        <v>67</v>
      </c>
      <c r="K807" t="s">
        <v>71</v>
      </c>
      <c r="L807" t="s">
        <v>72</v>
      </c>
      <c r="M807" t="s">
        <v>73</v>
      </c>
      <c r="N807" t="s">
        <v>66</v>
      </c>
      <c r="O807" t="s">
        <v>73</v>
      </c>
      <c r="P807" t="s">
        <v>66</v>
      </c>
      <c r="Q807" t="s">
        <v>979</v>
      </c>
      <c r="R807" t="s">
        <v>73</v>
      </c>
      <c r="S807" t="s">
        <v>979</v>
      </c>
      <c r="T807" t="s">
        <v>4393</v>
      </c>
      <c r="U807" t="s">
        <v>4394</v>
      </c>
      <c r="V807" t="s">
        <v>982</v>
      </c>
      <c r="W807" t="s">
        <v>66</v>
      </c>
      <c r="X807" t="s">
        <v>78</v>
      </c>
      <c r="Y807" t="s">
        <v>4395</v>
      </c>
      <c r="Z807" t="s">
        <v>182</v>
      </c>
      <c r="AA807" t="s">
        <v>984</v>
      </c>
      <c r="AB807" t="s">
        <v>984</v>
      </c>
      <c r="AC807" t="s">
        <v>82</v>
      </c>
      <c r="AD807" t="s">
        <v>83</v>
      </c>
      <c r="AE807" t="s">
        <v>66</v>
      </c>
      <c r="AF807" t="s">
        <v>876</v>
      </c>
    </row>
    <row r="808" spans="1:32">
      <c r="A808" t="s">
        <v>4396</v>
      </c>
      <c r="B808" t="s">
        <v>308</v>
      </c>
      <c r="C808" t="s">
        <v>4397</v>
      </c>
      <c r="D808" t="s">
        <v>4397</v>
      </c>
      <c r="E808" t="s">
        <v>109</v>
      </c>
      <c r="F808" t="s">
        <v>68</v>
      </c>
      <c r="G808" t="s">
        <v>69</v>
      </c>
      <c r="H808" t="s">
        <v>66</v>
      </c>
      <c r="I808" t="s">
        <v>66</v>
      </c>
      <c r="J808" t="s">
        <v>67</v>
      </c>
      <c r="K808" t="s">
        <v>71</v>
      </c>
      <c r="L808" t="s">
        <v>72</v>
      </c>
      <c r="M808" t="s">
        <v>73</v>
      </c>
      <c r="N808" t="s">
        <v>66</v>
      </c>
      <c r="O808" t="s">
        <v>73</v>
      </c>
      <c r="P808" t="s">
        <v>66</v>
      </c>
      <c r="Q808" t="s">
        <v>979</v>
      </c>
      <c r="R808" t="s">
        <v>73</v>
      </c>
      <c r="S808" t="s">
        <v>979</v>
      </c>
      <c r="T808" t="s">
        <v>4398</v>
      </c>
      <c r="U808" t="s">
        <v>4399</v>
      </c>
      <c r="V808" t="s">
        <v>982</v>
      </c>
      <c r="W808" t="s">
        <v>66</v>
      </c>
      <c r="X808" t="s">
        <v>78</v>
      </c>
      <c r="Y808" t="s">
        <v>4400</v>
      </c>
      <c r="Z808" t="s">
        <v>182</v>
      </c>
      <c r="AA808" t="s">
        <v>984</v>
      </c>
      <c r="AB808" t="s">
        <v>984</v>
      </c>
      <c r="AC808" t="s">
        <v>82</v>
      </c>
      <c r="AD808" t="s">
        <v>83</v>
      </c>
      <c r="AE808" t="s">
        <v>66</v>
      </c>
      <c r="AF808" t="s">
        <v>876</v>
      </c>
    </row>
    <row r="809" spans="1:32">
      <c r="A809" t="s">
        <v>4401</v>
      </c>
      <c r="B809" t="s">
        <v>308</v>
      </c>
      <c r="C809" t="s">
        <v>4402</v>
      </c>
      <c r="D809" t="s">
        <v>4402</v>
      </c>
      <c r="E809" t="s">
        <v>109</v>
      </c>
      <c r="F809" t="s">
        <v>68</v>
      </c>
      <c r="G809" t="s">
        <v>69</v>
      </c>
      <c r="H809" t="s">
        <v>66</v>
      </c>
      <c r="I809" t="s">
        <v>66</v>
      </c>
      <c r="J809" t="s">
        <v>67</v>
      </c>
      <c r="K809" t="s">
        <v>71</v>
      </c>
      <c r="L809" t="s">
        <v>72</v>
      </c>
      <c r="M809" t="s">
        <v>73</v>
      </c>
      <c r="N809" t="s">
        <v>66</v>
      </c>
      <c r="O809" t="s">
        <v>73</v>
      </c>
      <c r="P809" t="s">
        <v>66</v>
      </c>
      <c r="Q809" t="s">
        <v>979</v>
      </c>
      <c r="R809" t="s">
        <v>73</v>
      </c>
      <c r="S809" t="s">
        <v>979</v>
      </c>
      <c r="T809" t="s">
        <v>4403</v>
      </c>
      <c r="U809" t="s">
        <v>4404</v>
      </c>
      <c r="V809" t="s">
        <v>982</v>
      </c>
      <c r="W809" t="s">
        <v>66</v>
      </c>
      <c r="X809" t="s">
        <v>78</v>
      </c>
      <c r="Y809" t="s">
        <v>4405</v>
      </c>
      <c r="Z809" t="s">
        <v>182</v>
      </c>
      <c r="AA809" t="s">
        <v>984</v>
      </c>
      <c r="AB809" t="s">
        <v>984</v>
      </c>
      <c r="AC809" t="s">
        <v>82</v>
      </c>
      <c r="AD809" t="s">
        <v>83</v>
      </c>
      <c r="AE809" t="s">
        <v>66</v>
      </c>
      <c r="AF809" t="s">
        <v>876</v>
      </c>
    </row>
    <row r="810" spans="1:32">
      <c r="A810" t="s">
        <v>4406</v>
      </c>
      <c r="B810" t="s">
        <v>986</v>
      </c>
      <c r="C810" t="s">
        <v>4407</v>
      </c>
      <c r="D810" t="s">
        <v>66</v>
      </c>
      <c r="E810" t="s">
        <v>67</v>
      </c>
      <c r="F810" t="s">
        <v>988</v>
      </c>
      <c r="G810" t="s">
        <v>989</v>
      </c>
      <c r="H810" t="s">
        <v>66</v>
      </c>
      <c r="I810" t="s">
        <v>66</v>
      </c>
      <c r="J810" t="s">
        <v>67</v>
      </c>
      <c r="K810" t="s">
        <v>71</v>
      </c>
      <c r="L810" t="s">
        <v>72</v>
      </c>
      <c r="M810" t="s">
        <v>73</v>
      </c>
      <c r="N810" t="s">
        <v>66</v>
      </c>
      <c r="O810" t="s">
        <v>73</v>
      </c>
      <c r="P810" t="s">
        <v>66</v>
      </c>
      <c r="Q810" t="s">
        <v>979</v>
      </c>
      <c r="R810" t="s">
        <v>73</v>
      </c>
      <c r="S810" t="s">
        <v>979</v>
      </c>
      <c r="T810" t="s">
        <v>4408</v>
      </c>
      <c r="U810" t="s">
        <v>4409</v>
      </c>
      <c r="V810" t="s">
        <v>982</v>
      </c>
      <c r="W810" t="s">
        <v>66</v>
      </c>
      <c r="X810" t="s">
        <v>78</v>
      </c>
      <c r="Y810" t="s">
        <v>4410</v>
      </c>
      <c r="Z810" t="s">
        <v>182</v>
      </c>
      <c r="AA810" t="s">
        <v>984</v>
      </c>
      <c r="AB810" t="s">
        <v>984</v>
      </c>
      <c r="AC810" t="s">
        <v>82</v>
      </c>
      <c r="AD810" t="s">
        <v>83</v>
      </c>
      <c r="AE810" t="s">
        <v>66</v>
      </c>
      <c r="AF810" t="s">
        <v>876</v>
      </c>
    </row>
    <row r="811" spans="1:32">
      <c r="A811" t="s">
        <v>4411</v>
      </c>
      <c r="B811" t="s">
        <v>1004</v>
      </c>
      <c r="C811" t="s">
        <v>4412</v>
      </c>
      <c r="D811" t="s">
        <v>66</v>
      </c>
      <c r="E811" t="s">
        <v>67</v>
      </c>
      <c r="F811" t="s">
        <v>68</v>
      </c>
      <c r="G811" t="s">
        <v>69</v>
      </c>
      <c r="H811" t="s">
        <v>66</v>
      </c>
      <c r="I811" t="s">
        <v>66</v>
      </c>
      <c r="J811" t="s">
        <v>67</v>
      </c>
      <c r="K811" t="s">
        <v>71</v>
      </c>
      <c r="L811" t="s">
        <v>72</v>
      </c>
      <c r="M811" t="s">
        <v>73</v>
      </c>
      <c r="N811" t="s">
        <v>66</v>
      </c>
      <c r="O811" t="s">
        <v>73</v>
      </c>
      <c r="P811" t="s">
        <v>66</v>
      </c>
      <c r="Q811" t="s">
        <v>979</v>
      </c>
      <c r="R811" t="s">
        <v>73</v>
      </c>
      <c r="S811" t="s">
        <v>979</v>
      </c>
      <c r="T811" t="s">
        <v>4413</v>
      </c>
      <c r="U811" t="s">
        <v>4414</v>
      </c>
      <c r="V811" t="s">
        <v>982</v>
      </c>
      <c r="W811" t="s">
        <v>66</v>
      </c>
      <c r="X811" t="s">
        <v>78</v>
      </c>
      <c r="Y811" t="s">
        <v>4415</v>
      </c>
      <c r="Z811" t="s">
        <v>182</v>
      </c>
      <c r="AA811" t="s">
        <v>984</v>
      </c>
      <c r="AB811" t="s">
        <v>984</v>
      </c>
      <c r="AC811" t="s">
        <v>82</v>
      </c>
      <c r="AD811" t="s">
        <v>83</v>
      </c>
      <c r="AE811" t="s">
        <v>66</v>
      </c>
      <c r="AF811" t="s">
        <v>876</v>
      </c>
    </row>
    <row r="812" spans="1:32">
      <c r="A812" t="s">
        <v>4416</v>
      </c>
      <c r="B812" t="s">
        <v>1123</v>
      </c>
      <c r="C812" t="s">
        <v>4417</v>
      </c>
      <c r="D812" t="s">
        <v>66</v>
      </c>
      <c r="E812" t="s">
        <v>67</v>
      </c>
      <c r="F812" t="s">
        <v>68</v>
      </c>
      <c r="G812" t="s">
        <v>69</v>
      </c>
      <c r="H812" t="s">
        <v>66</v>
      </c>
      <c r="I812" t="s">
        <v>66</v>
      </c>
      <c r="J812" t="s">
        <v>67</v>
      </c>
      <c r="K812" t="s">
        <v>71</v>
      </c>
      <c r="L812" t="s">
        <v>72</v>
      </c>
      <c r="M812" t="s">
        <v>73</v>
      </c>
      <c r="N812" t="s">
        <v>66</v>
      </c>
      <c r="O812" t="s">
        <v>73</v>
      </c>
      <c r="P812" t="s">
        <v>66</v>
      </c>
      <c r="Q812" t="s">
        <v>979</v>
      </c>
      <c r="R812" t="s">
        <v>73</v>
      </c>
      <c r="S812" t="s">
        <v>979</v>
      </c>
      <c r="T812" t="s">
        <v>4418</v>
      </c>
      <c r="U812" t="s">
        <v>4419</v>
      </c>
      <c r="V812" t="s">
        <v>982</v>
      </c>
      <c r="W812" t="s">
        <v>66</v>
      </c>
      <c r="X812" t="s">
        <v>78</v>
      </c>
      <c r="Y812" t="s">
        <v>4420</v>
      </c>
      <c r="Z812" t="s">
        <v>182</v>
      </c>
      <c r="AA812" t="s">
        <v>984</v>
      </c>
      <c r="AB812" t="s">
        <v>984</v>
      </c>
      <c r="AC812" t="s">
        <v>82</v>
      </c>
      <c r="AD812" t="s">
        <v>83</v>
      </c>
      <c r="AE812" t="s">
        <v>66</v>
      </c>
      <c r="AF812" t="s">
        <v>876</v>
      </c>
    </row>
    <row r="813" spans="1:32">
      <c r="A813" t="s">
        <v>4421</v>
      </c>
      <c r="B813" t="s">
        <v>162</v>
      </c>
      <c r="C813" t="s">
        <v>4422</v>
      </c>
      <c r="D813" t="s">
        <v>66</v>
      </c>
      <c r="E813" t="s">
        <v>67</v>
      </c>
      <c r="F813" t="s">
        <v>164</v>
      </c>
      <c r="G813" t="s">
        <v>165</v>
      </c>
      <c r="H813" t="s">
        <v>66</v>
      </c>
      <c r="I813" t="s">
        <v>66</v>
      </c>
      <c r="J813" t="s">
        <v>67</v>
      </c>
      <c r="K813" t="s">
        <v>71</v>
      </c>
      <c r="L813" t="s">
        <v>72</v>
      </c>
      <c r="M813" t="s">
        <v>73</v>
      </c>
      <c r="N813" t="s">
        <v>66</v>
      </c>
      <c r="O813" t="s">
        <v>73</v>
      </c>
      <c r="P813" t="s">
        <v>66</v>
      </c>
      <c r="Q813" t="s">
        <v>979</v>
      </c>
      <c r="R813" t="s">
        <v>73</v>
      </c>
      <c r="S813" t="s">
        <v>979</v>
      </c>
      <c r="T813" t="s">
        <v>4423</v>
      </c>
      <c r="U813" t="s">
        <v>4424</v>
      </c>
      <c r="V813" t="s">
        <v>982</v>
      </c>
      <c r="W813" t="s">
        <v>66</v>
      </c>
      <c r="X813" t="s">
        <v>78</v>
      </c>
      <c r="Y813" t="s">
        <v>4425</v>
      </c>
      <c r="Z813" t="s">
        <v>182</v>
      </c>
      <c r="AA813" t="s">
        <v>984</v>
      </c>
      <c r="AB813" t="s">
        <v>984</v>
      </c>
      <c r="AC813" t="s">
        <v>82</v>
      </c>
      <c r="AD813" t="s">
        <v>83</v>
      </c>
      <c r="AE813" t="s">
        <v>66</v>
      </c>
      <c r="AF813" t="s">
        <v>876</v>
      </c>
    </row>
    <row r="814" spans="1:32">
      <c r="A814" t="s">
        <v>4426</v>
      </c>
      <c r="B814" t="s">
        <v>841</v>
      </c>
      <c r="C814" t="s">
        <v>4427</v>
      </c>
      <c r="D814" t="s">
        <v>4427</v>
      </c>
      <c r="E814" t="s">
        <v>109</v>
      </c>
      <c r="F814" t="s">
        <v>110</v>
      </c>
      <c r="G814" t="s">
        <v>111</v>
      </c>
      <c r="H814" t="s">
        <v>66</v>
      </c>
      <c r="I814" t="s">
        <v>66</v>
      </c>
      <c r="J814" t="s">
        <v>67</v>
      </c>
      <c r="K814" t="s">
        <v>71</v>
      </c>
      <c r="L814" t="s">
        <v>72</v>
      </c>
      <c r="M814" t="s">
        <v>73</v>
      </c>
      <c r="N814" t="s">
        <v>66</v>
      </c>
      <c r="O814" t="s">
        <v>73</v>
      </c>
      <c r="P814" t="s">
        <v>66</v>
      </c>
      <c r="Q814" t="s">
        <v>979</v>
      </c>
      <c r="R814" t="s">
        <v>73</v>
      </c>
      <c r="S814" t="s">
        <v>979</v>
      </c>
      <c r="T814" t="s">
        <v>4428</v>
      </c>
      <c r="U814" t="s">
        <v>4429</v>
      </c>
      <c r="V814" t="s">
        <v>982</v>
      </c>
      <c r="W814" t="s">
        <v>66</v>
      </c>
      <c r="X814" t="s">
        <v>78</v>
      </c>
      <c r="Y814" t="s">
        <v>4430</v>
      </c>
      <c r="Z814" t="s">
        <v>182</v>
      </c>
      <c r="AA814" t="s">
        <v>984</v>
      </c>
      <c r="AB814" t="s">
        <v>984</v>
      </c>
      <c r="AC814" t="s">
        <v>82</v>
      </c>
      <c r="AD814" t="s">
        <v>83</v>
      </c>
      <c r="AE814" t="s">
        <v>66</v>
      </c>
      <c r="AF814" t="s">
        <v>876</v>
      </c>
    </row>
    <row r="815" spans="1:32">
      <c r="A815" t="s">
        <v>4431</v>
      </c>
      <c r="B815" t="s">
        <v>1229</v>
      </c>
      <c r="C815" t="s">
        <v>4432</v>
      </c>
      <c r="D815" t="s">
        <v>66</v>
      </c>
      <c r="E815" t="s">
        <v>67</v>
      </c>
      <c r="F815" t="s">
        <v>68</v>
      </c>
      <c r="G815" t="s">
        <v>69</v>
      </c>
      <c r="H815" t="s">
        <v>66</v>
      </c>
      <c r="I815" t="s">
        <v>66</v>
      </c>
      <c r="J815" t="s">
        <v>67</v>
      </c>
      <c r="K815" t="s">
        <v>71</v>
      </c>
      <c r="L815" t="s">
        <v>72</v>
      </c>
      <c r="M815" t="s">
        <v>73</v>
      </c>
      <c r="N815" t="s">
        <v>66</v>
      </c>
      <c r="O815" t="s">
        <v>73</v>
      </c>
      <c r="P815" t="s">
        <v>66</v>
      </c>
      <c r="Q815" t="s">
        <v>979</v>
      </c>
      <c r="R815" t="s">
        <v>73</v>
      </c>
      <c r="S815" t="s">
        <v>979</v>
      </c>
      <c r="T815" t="s">
        <v>4433</v>
      </c>
      <c r="U815" t="s">
        <v>4434</v>
      </c>
      <c r="V815" t="s">
        <v>982</v>
      </c>
      <c r="W815" t="s">
        <v>66</v>
      </c>
      <c r="X815" t="s">
        <v>78</v>
      </c>
      <c r="Y815" t="s">
        <v>4435</v>
      </c>
      <c r="Z815" t="s">
        <v>182</v>
      </c>
      <c r="AA815" t="s">
        <v>984</v>
      </c>
      <c r="AB815" t="s">
        <v>984</v>
      </c>
      <c r="AC815" t="s">
        <v>82</v>
      </c>
      <c r="AD815" t="s">
        <v>83</v>
      </c>
      <c r="AE815" t="s">
        <v>66</v>
      </c>
      <c r="AF815" t="s">
        <v>876</v>
      </c>
    </row>
    <row r="816" spans="1:32">
      <c r="A816" t="s">
        <v>4436</v>
      </c>
      <c r="B816" t="s">
        <v>162</v>
      </c>
      <c r="C816" t="s">
        <v>4437</v>
      </c>
      <c r="D816" t="s">
        <v>66</v>
      </c>
      <c r="E816" t="s">
        <v>67</v>
      </c>
      <c r="F816" t="s">
        <v>164</v>
      </c>
      <c r="G816" t="s">
        <v>165</v>
      </c>
      <c r="H816" t="s">
        <v>66</v>
      </c>
      <c r="I816" t="s">
        <v>66</v>
      </c>
      <c r="J816" t="s">
        <v>67</v>
      </c>
      <c r="K816" t="s">
        <v>71</v>
      </c>
      <c r="L816" t="s">
        <v>72</v>
      </c>
      <c r="M816" t="s">
        <v>73</v>
      </c>
      <c r="N816" t="s">
        <v>66</v>
      </c>
      <c r="O816" t="s">
        <v>73</v>
      </c>
      <c r="P816" t="s">
        <v>66</v>
      </c>
      <c r="Q816" t="s">
        <v>979</v>
      </c>
      <c r="R816" t="s">
        <v>73</v>
      </c>
      <c r="S816" t="s">
        <v>979</v>
      </c>
      <c r="T816" t="s">
        <v>4438</v>
      </c>
      <c r="U816" t="s">
        <v>4439</v>
      </c>
      <c r="V816" t="s">
        <v>982</v>
      </c>
      <c r="W816" t="s">
        <v>66</v>
      </c>
      <c r="X816" t="s">
        <v>78</v>
      </c>
      <c r="Y816" t="s">
        <v>4440</v>
      </c>
      <c r="Z816" t="s">
        <v>182</v>
      </c>
      <c r="AA816" t="s">
        <v>984</v>
      </c>
      <c r="AB816" t="s">
        <v>984</v>
      </c>
      <c r="AC816" t="s">
        <v>82</v>
      </c>
      <c r="AD816" t="s">
        <v>83</v>
      </c>
      <c r="AE816" t="s">
        <v>66</v>
      </c>
      <c r="AF816" t="s">
        <v>876</v>
      </c>
    </row>
    <row r="817" spans="1:32">
      <c r="A817" t="s">
        <v>4441</v>
      </c>
      <c r="B817" t="s">
        <v>841</v>
      </c>
      <c r="C817" t="s">
        <v>4442</v>
      </c>
      <c r="D817" t="s">
        <v>4442</v>
      </c>
      <c r="E817" t="s">
        <v>109</v>
      </c>
      <c r="F817" t="s">
        <v>110</v>
      </c>
      <c r="G817" t="s">
        <v>111</v>
      </c>
      <c r="H817" t="s">
        <v>66</v>
      </c>
      <c r="I817" t="s">
        <v>66</v>
      </c>
      <c r="J817" t="s">
        <v>67</v>
      </c>
      <c r="K817" t="s">
        <v>71</v>
      </c>
      <c r="L817" t="s">
        <v>72</v>
      </c>
      <c r="M817" t="s">
        <v>73</v>
      </c>
      <c r="N817" t="s">
        <v>66</v>
      </c>
      <c r="O817" t="s">
        <v>73</v>
      </c>
      <c r="P817" t="s">
        <v>66</v>
      </c>
      <c r="Q817" t="s">
        <v>979</v>
      </c>
      <c r="R817" t="s">
        <v>73</v>
      </c>
      <c r="S817" t="s">
        <v>979</v>
      </c>
      <c r="T817" t="s">
        <v>4443</v>
      </c>
      <c r="U817" t="s">
        <v>4444</v>
      </c>
      <c r="V817" t="s">
        <v>982</v>
      </c>
      <c r="W817" t="s">
        <v>66</v>
      </c>
      <c r="X817" t="s">
        <v>78</v>
      </c>
      <c r="Y817" t="s">
        <v>4445</v>
      </c>
      <c r="Z817" t="s">
        <v>182</v>
      </c>
      <c r="AA817" t="s">
        <v>984</v>
      </c>
      <c r="AB817" t="s">
        <v>984</v>
      </c>
      <c r="AC817" t="s">
        <v>82</v>
      </c>
      <c r="AD817" t="s">
        <v>83</v>
      </c>
      <c r="AE817" t="s">
        <v>66</v>
      </c>
      <c r="AF817" t="s">
        <v>876</v>
      </c>
    </row>
    <row r="818" spans="1:32">
      <c r="A818" t="s">
        <v>4446</v>
      </c>
      <c r="B818" t="s">
        <v>841</v>
      </c>
      <c r="C818" t="s">
        <v>4447</v>
      </c>
      <c r="D818" t="s">
        <v>4447</v>
      </c>
      <c r="E818" t="s">
        <v>109</v>
      </c>
      <c r="F818" t="s">
        <v>110</v>
      </c>
      <c r="G818" t="s">
        <v>111</v>
      </c>
      <c r="H818" t="s">
        <v>66</v>
      </c>
      <c r="I818" t="s">
        <v>66</v>
      </c>
      <c r="J818" t="s">
        <v>67</v>
      </c>
      <c r="K818" t="s">
        <v>71</v>
      </c>
      <c r="L818" t="s">
        <v>72</v>
      </c>
      <c r="M818" t="s">
        <v>73</v>
      </c>
      <c r="N818" t="s">
        <v>66</v>
      </c>
      <c r="O818" t="s">
        <v>73</v>
      </c>
      <c r="P818" t="s">
        <v>66</v>
      </c>
      <c r="Q818" t="s">
        <v>979</v>
      </c>
      <c r="R818" t="s">
        <v>73</v>
      </c>
      <c r="S818" t="s">
        <v>979</v>
      </c>
      <c r="T818" t="s">
        <v>4448</v>
      </c>
      <c r="U818" t="s">
        <v>4449</v>
      </c>
      <c r="V818" t="s">
        <v>982</v>
      </c>
      <c r="W818" t="s">
        <v>66</v>
      </c>
      <c r="X818" t="s">
        <v>78</v>
      </c>
      <c r="Y818" t="s">
        <v>4450</v>
      </c>
      <c r="Z818" t="s">
        <v>182</v>
      </c>
      <c r="AA818" t="s">
        <v>984</v>
      </c>
      <c r="AB818" t="s">
        <v>984</v>
      </c>
      <c r="AC818" t="s">
        <v>82</v>
      </c>
      <c r="AD818" t="s">
        <v>83</v>
      </c>
      <c r="AE818" t="s">
        <v>66</v>
      </c>
      <c r="AF818" t="s">
        <v>876</v>
      </c>
    </row>
    <row r="819" spans="1:32">
      <c r="A819" t="s">
        <v>4451</v>
      </c>
      <c r="B819" t="s">
        <v>1004</v>
      </c>
      <c r="C819" t="s">
        <v>4452</v>
      </c>
      <c r="D819" t="s">
        <v>66</v>
      </c>
      <c r="E819" t="s">
        <v>67</v>
      </c>
      <c r="F819" t="s">
        <v>68</v>
      </c>
      <c r="G819" t="s">
        <v>69</v>
      </c>
      <c r="H819" t="s">
        <v>66</v>
      </c>
      <c r="I819" t="s">
        <v>66</v>
      </c>
      <c r="J819" t="s">
        <v>67</v>
      </c>
      <c r="K819" t="s">
        <v>71</v>
      </c>
      <c r="L819" t="s">
        <v>72</v>
      </c>
      <c r="M819" t="s">
        <v>73</v>
      </c>
      <c r="N819" t="s">
        <v>66</v>
      </c>
      <c r="O819" t="s">
        <v>73</v>
      </c>
      <c r="P819" t="s">
        <v>66</v>
      </c>
      <c r="Q819" t="s">
        <v>979</v>
      </c>
      <c r="R819" t="s">
        <v>73</v>
      </c>
      <c r="S819" t="s">
        <v>979</v>
      </c>
      <c r="T819" t="s">
        <v>4453</v>
      </c>
      <c r="U819" t="s">
        <v>4454</v>
      </c>
      <c r="V819" t="s">
        <v>982</v>
      </c>
      <c r="W819" t="s">
        <v>66</v>
      </c>
      <c r="X819" t="s">
        <v>78</v>
      </c>
      <c r="Y819" t="s">
        <v>4455</v>
      </c>
      <c r="Z819" t="s">
        <v>182</v>
      </c>
      <c r="AA819" t="s">
        <v>984</v>
      </c>
      <c r="AB819" t="s">
        <v>984</v>
      </c>
      <c r="AC819" t="s">
        <v>82</v>
      </c>
      <c r="AD819" t="s">
        <v>83</v>
      </c>
      <c r="AE819" t="s">
        <v>66</v>
      </c>
      <c r="AF819" t="s">
        <v>876</v>
      </c>
    </row>
    <row r="820" spans="1:32">
      <c r="A820" t="s">
        <v>4456</v>
      </c>
      <c r="B820" t="s">
        <v>841</v>
      </c>
      <c r="C820" t="s">
        <v>4457</v>
      </c>
      <c r="D820" t="s">
        <v>4457</v>
      </c>
      <c r="E820" t="s">
        <v>109</v>
      </c>
      <c r="F820" t="s">
        <v>110</v>
      </c>
      <c r="G820" t="s">
        <v>111</v>
      </c>
      <c r="H820" t="s">
        <v>66</v>
      </c>
      <c r="I820" t="s">
        <v>66</v>
      </c>
      <c r="J820" t="s">
        <v>67</v>
      </c>
      <c r="K820" t="s">
        <v>71</v>
      </c>
      <c r="L820" t="s">
        <v>72</v>
      </c>
      <c r="M820" t="s">
        <v>73</v>
      </c>
      <c r="N820" t="s">
        <v>66</v>
      </c>
      <c r="O820" t="s">
        <v>73</v>
      </c>
      <c r="P820" t="s">
        <v>66</v>
      </c>
      <c r="Q820" t="s">
        <v>979</v>
      </c>
      <c r="R820" t="s">
        <v>73</v>
      </c>
      <c r="S820" t="s">
        <v>979</v>
      </c>
      <c r="T820" t="s">
        <v>4458</v>
      </c>
      <c r="U820" t="s">
        <v>4459</v>
      </c>
      <c r="V820" t="s">
        <v>982</v>
      </c>
      <c r="W820" t="s">
        <v>66</v>
      </c>
      <c r="X820" t="s">
        <v>78</v>
      </c>
      <c r="Y820" t="s">
        <v>4460</v>
      </c>
      <c r="Z820" t="s">
        <v>182</v>
      </c>
      <c r="AA820" t="s">
        <v>984</v>
      </c>
      <c r="AB820" t="s">
        <v>984</v>
      </c>
      <c r="AC820" t="s">
        <v>82</v>
      </c>
      <c r="AD820" t="s">
        <v>83</v>
      </c>
      <c r="AE820" t="s">
        <v>66</v>
      </c>
      <c r="AF820" t="s">
        <v>876</v>
      </c>
    </row>
    <row r="821" spans="1:32">
      <c r="A821" t="s">
        <v>4461</v>
      </c>
      <c r="B821" t="s">
        <v>151</v>
      </c>
      <c r="C821" t="s">
        <v>4462</v>
      </c>
      <c r="D821" t="s">
        <v>66</v>
      </c>
      <c r="E821" t="s">
        <v>67</v>
      </c>
      <c r="F821" t="s">
        <v>68</v>
      </c>
      <c r="G821" t="s">
        <v>69</v>
      </c>
      <c r="H821" t="s">
        <v>66</v>
      </c>
      <c r="I821" t="s">
        <v>66</v>
      </c>
      <c r="J821" t="s">
        <v>67</v>
      </c>
      <c r="K821" t="s">
        <v>71</v>
      </c>
      <c r="L821" t="s">
        <v>72</v>
      </c>
      <c r="M821" t="s">
        <v>73</v>
      </c>
      <c r="N821" t="s">
        <v>66</v>
      </c>
      <c r="O821" t="s">
        <v>73</v>
      </c>
      <c r="P821" t="s">
        <v>66</v>
      </c>
      <c r="Q821" t="s">
        <v>979</v>
      </c>
      <c r="R821" t="s">
        <v>73</v>
      </c>
      <c r="S821" t="s">
        <v>979</v>
      </c>
      <c r="T821" t="s">
        <v>4463</v>
      </c>
      <c r="U821" t="s">
        <v>4464</v>
      </c>
      <c r="V821" t="s">
        <v>982</v>
      </c>
      <c r="W821" t="s">
        <v>66</v>
      </c>
      <c r="X821" t="s">
        <v>78</v>
      </c>
      <c r="Y821" t="s">
        <v>4465</v>
      </c>
      <c r="Z821" t="s">
        <v>182</v>
      </c>
      <c r="AA821" t="s">
        <v>984</v>
      </c>
      <c r="AB821" t="s">
        <v>984</v>
      </c>
      <c r="AC821" t="s">
        <v>82</v>
      </c>
      <c r="AD821" t="s">
        <v>83</v>
      </c>
      <c r="AE821" t="s">
        <v>66</v>
      </c>
      <c r="AF821" t="s">
        <v>876</v>
      </c>
    </row>
    <row r="822" spans="1:32">
      <c r="A822" t="s">
        <v>4466</v>
      </c>
      <c r="B822" t="s">
        <v>2995</v>
      </c>
      <c r="C822" t="s">
        <v>4467</v>
      </c>
      <c r="D822" t="s">
        <v>4467</v>
      </c>
      <c r="E822" t="s">
        <v>109</v>
      </c>
      <c r="F822" t="s">
        <v>110</v>
      </c>
      <c r="G822" t="s">
        <v>111</v>
      </c>
      <c r="H822" t="s">
        <v>66</v>
      </c>
      <c r="I822" t="s">
        <v>66</v>
      </c>
      <c r="J822" t="s">
        <v>67</v>
      </c>
      <c r="K822" t="s">
        <v>71</v>
      </c>
      <c r="L822" t="s">
        <v>72</v>
      </c>
      <c r="M822" t="s">
        <v>73</v>
      </c>
      <c r="N822" t="s">
        <v>66</v>
      </c>
      <c r="O822" t="s">
        <v>73</v>
      </c>
      <c r="P822" t="s">
        <v>66</v>
      </c>
      <c r="Q822" t="s">
        <v>979</v>
      </c>
      <c r="R822" t="s">
        <v>73</v>
      </c>
      <c r="S822" t="s">
        <v>979</v>
      </c>
      <c r="T822" t="s">
        <v>4468</v>
      </c>
      <c r="U822" t="s">
        <v>4469</v>
      </c>
      <c r="V822" t="s">
        <v>982</v>
      </c>
      <c r="W822" t="s">
        <v>66</v>
      </c>
      <c r="X822" t="s">
        <v>78</v>
      </c>
      <c r="Y822" t="s">
        <v>4470</v>
      </c>
      <c r="Z822" t="s">
        <v>182</v>
      </c>
      <c r="AA822" t="s">
        <v>984</v>
      </c>
      <c r="AB822" t="s">
        <v>984</v>
      </c>
      <c r="AC822" t="s">
        <v>82</v>
      </c>
      <c r="AD822" t="s">
        <v>83</v>
      </c>
      <c r="AE822" t="s">
        <v>66</v>
      </c>
      <c r="AF822" t="s">
        <v>876</v>
      </c>
    </row>
    <row r="823" spans="1:32">
      <c r="A823" t="s">
        <v>4471</v>
      </c>
      <c r="B823" t="s">
        <v>162</v>
      </c>
      <c r="C823" t="s">
        <v>4472</v>
      </c>
      <c r="D823" t="s">
        <v>66</v>
      </c>
      <c r="E823" t="s">
        <v>67</v>
      </c>
      <c r="F823" t="s">
        <v>164</v>
      </c>
      <c r="G823" t="s">
        <v>165</v>
      </c>
      <c r="H823" t="s">
        <v>66</v>
      </c>
      <c r="I823" t="s">
        <v>66</v>
      </c>
      <c r="J823" t="s">
        <v>67</v>
      </c>
      <c r="K823" t="s">
        <v>71</v>
      </c>
      <c r="L823" t="s">
        <v>72</v>
      </c>
      <c r="M823" t="s">
        <v>73</v>
      </c>
      <c r="N823" t="s">
        <v>66</v>
      </c>
      <c r="O823" t="s">
        <v>73</v>
      </c>
      <c r="P823" t="s">
        <v>66</v>
      </c>
      <c r="Q823" t="s">
        <v>979</v>
      </c>
      <c r="R823" t="s">
        <v>73</v>
      </c>
      <c r="S823" t="s">
        <v>979</v>
      </c>
      <c r="T823" t="s">
        <v>4473</v>
      </c>
      <c r="U823" t="s">
        <v>4474</v>
      </c>
      <c r="V823" t="s">
        <v>982</v>
      </c>
      <c r="W823" t="s">
        <v>66</v>
      </c>
      <c r="X823" t="s">
        <v>78</v>
      </c>
      <c r="Y823" t="s">
        <v>4475</v>
      </c>
      <c r="Z823" t="s">
        <v>182</v>
      </c>
      <c r="AA823" t="s">
        <v>984</v>
      </c>
      <c r="AB823" t="s">
        <v>984</v>
      </c>
      <c r="AC823" t="s">
        <v>82</v>
      </c>
      <c r="AD823" t="s">
        <v>83</v>
      </c>
      <c r="AE823" t="s">
        <v>66</v>
      </c>
      <c r="AF823" t="s">
        <v>876</v>
      </c>
    </row>
    <row r="824" spans="1:32">
      <c r="A824" t="s">
        <v>4476</v>
      </c>
      <c r="B824" t="s">
        <v>1004</v>
      </c>
      <c r="C824" t="s">
        <v>4477</v>
      </c>
      <c r="D824" t="s">
        <v>66</v>
      </c>
      <c r="E824" t="s">
        <v>67</v>
      </c>
      <c r="F824" t="s">
        <v>68</v>
      </c>
      <c r="G824" t="s">
        <v>69</v>
      </c>
      <c r="H824" t="s">
        <v>66</v>
      </c>
      <c r="I824" t="s">
        <v>66</v>
      </c>
      <c r="J824" t="s">
        <v>67</v>
      </c>
      <c r="K824" t="s">
        <v>71</v>
      </c>
      <c r="L824" t="s">
        <v>72</v>
      </c>
      <c r="M824" t="s">
        <v>73</v>
      </c>
      <c r="N824" t="s">
        <v>66</v>
      </c>
      <c r="O824" t="s">
        <v>73</v>
      </c>
      <c r="P824" t="s">
        <v>66</v>
      </c>
      <c r="Q824" t="s">
        <v>979</v>
      </c>
      <c r="R824" t="s">
        <v>73</v>
      </c>
      <c r="S824" t="s">
        <v>979</v>
      </c>
      <c r="T824" t="s">
        <v>4478</v>
      </c>
      <c r="U824" t="s">
        <v>4479</v>
      </c>
      <c r="V824" t="s">
        <v>982</v>
      </c>
      <c r="W824" t="s">
        <v>66</v>
      </c>
      <c r="X824" t="s">
        <v>78</v>
      </c>
      <c r="Y824" t="s">
        <v>4480</v>
      </c>
      <c r="Z824" t="s">
        <v>182</v>
      </c>
      <c r="AA824" t="s">
        <v>984</v>
      </c>
      <c r="AB824" t="s">
        <v>984</v>
      </c>
      <c r="AC824" t="s">
        <v>82</v>
      </c>
      <c r="AD824" t="s">
        <v>83</v>
      </c>
      <c r="AE824" t="s">
        <v>66</v>
      </c>
      <c r="AF824" t="s">
        <v>876</v>
      </c>
    </row>
    <row r="825" spans="1:32">
      <c r="A825" t="s">
        <v>4481</v>
      </c>
      <c r="B825" t="s">
        <v>107</v>
      </c>
      <c r="C825" t="s">
        <v>4482</v>
      </c>
      <c r="D825" t="s">
        <v>4482</v>
      </c>
      <c r="E825" t="s">
        <v>109</v>
      </c>
      <c r="F825" t="s">
        <v>110</v>
      </c>
      <c r="G825" t="s">
        <v>111</v>
      </c>
      <c r="H825" t="s">
        <v>66</v>
      </c>
      <c r="I825" t="s">
        <v>66</v>
      </c>
      <c r="J825" t="s">
        <v>67</v>
      </c>
      <c r="K825" t="s">
        <v>71</v>
      </c>
      <c r="L825" t="s">
        <v>72</v>
      </c>
      <c r="M825" t="s">
        <v>73</v>
      </c>
      <c r="N825" t="s">
        <v>66</v>
      </c>
      <c r="O825" t="s">
        <v>73</v>
      </c>
      <c r="P825" t="s">
        <v>66</v>
      </c>
      <c r="Q825" t="s">
        <v>979</v>
      </c>
      <c r="R825" t="s">
        <v>73</v>
      </c>
      <c r="S825" t="s">
        <v>979</v>
      </c>
      <c r="T825" t="s">
        <v>4483</v>
      </c>
      <c r="U825" t="s">
        <v>4484</v>
      </c>
      <c r="V825" t="s">
        <v>982</v>
      </c>
      <c r="W825" t="s">
        <v>66</v>
      </c>
      <c r="X825" t="s">
        <v>78</v>
      </c>
      <c r="Y825" t="s">
        <v>4485</v>
      </c>
      <c r="Z825" t="s">
        <v>182</v>
      </c>
      <c r="AA825" t="s">
        <v>984</v>
      </c>
      <c r="AB825" t="s">
        <v>984</v>
      </c>
      <c r="AC825" t="s">
        <v>82</v>
      </c>
      <c r="AD825" t="s">
        <v>83</v>
      </c>
      <c r="AE825" t="s">
        <v>66</v>
      </c>
      <c r="AF825" t="s">
        <v>876</v>
      </c>
    </row>
    <row r="826" spans="1:32">
      <c r="A826" t="s">
        <v>4486</v>
      </c>
      <c r="B826" t="s">
        <v>130</v>
      </c>
      <c r="C826" t="s">
        <v>4487</v>
      </c>
      <c r="D826" t="s">
        <v>4487</v>
      </c>
      <c r="E826" t="s">
        <v>109</v>
      </c>
      <c r="F826" t="s">
        <v>110</v>
      </c>
      <c r="G826" t="s">
        <v>111</v>
      </c>
      <c r="H826" t="s">
        <v>66</v>
      </c>
      <c r="I826" t="s">
        <v>66</v>
      </c>
      <c r="J826" t="s">
        <v>67</v>
      </c>
      <c r="K826" t="s">
        <v>71</v>
      </c>
      <c r="L826" t="s">
        <v>72</v>
      </c>
      <c r="M826" t="s">
        <v>73</v>
      </c>
      <c r="N826" t="s">
        <v>66</v>
      </c>
      <c r="O826" t="s">
        <v>73</v>
      </c>
      <c r="P826" t="s">
        <v>66</v>
      </c>
      <c r="Q826" t="s">
        <v>979</v>
      </c>
      <c r="R826" t="s">
        <v>73</v>
      </c>
      <c r="S826" t="s">
        <v>979</v>
      </c>
      <c r="T826" t="s">
        <v>4488</v>
      </c>
      <c r="U826" t="s">
        <v>4489</v>
      </c>
      <c r="V826" t="s">
        <v>982</v>
      </c>
      <c r="W826" t="s">
        <v>66</v>
      </c>
      <c r="X826" t="s">
        <v>78</v>
      </c>
      <c r="Y826" t="s">
        <v>4490</v>
      </c>
      <c r="Z826" t="s">
        <v>182</v>
      </c>
      <c r="AA826" t="s">
        <v>984</v>
      </c>
      <c r="AB826" t="s">
        <v>984</v>
      </c>
      <c r="AC826" t="s">
        <v>82</v>
      </c>
      <c r="AD826" t="s">
        <v>83</v>
      </c>
      <c r="AE826" t="s">
        <v>66</v>
      </c>
      <c r="AF826" t="s">
        <v>876</v>
      </c>
    </row>
    <row r="827" spans="1:32">
      <c r="A827" t="s">
        <v>4491</v>
      </c>
      <c r="B827" t="s">
        <v>308</v>
      </c>
      <c r="C827" t="s">
        <v>4492</v>
      </c>
      <c r="D827" t="s">
        <v>4492</v>
      </c>
      <c r="E827" t="s">
        <v>109</v>
      </c>
      <c r="F827" t="s">
        <v>110</v>
      </c>
      <c r="G827" t="s">
        <v>111</v>
      </c>
      <c r="H827" t="s">
        <v>66</v>
      </c>
      <c r="I827" t="s">
        <v>66</v>
      </c>
      <c r="J827" t="s">
        <v>67</v>
      </c>
      <c r="K827" t="s">
        <v>71</v>
      </c>
      <c r="L827" t="s">
        <v>72</v>
      </c>
      <c r="M827" t="s">
        <v>73</v>
      </c>
      <c r="N827" t="s">
        <v>66</v>
      </c>
      <c r="O827" t="s">
        <v>73</v>
      </c>
      <c r="P827" t="s">
        <v>66</v>
      </c>
      <c r="Q827" t="s">
        <v>979</v>
      </c>
      <c r="R827" t="s">
        <v>73</v>
      </c>
      <c r="S827" t="s">
        <v>979</v>
      </c>
      <c r="T827" t="s">
        <v>4493</v>
      </c>
      <c r="U827" t="s">
        <v>4494</v>
      </c>
      <c r="V827" t="s">
        <v>982</v>
      </c>
      <c r="W827" t="s">
        <v>66</v>
      </c>
      <c r="X827" t="s">
        <v>78</v>
      </c>
      <c r="Y827" t="s">
        <v>4495</v>
      </c>
      <c r="Z827" t="s">
        <v>182</v>
      </c>
      <c r="AA827" t="s">
        <v>984</v>
      </c>
      <c r="AB827" t="s">
        <v>984</v>
      </c>
      <c r="AC827" t="s">
        <v>82</v>
      </c>
      <c r="AD827" t="s">
        <v>83</v>
      </c>
      <c r="AE827" t="s">
        <v>66</v>
      </c>
      <c r="AF827" t="s">
        <v>876</v>
      </c>
    </row>
    <row r="828" spans="1:32">
      <c r="A828" t="s">
        <v>4496</v>
      </c>
      <c r="B828" t="s">
        <v>130</v>
      </c>
      <c r="C828" t="s">
        <v>4497</v>
      </c>
      <c r="D828" t="s">
        <v>4497</v>
      </c>
      <c r="E828" t="s">
        <v>109</v>
      </c>
      <c r="F828" t="s">
        <v>110</v>
      </c>
      <c r="G828" t="s">
        <v>111</v>
      </c>
      <c r="H828" t="s">
        <v>66</v>
      </c>
      <c r="I828" t="s">
        <v>66</v>
      </c>
      <c r="J828" t="s">
        <v>67</v>
      </c>
      <c r="K828" t="s">
        <v>71</v>
      </c>
      <c r="L828" t="s">
        <v>72</v>
      </c>
      <c r="M828" t="s">
        <v>73</v>
      </c>
      <c r="N828" t="s">
        <v>66</v>
      </c>
      <c r="O828" t="s">
        <v>73</v>
      </c>
      <c r="P828" t="s">
        <v>66</v>
      </c>
      <c r="Q828" t="s">
        <v>979</v>
      </c>
      <c r="R828" t="s">
        <v>73</v>
      </c>
      <c r="S828" t="s">
        <v>979</v>
      </c>
      <c r="T828" t="s">
        <v>4498</v>
      </c>
      <c r="U828" t="s">
        <v>4499</v>
      </c>
      <c r="V828" t="s">
        <v>982</v>
      </c>
      <c r="W828" t="s">
        <v>66</v>
      </c>
      <c r="X828" t="s">
        <v>78</v>
      </c>
      <c r="Y828" t="s">
        <v>4500</v>
      </c>
      <c r="Z828" t="s">
        <v>182</v>
      </c>
      <c r="AA828" t="s">
        <v>984</v>
      </c>
      <c r="AB828" t="s">
        <v>984</v>
      </c>
      <c r="AC828" t="s">
        <v>82</v>
      </c>
      <c r="AD828" t="s">
        <v>83</v>
      </c>
      <c r="AE828" t="s">
        <v>66</v>
      </c>
      <c r="AF828" t="s">
        <v>876</v>
      </c>
    </row>
    <row r="829" spans="1:32">
      <c r="A829" t="s">
        <v>4501</v>
      </c>
      <c r="B829" t="s">
        <v>107</v>
      </c>
      <c r="C829" t="s">
        <v>4502</v>
      </c>
      <c r="D829" t="s">
        <v>4502</v>
      </c>
      <c r="E829" t="s">
        <v>109</v>
      </c>
      <c r="F829" t="s">
        <v>110</v>
      </c>
      <c r="G829" t="s">
        <v>111</v>
      </c>
      <c r="H829" t="s">
        <v>66</v>
      </c>
      <c r="I829" t="s">
        <v>66</v>
      </c>
      <c r="J829" t="s">
        <v>67</v>
      </c>
      <c r="K829" t="s">
        <v>71</v>
      </c>
      <c r="L829" t="s">
        <v>72</v>
      </c>
      <c r="M829" t="s">
        <v>73</v>
      </c>
      <c r="N829" t="s">
        <v>66</v>
      </c>
      <c r="O829" t="s">
        <v>73</v>
      </c>
      <c r="P829" t="s">
        <v>66</v>
      </c>
      <c r="Q829" t="s">
        <v>979</v>
      </c>
      <c r="R829" t="s">
        <v>73</v>
      </c>
      <c r="S829" t="s">
        <v>979</v>
      </c>
      <c r="T829" t="s">
        <v>4503</v>
      </c>
      <c r="U829" t="s">
        <v>4504</v>
      </c>
      <c r="V829" t="s">
        <v>982</v>
      </c>
      <c r="W829" t="s">
        <v>66</v>
      </c>
      <c r="X829" t="s">
        <v>78</v>
      </c>
      <c r="Y829" t="s">
        <v>4505</v>
      </c>
      <c r="Z829" t="s">
        <v>182</v>
      </c>
      <c r="AA829" t="s">
        <v>984</v>
      </c>
      <c r="AB829" t="s">
        <v>984</v>
      </c>
      <c r="AC829" t="s">
        <v>82</v>
      </c>
      <c r="AD829" t="s">
        <v>83</v>
      </c>
      <c r="AE829" t="s">
        <v>66</v>
      </c>
      <c r="AF829" t="s">
        <v>876</v>
      </c>
    </row>
    <row r="830" spans="1:32">
      <c r="A830" t="s">
        <v>4506</v>
      </c>
      <c r="B830" t="s">
        <v>841</v>
      </c>
      <c r="C830" t="s">
        <v>4507</v>
      </c>
      <c r="D830" t="s">
        <v>4507</v>
      </c>
      <c r="E830" t="s">
        <v>109</v>
      </c>
      <c r="F830" t="s">
        <v>110</v>
      </c>
      <c r="G830" t="s">
        <v>111</v>
      </c>
      <c r="H830" t="s">
        <v>66</v>
      </c>
      <c r="I830" t="s">
        <v>66</v>
      </c>
      <c r="J830" t="s">
        <v>67</v>
      </c>
      <c r="K830" t="s">
        <v>71</v>
      </c>
      <c r="L830" t="s">
        <v>72</v>
      </c>
      <c r="M830" t="s">
        <v>73</v>
      </c>
      <c r="N830" t="s">
        <v>66</v>
      </c>
      <c r="O830" t="s">
        <v>73</v>
      </c>
      <c r="P830" t="s">
        <v>66</v>
      </c>
      <c r="Q830" t="s">
        <v>979</v>
      </c>
      <c r="R830" t="s">
        <v>73</v>
      </c>
      <c r="S830" t="s">
        <v>979</v>
      </c>
      <c r="T830" t="s">
        <v>4508</v>
      </c>
      <c r="U830" t="s">
        <v>4509</v>
      </c>
      <c r="V830" t="s">
        <v>982</v>
      </c>
      <c r="W830" t="s">
        <v>66</v>
      </c>
      <c r="X830" t="s">
        <v>78</v>
      </c>
      <c r="Y830" t="s">
        <v>4510</v>
      </c>
      <c r="Z830" t="s">
        <v>182</v>
      </c>
      <c r="AA830" t="s">
        <v>984</v>
      </c>
      <c r="AB830" t="s">
        <v>984</v>
      </c>
      <c r="AC830" t="s">
        <v>82</v>
      </c>
      <c r="AD830" t="s">
        <v>83</v>
      </c>
      <c r="AE830" t="s">
        <v>66</v>
      </c>
      <c r="AF830" t="s">
        <v>876</v>
      </c>
    </row>
    <row r="831" spans="1:32">
      <c r="A831" t="s">
        <v>4511</v>
      </c>
      <c r="B831" t="s">
        <v>3499</v>
      </c>
      <c r="C831" t="s">
        <v>4512</v>
      </c>
      <c r="D831" t="s">
        <v>66</v>
      </c>
      <c r="E831" t="s">
        <v>67</v>
      </c>
      <c r="F831" t="s">
        <v>947</v>
      </c>
      <c r="G831" t="s">
        <v>948</v>
      </c>
      <c r="H831" t="s">
        <v>66</v>
      </c>
      <c r="I831" t="s">
        <v>66</v>
      </c>
      <c r="J831" t="s">
        <v>67</v>
      </c>
      <c r="K831" t="s">
        <v>71</v>
      </c>
      <c r="L831" t="s">
        <v>72</v>
      </c>
      <c r="M831" t="s">
        <v>73</v>
      </c>
      <c r="N831" t="s">
        <v>66</v>
      </c>
      <c r="O831" t="s">
        <v>73</v>
      </c>
      <c r="P831" t="s">
        <v>66</v>
      </c>
      <c r="Q831" t="s">
        <v>979</v>
      </c>
      <c r="R831" t="s">
        <v>73</v>
      </c>
      <c r="S831" t="s">
        <v>979</v>
      </c>
      <c r="T831" t="s">
        <v>4513</v>
      </c>
      <c r="U831" t="s">
        <v>4514</v>
      </c>
      <c r="V831" t="s">
        <v>982</v>
      </c>
      <c r="W831" t="s">
        <v>66</v>
      </c>
      <c r="X831" t="s">
        <v>78</v>
      </c>
      <c r="Y831" t="s">
        <v>4515</v>
      </c>
      <c r="Z831" t="s">
        <v>182</v>
      </c>
      <c r="AA831" t="s">
        <v>984</v>
      </c>
      <c r="AB831" t="s">
        <v>984</v>
      </c>
      <c r="AC831" t="s">
        <v>82</v>
      </c>
      <c r="AD831" t="s">
        <v>83</v>
      </c>
      <c r="AE831" t="s">
        <v>66</v>
      </c>
      <c r="AF831" t="s">
        <v>876</v>
      </c>
    </row>
    <row r="832" spans="1:32">
      <c r="A832" t="s">
        <v>4516</v>
      </c>
      <c r="B832" t="s">
        <v>151</v>
      </c>
      <c r="C832" t="s">
        <v>4517</v>
      </c>
      <c r="D832" t="s">
        <v>66</v>
      </c>
      <c r="E832" t="s">
        <v>67</v>
      </c>
      <c r="F832" t="s">
        <v>68</v>
      </c>
      <c r="G832" t="s">
        <v>69</v>
      </c>
      <c r="H832" t="s">
        <v>66</v>
      </c>
      <c r="I832" t="s">
        <v>66</v>
      </c>
      <c r="J832" t="s">
        <v>67</v>
      </c>
      <c r="K832" t="s">
        <v>71</v>
      </c>
      <c r="L832" t="s">
        <v>72</v>
      </c>
      <c r="M832" t="s">
        <v>73</v>
      </c>
      <c r="N832" t="s">
        <v>66</v>
      </c>
      <c r="O832" t="s">
        <v>73</v>
      </c>
      <c r="P832" t="s">
        <v>66</v>
      </c>
      <c r="Q832" t="s">
        <v>979</v>
      </c>
      <c r="R832" t="s">
        <v>73</v>
      </c>
      <c r="S832" t="s">
        <v>979</v>
      </c>
      <c r="T832" t="s">
        <v>4518</v>
      </c>
      <c r="U832" t="s">
        <v>4519</v>
      </c>
      <c r="V832" t="s">
        <v>982</v>
      </c>
      <c r="W832" t="s">
        <v>66</v>
      </c>
      <c r="X832" t="s">
        <v>78</v>
      </c>
      <c r="Y832" t="s">
        <v>4520</v>
      </c>
      <c r="Z832" t="s">
        <v>182</v>
      </c>
      <c r="AA832" t="s">
        <v>984</v>
      </c>
      <c r="AB832" t="s">
        <v>984</v>
      </c>
      <c r="AC832" t="s">
        <v>82</v>
      </c>
      <c r="AD832" t="s">
        <v>83</v>
      </c>
      <c r="AE832" t="s">
        <v>66</v>
      </c>
      <c r="AF832" t="s">
        <v>876</v>
      </c>
    </row>
    <row r="833" spans="1:32">
      <c r="A833" t="s">
        <v>4521</v>
      </c>
      <c r="B833" t="s">
        <v>162</v>
      </c>
      <c r="C833" t="s">
        <v>4522</v>
      </c>
      <c r="D833" t="s">
        <v>66</v>
      </c>
      <c r="E833" t="s">
        <v>67</v>
      </c>
      <c r="F833" t="s">
        <v>164</v>
      </c>
      <c r="G833" t="s">
        <v>165</v>
      </c>
      <c r="H833" t="s">
        <v>66</v>
      </c>
      <c r="I833" t="s">
        <v>66</v>
      </c>
      <c r="J833" t="s">
        <v>67</v>
      </c>
      <c r="K833" t="s">
        <v>71</v>
      </c>
      <c r="L833" t="s">
        <v>72</v>
      </c>
      <c r="M833" t="s">
        <v>73</v>
      </c>
      <c r="N833" t="s">
        <v>66</v>
      </c>
      <c r="O833" t="s">
        <v>73</v>
      </c>
      <c r="P833" t="s">
        <v>66</v>
      </c>
      <c r="Q833" t="s">
        <v>979</v>
      </c>
      <c r="R833" t="s">
        <v>73</v>
      </c>
      <c r="S833" t="s">
        <v>979</v>
      </c>
      <c r="T833" t="s">
        <v>4523</v>
      </c>
      <c r="U833" t="s">
        <v>4524</v>
      </c>
      <c r="V833" t="s">
        <v>982</v>
      </c>
      <c r="W833" t="s">
        <v>66</v>
      </c>
      <c r="X833" t="s">
        <v>78</v>
      </c>
      <c r="Y833" t="s">
        <v>4525</v>
      </c>
      <c r="Z833" t="s">
        <v>182</v>
      </c>
      <c r="AA833" t="s">
        <v>984</v>
      </c>
      <c r="AB833" t="s">
        <v>984</v>
      </c>
      <c r="AC833" t="s">
        <v>82</v>
      </c>
      <c r="AD833" t="s">
        <v>83</v>
      </c>
      <c r="AE833" t="s">
        <v>66</v>
      </c>
      <c r="AF833" t="s">
        <v>876</v>
      </c>
    </row>
    <row r="834" spans="1:32">
      <c r="A834" t="s">
        <v>4526</v>
      </c>
      <c r="B834" t="s">
        <v>162</v>
      </c>
      <c r="C834" t="s">
        <v>4527</v>
      </c>
      <c r="D834" t="s">
        <v>66</v>
      </c>
      <c r="E834" t="s">
        <v>67</v>
      </c>
      <c r="F834" t="s">
        <v>164</v>
      </c>
      <c r="G834" t="s">
        <v>165</v>
      </c>
      <c r="H834" t="s">
        <v>66</v>
      </c>
      <c r="I834" t="s">
        <v>66</v>
      </c>
      <c r="J834" t="s">
        <v>67</v>
      </c>
      <c r="K834" t="s">
        <v>71</v>
      </c>
      <c r="L834" t="s">
        <v>72</v>
      </c>
      <c r="M834" t="s">
        <v>73</v>
      </c>
      <c r="N834" t="s">
        <v>66</v>
      </c>
      <c r="O834" t="s">
        <v>73</v>
      </c>
      <c r="P834" t="s">
        <v>66</v>
      </c>
      <c r="Q834" t="s">
        <v>979</v>
      </c>
      <c r="R834" t="s">
        <v>73</v>
      </c>
      <c r="S834" t="s">
        <v>979</v>
      </c>
      <c r="T834" t="s">
        <v>4528</v>
      </c>
      <c r="U834" t="s">
        <v>4529</v>
      </c>
      <c r="V834" t="s">
        <v>982</v>
      </c>
      <c r="W834" t="s">
        <v>66</v>
      </c>
      <c r="X834" t="s">
        <v>78</v>
      </c>
      <c r="Y834" t="s">
        <v>4530</v>
      </c>
      <c r="Z834" t="s">
        <v>182</v>
      </c>
      <c r="AA834" t="s">
        <v>984</v>
      </c>
      <c r="AB834" t="s">
        <v>984</v>
      </c>
      <c r="AC834" t="s">
        <v>82</v>
      </c>
      <c r="AD834" t="s">
        <v>83</v>
      </c>
      <c r="AE834" t="s">
        <v>66</v>
      </c>
      <c r="AF834" t="s">
        <v>876</v>
      </c>
    </row>
    <row r="835" spans="1:32">
      <c r="A835" t="s">
        <v>4531</v>
      </c>
      <c r="B835" t="s">
        <v>308</v>
      </c>
      <c r="C835" t="s">
        <v>4532</v>
      </c>
      <c r="D835" t="s">
        <v>4532</v>
      </c>
      <c r="E835" t="s">
        <v>109</v>
      </c>
      <c r="F835" t="s">
        <v>110</v>
      </c>
      <c r="G835" t="s">
        <v>111</v>
      </c>
      <c r="H835" t="s">
        <v>66</v>
      </c>
      <c r="I835" t="s">
        <v>66</v>
      </c>
      <c r="J835" t="s">
        <v>67</v>
      </c>
      <c r="K835" t="s">
        <v>71</v>
      </c>
      <c r="L835" t="s">
        <v>72</v>
      </c>
      <c r="M835" t="s">
        <v>73</v>
      </c>
      <c r="N835" t="s">
        <v>66</v>
      </c>
      <c r="O835" t="s">
        <v>73</v>
      </c>
      <c r="P835" t="s">
        <v>66</v>
      </c>
      <c r="Q835" t="s">
        <v>979</v>
      </c>
      <c r="R835" t="s">
        <v>73</v>
      </c>
      <c r="S835" t="s">
        <v>979</v>
      </c>
      <c r="T835" t="s">
        <v>4533</v>
      </c>
      <c r="U835" t="s">
        <v>4534</v>
      </c>
      <c r="V835" t="s">
        <v>982</v>
      </c>
      <c r="W835" t="s">
        <v>66</v>
      </c>
      <c r="X835" t="s">
        <v>78</v>
      </c>
      <c r="Y835" t="s">
        <v>4535</v>
      </c>
      <c r="Z835" t="s">
        <v>182</v>
      </c>
      <c r="AA835" t="s">
        <v>984</v>
      </c>
      <c r="AB835" t="s">
        <v>984</v>
      </c>
      <c r="AC835" t="s">
        <v>82</v>
      </c>
      <c r="AD835" t="s">
        <v>83</v>
      </c>
      <c r="AE835" t="s">
        <v>66</v>
      </c>
      <c r="AF835" t="s">
        <v>876</v>
      </c>
    </row>
    <row r="836" spans="1:32">
      <c r="A836" t="s">
        <v>4536</v>
      </c>
      <c r="B836" t="s">
        <v>1463</v>
      </c>
      <c r="C836" t="s">
        <v>4537</v>
      </c>
      <c r="D836" t="s">
        <v>66</v>
      </c>
      <c r="E836" t="s">
        <v>67</v>
      </c>
      <c r="F836" t="s">
        <v>110</v>
      </c>
      <c r="G836" t="s">
        <v>111</v>
      </c>
      <c r="H836" t="s">
        <v>66</v>
      </c>
      <c r="I836" t="s">
        <v>66</v>
      </c>
      <c r="J836" t="s">
        <v>67</v>
      </c>
      <c r="K836" t="s">
        <v>71</v>
      </c>
      <c r="L836" t="s">
        <v>72</v>
      </c>
      <c r="M836" t="s">
        <v>73</v>
      </c>
      <c r="N836" t="s">
        <v>66</v>
      </c>
      <c r="O836" t="s">
        <v>73</v>
      </c>
      <c r="P836" t="s">
        <v>66</v>
      </c>
      <c r="Q836" t="s">
        <v>979</v>
      </c>
      <c r="R836" t="s">
        <v>73</v>
      </c>
      <c r="S836" t="s">
        <v>979</v>
      </c>
      <c r="T836" t="s">
        <v>4538</v>
      </c>
      <c r="U836" t="s">
        <v>4539</v>
      </c>
      <c r="V836" t="s">
        <v>982</v>
      </c>
      <c r="W836" t="s">
        <v>66</v>
      </c>
      <c r="X836" t="s">
        <v>78</v>
      </c>
      <c r="Y836" t="s">
        <v>4540</v>
      </c>
      <c r="Z836" t="s">
        <v>182</v>
      </c>
      <c r="AA836" t="s">
        <v>984</v>
      </c>
      <c r="AB836" t="s">
        <v>984</v>
      </c>
      <c r="AC836" t="s">
        <v>82</v>
      </c>
      <c r="AD836" t="s">
        <v>83</v>
      </c>
      <c r="AE836" t="s">
        <v>66</v>
      </c>
      <c r="AF836" t="s">
        <v>876</v>
      </c>
    </row>
    <row r="837" spans="1:32">
      <c r="A837" t="s">
        <v>4541</v>
      </c>
      <c r="B837" t="s">
        <v>1004</v>
      </c>
      <c r="C837" t="s">
        <v>4542</v>
      </c>
      <c r="D837" t="s">
        <v>66</v>
      </c>
      <c r="E837" t="s">
        <v>67</v>
      </c>
      <c r="F837" t="s">
        <v>68</v>
      </c>
      <c r="G837" t="s">
        <v>69</v>
      </c>
      <c r="H837" t="s">
        <v>66</v>
      </c>
      <c r="I837" t="s">
        <v>66</v>
      </c>
      <c r="J837" t="s">
        <v>67</v>
      </c>
      <c r="K837" t="s">
        <v>71</v>
      </c>
      <c r="L837" t="s">
        <v>72</v>
      </c>
      <c r="M837" t="s">
        <v>73</v>
      </c>
      <c r="N837" t="s">
        <v>66</v>
      </c>
      <c r="O837" t="s">
        <v>73</v>
      </c>
      <c r="P837" t="s">
        <v>66</v>
      </c>
      <c r="Q837" t="s">
        <v>979</v>
      </c>
      <c r="R837" t="s">
        <v>73</v>
      </c>
      <c r="S837" t="s">
        <v>979</v>
      </c>
      <c r="T837" t="s">
        <v>4543</v>
      </c>
      <c r="U837" t="s">
        <v>4544</v>
      </c>
      <c r="V837" t="s">
        <v>982</v>
      </c>
      <c r="W837" t="s">
        <v>66</v>
      </c>
      <c r="X837" t="s">
        <v>78</v>
      </c>
      <c r="Y837" t="s">
        <v>4545</v>
      </c>
      <c r="Z837" t="s">
        <v>182</v>
      </c>
      <c r="AA837" t="s">
        <v>984</v>
      </c>
      <c r="AB837" t="s">
        <v>984</v>
      </c>
      <c r="AC837" t="s">
        <v>82</v>
      </c>
      <c r="AD837" t="s">
        <v>83</v>
      </c>
      <c r="AE837" t="s">
        <v>66</v>
      </c>
      <c r="AF837" t="s">
        <v>876</v>
      </c>
    </row>
    <row r="838" spans="1:32">
      <c r="A838" t="s">
        <v>4546</v>
      </c>
      <c r="B838" t="s">
        <v>1101</v>
      </c>
      <c r="C838" t="s">
        <v>4547</v>
      </c>
      <c r="D838" t="s">
        <v>66</v>
      </c>
      <c r="E838" t="s">
        <v>67</v>
      </c>
      <c r="F838" t="s">
        <v>110</v>
      </c>
      <c r="G838" t="s">
        <v>111</v>
      </c>
      <c r="H838" t="s">
        <v>66</v>
      </c>
      <c r="I838" t="s">
        <v>66</v>
      </c>
      <c r="J838" t="s">
        <v>67</v>
      </c>
      <c r="K838" t="s">
        <v>71</v>
      </c>
      <c r="L838" t="s">
        <v>72</v>
      </c>
      <c r="M838" t="s">
        <v>73</v>
      </c>
      <c r="N838" t="s">
        <v>66</v>
      </c>
      <c r="O838" t="s">
        <v>73</v>
      </c>
      <c r="P838" t="s">
        <v>66</v>
      </c>
      <c r="Q838" t="s">
        <v>979</v>
      </c>
      <c r="R838" t="s">
        <v>73</v>
      </c>
      <c r="S838" t="s">
        <v>979</v>
      </c>
      <c r="T838" t="s">
        <v>4548</v>
      </c>
      <c r="U838" t="s">
        <v>4549</v>
      </c>
      <c r="V838" t="s">
        <v>982</v>
      </c>
      <c r="W838" t="s">
        <v>66</v>
      </c>
      <c r="X838" t="s">
        <v>78</v>
      </c>
      <c r="Y838" t="s">
        <v>4550</v>
      </c>
      <c r="Z838" t="s">
        <v>182</v>
      </c>
      <c r="AA838" t="s">
        <v>984</v>
      </c>
      <c r="AB838" t="s">
        <v>984</v>
      </c>
      <c r="AC838" t="s">
        <v>82</v>
      </c>
      <c r="AD838" t="s">
        <v>83</v>
      </c>
      <c r="AE838" t="s">
        <v>66</v>
      </c>
      <c r="AF838" t="s">
        <v>876</v>
      </c>
    </row>
    <row r="839" spans="1:32">
      <c r="A839" t="s">
        <v>4551</v>
      </c>
      <c r="B839" t="s">
        <v>4552</v>
      </c>
      <c r="C839" t="s">
        <v>4553</v>
      </c>
      <c r="D839" t="s">
        <v>4553</v>
      </c>
      <c r="E839" t="s">
        <v>109</v>
      </c>
      <c r="F839" t="s">
        <v>68</v>
      </c>
      <c r="G839" t="s">
        <v>69</v>
      </c>
      <c r="H839" t="s">
        <v>66</v>
      </c>
      <c r="I839" t="s">
        <v>66</v>
      </c>
      <c r="J839" t="s">
        <v>67</v>
      </c>
      <c r="K839" t="s">
        <v>71</v>
      </c>
      <c r="L839" t="s">
        <v>72</v>
      </c>
      <c r="M839" t="s">
        <v>73</v>
      </c>
      <c r="N839" t="s">
        <v>66</v>
      </c>
      <c r="O839" t="s">
        <v>73</v>
      </c>
      <c r="P839" t="s">
        <v>66</v>
      </c>
      <c r="Q839" t="s">
        <v>979</v>
      </c>
      <c r="R839" t="s">
        <v>73</v>
      </c>
      <c r="S839" t="s">
        <v>979</v>
      </c>
      <c r="T839" t="s">
        <v>4554</v>
      </c>
      <c r="U839" t="s">
        <v>4555</v>
      </c>
      <c r="V839" t="s">
        <v>982</v>
      </c>
      <c r="W839" t="s">
        <v>66</v>
      </c>
      <c r="X839" t="s">
        <v>78</v>
      </c>
      <c r="Y839" t="s">
        <v>4556</v>
      </c>
      <c r="Z839" t="s">
        <v>182</v>
      </c>
      <c r="AA839" t="s">
        <v>984</v>
      </c>
      <c r="AB839" t="s">
        <v>984</v>
      </c>
      <c r="AC839" t="s">
        <v>82</v>
      </c>
      <c r="AD839" t="s">
        <v>83</v>
      </c>
      <c r="AE839" t="s">
        <v>66</v>
      </c>
      <c r="AF839" t="s">
        <v>876</v>
      </c>
    </row>
    <row r="840" spans="1:32">
      <c r="A840" t="s">
        <v>4557</v>
      </c>
      <c r="B840" t="s">
        <v>162</v>
      </c>
      <c r="C840" t="s">
        <v>4558</v>
      </c>
      <c r="D840" t="s">
        <v>66</v>
      </c>
      <c r="E840" t="s">
        <v>67</v>
      </c>
      <c r="F840" t="s">
        <v>164</v>
      </c>
      <c r="G840" t="s">
        <v>165</v>
      </c>
      <c r="H840" t="s">
        <v>66</v>
      </c>
      <c r="I840" t="s">
        <v>66</v>
      </c>
      <c r="J840" t="s">
        <v>67</v>
      </c>
      <c r="K840" t="s">
        <v>71</v>
      </c>
      <c r="L840" t="s">
        <v>72</v>
      </c>
      <c r="M840" t="s">
        <v>73</v>
      </c>
      <c r="N840" t="s">
        <v>66</v>
      </c>
      <c r="O840" t="s">
        <v>73</v>
      </c>
      <c r="P840" t="s">
        <v>66</v>
      </c>
      <c r="Q840" t="s">
        <v>979</v>
      </c>
      <c r="R840" t="s">
        <v>73</v>
      </c>
      <c r="S840" t="s">
        <v>979</v>
      </c>
      <c r="T840" t="s">
        <v>4559</v>
      </c>
      <c r="U840" t="s">
        <v>4560</v>
      </c>
      <c r="V840" t="s">
        <v>982</v>
      </c>
      <c r="W840" t="s">
        <v>66</v>
      </c>
      <c r="X840" t="s">
        <v>78</v>
      </c>
      <c r="Y840" t="s">
        <v>4561</v>
      </c>
      <c r="Z840" t="s">
        <v>182</v>
      </c>
      <c r="AA840" t="s">
        <v>984</v>
      </c>
      <c r="AB840" t="s">
        <v>984</v>
      </c>
      <c r="AC840" t="s">
        <v>82</v>
      </c>
      <c r="AD840" t="s">
        <v>83</v>
      </c>
      <c r="AE840" t="s">
        <v>66</v>
      </c>
      <c r="AF840" t="s">
        <v>876</v>
      </c>
    </row>
    <row r="841" spans="1:32">
      <c r="A841" t="s">
        <v>4562</v>
      </c>
      <c r="B841" t="s">
        <v>308</v>
      </c>
      <c r="C841" t="s">
        <v>4563</v>
      </c>
      <c r="D841" t="s">
        <v>4563</v>
      </c>
      <c r="E841" t="s">
        <v>109</v>
      </c>
      <c r="F841" t="s">
        <v>110</v>
      </c>
      <c r="G841" t="s">
        <v>111</v>
      </c>
      <c r="H841" t="s">
        <v>66</v>
      </c>
      <c r="I841" t="s">
        <v>66</v>
      </c>
      <c r="J841" t="s">
        <v>67</v>
      </c>
      <c r="K841" t="s">
        <v>71</v>
      </c>
      <c r="L841" t="s">
        <v>72</v>
      </c>
      <c r="M841" t="s">
        <v>73</v>
      </c>
      <c r="N841" t="s">
        <v>66</v>
      </c>
      <c r="O841" t="s">
        <v>73</v>
      </c>
      <c r="P841" t="s">
        <v>66</v>
      </c>
      <c r="Q841" t="s">
        <v>979</v>
      </c>
      <c r="R841" t="s">
        <v>73</v>
      </c>
      <c r="S841" t="s">
        <v>979</v>
      </c>
      <c r="T841" t="s">
        <v>4564</v>
      </c>
      <c r="U841" t="s">
        <v>4565</v>
      </c>
      <c r="V841" t="s">
        <v>982</v>
      </c>
      <c r="W841" t="s">
        <v>66</v>
      </c>
      <c r="X841" t="s">
        <v>78</v>
      </c>
      <c r="Y841" t="s">
        <v>4566</v>
      </c>
      <c r="Z841" t="s">
        <v>182</v>
      </c>
      <c r="AA841" t="s">
        <v>984</v>
      </c>
      <c r="AB841" t="s">
        <v>984</v>
      </c>
      <c r="AC841" t="s">
        <v>82</v>
      </c>
      <c r="AD841" t="s">
        <v>83</v>
      </c>
      <c r="AE841" t="s">
        <v>66</v>
      </c>
      <c r="AF841" t="s">
        <v>876</v>
      </c>
    </row>
    <row r="842" spans="1:32">
      <c r="A842" t="s">
        <v>4567</v>
      </c>
      <c r="B842" t="s">
        <v>4568</v>
      </c>
      <c r="C842" t="s">
        <v>4569</v>
      </c>
      <c r="D842" t="s">
        <v>66</v>
      </c>
      <c r="E842" t="s">
        <v>67</v>
      </c>
      <c r="F842" t="s">
        <v>110</v>
      </c>
      <c r="G842" t="s">
        <v>111</v>
      </c>
      <c r="H842" t="s">
        <v>66</v>
      </c>
      <c r="I842" t="s">
        <v>66</v>
      </c>
      <c r="J842" t="s">
        <v>67</v>
      </c>
      <c r="K842" t="s">
        <v>71</v>
      </c>
      <c r="L842" t="s">
        <v>72</v>
      </c>
      <c r="M842" t="s">
        <v>73</v>
      </c>
      <c r="N842" t="s">
        <v>66</v>
      </c>
      <c r="O842" t="s">
        <v>73</v>
      </c>
      <c r="P842" t="s">
        <v>66</v>
      </c>
      <c r="Q842" t="s">
        <v>979</v>
      </c>
      <c r="R842" t="s">
        <v>73</v>
      </c>
      <c r="S842" t="s">
        <v>979</v>
      </c>
      <c r="T842" t="s">
        <v>4570</v>
      </c>
      <c r="U842" t="s">
        <v>4571</v>
      </c>
      <c r="V842" t="s">
        <v>982</v>
      </c>
      <c r="W842" t="s">
        <v>66</v>
      </c>
      <c r="X842" t="s">
        <v>78</v>
      </c>
      <c r="Y842" t="s">
        <v>4572</v>
      </c>
      <c r="Z842" t="s">
        <v>182</v>
      </c>
      <c r="AA842" t="s">
        <v>984</v>
      </c>
      <c r="AB842" t="s">
        <v>984</v>
      </c>
      <c r="AC842" t="s">
        <v>82</v>
      </c>
      <c r="AD842" t="s">
        <v>83</v>
      </c>
      <c r="AE842" t="s">
        <v>66</v>
      </c>
      <c r="AF842" t="s">
        <v>876</v>
      </c>
    </row>
    <row r="843" spans="1:32">
      <c r="A843" t="s">
        <v>4573</v>
      </c>
      <c r="B843" t="s">
        <v>1004</v>
      </c>
      <c r="C843" t="s">
        <v>4574</v>
      </c>
      <c r="D843" t="s">
        <v>66</v>
      </c>
      <c r="E843" t="s">
        <v>67</v>
      </c>
      <c r="F843" t="s">
        <v>68</v>
      </c>
      <c r="G843" t="s">
        <v>69</v>
      </c>
      <c r="H843" t="s">
        <v>66</v>
      </c>
      <c r="I843" t="s">
        <v>66</v>
      </c>
      <c r="J843" t="s">
        <v>67</v>
      </c>
      <c r="K843" t="s">
        <v>71</v>
      </c>
      <c r="L843" t="s">
        <v>72</v>
      </c>
      <c r="M843" t="s">
        <v>73</v>
      </c>
      <c r="N843" t="s">
        <v>66</v>
      </c>
      <c r="O843" t="s">
        <v>73</v>
      </c>
      <c r="P843" t="s">
        <v>66</v>
      </c>
      <c r="Q843" t="s">
        <v>979</v>
      </c>
      <c r="R843" t="s">
        <v>73</v>
      </c>
      <c r="S843" t="s">
        <v>979</v>
      </c>
      <c r="T843" t="s">
        <v>4575</v>
      </c>
      <c r="U843" t="s">
        <v>4576</v>
      </c>
      <c r="V843" t="s">
        <v>982</v>
      </c>
      <c r="W843" t="s">
        <v>66</v>
      </c>
      <c r="X843" t="s">
        <v>78</v>
      </c>
      <c r="Y843" t="s">
        <v>4577</v>
      </c>
      <c r="Z843" t="s">
        <v>182</v>
      </c>
      <c r="AA843" t="s">
        <v>984</v>
      </c>
      <c r="AB843" t="s">
        <v>984</v>
      </c>
      <c r="AC843" t="s">
        <v>82</v>
      </c>
      <c r="AD843" t="s">
        <v>83</v>
      </c>
      <c r="AE843" t="s">
        <v>66</v>
      </c>
      <c r="AF843" t="s">
        <v>876</v>
      </c>
    </row>
    <row r="844" spans="1:32">
      <c r="A844" t="s">
        <v>4578</v>
      </c>
      <c r="B844" t="s">
        <v>1004</v>
      </c>
      <c r="C844" t="s">
        <v>4579</v>
      </c>
      <c r="D844" t="s">
        <v>66</v>
      </c>
      <c r="E844" t="s">
        <v>67</v>
      </c>
      <c r="F844" t="s">
        <v>68</v>
      </c>
      <c r="G844" t="s">
        <v>69</v>
      </c>
      <c r="H844" t="s">
        <v>66</v>
      </c>
      <c r="I844" t="s">
        <v>66</v>
      </c>
      <c r="J844" t="s">
        <v>67</v>
      </c>
      <c r="K844" t="s">
        <v>71</v>
      </c>
      <c r="L844" t="s">
        <v>72</v>
      </c>
      <c r="M844" t="s">
        <v>73</v>
      </c>
      <c r="N844" t="s">
        <v>66</v>
      </c>
      <c r="O844" t="s">
        <v>73</v>
      </c>
      <c r="P844" t="s">
        <v>66</v>
      </c>
      <c r="Q844" t="s">
        <v>979</v>
      </c>
      <c r="R844" t="s">
        <v>73</v>
      </c>
      <c r="S844" t="s">
        <v>979</v>
      </c>
      <c r="T844" t="s">
        <v>4580</v>
      </c>
      <c r="U844" t="s">
        <v>4581</v>
      </c>
      <c r="V844" t="s">
        <v>982</v>
      </c>
      <c r="W844" t="s">
        <v>66</v>
      </c>
      <c r="X844" t="s">
        <v>78</v>
      </c>
      <c r="Y844" t="s">
        <v>4582</v>
      </c>
      <c r="Z844" t="s">
        <v>182</v>
      </c>
      <c r="AA844" t="s">
        <v>984</v>
      </c>
      <c r="AB844" t="s">
        <v>984</v>
      </c>
      <c r="AC844" t="s">
        <v>82</v>
      </c>
      <c r="AD844" t="s">
        <v>83</v>
      </c>
      <c r="AE844" t="s">
        <v>66</v>
      </c>
      <c r="AF844" t="s">
        <v>876</v>
      </c>
    </row>
    <row r="845" spans="1:32">
      <c r="A845" t="s">
        <v>4583</v>
      </c>
      <c r="B845" t="s">
        <v>986</v>
      </c>
      <c r="C845" t="s">
        <v>4584</v>
      </c>
      <c r="D845" t="s">
        <v>66</v>
      </c>
      <c r="E845" t="s">
        <v>67</v>
      </c>
      <c r="F845" t="s">
        <v>988</v>
      </c>
      <c r="G845" t="s">
        <v>989</v>
      </c>
      <c r="H845" t="s">
        <v>66</v>
      </c>
      <c r="I845" t="s">
        <v>66</v>
      </c>
      <c r="J845" t="s">
        <v>67</v>
      </c>
      <c r="K845" t="s">
        <v>71</v>
      </c>
      <c r="L845" t="s">
        <v>72</v>
      </c>
      <c r="M845" t="s">
        <v>73</v>
      </c>
      <c r="N845" t="s">
        <v>66</v>
      </c>
      <c r="O845" t="s">
        <v>73</v>
      </c>
      <c r="P845" t="s">
        <v>66</v>
      </c>
      <c r="Q845" t="s">
        <v>979</v>
      </c>
      <c r="R845" t="s">
        <v>73</v>
      </c>
      <c r="S845" t="s">
        <v>979</v>
      </c>
      <c r="T845" t="s">
        <v>4585</v>
      </c>
      <c r="U845" t="s">
        <v>4586</v>
      </c>
      <c r="V845" t="s">
        <v>982</v>
      </c>
      <c r="W845" t="s">
        <v>66</v>
      </c>
      <c r="X845" t="s">
        <v>78</v>
      </c>
      <c r="Y845" t="s">
        <v>4587</v>
      </c>
      <c r="Z845" t="s">
        <v>182</v>
      </c>
      <c r="AA845" t="s">
        <v>984</v>
      </c>
      <c r="AB845" t="s">
        <v>984</v>
      </c>
      <c r="AC845" t="s">
        <v>82</v>
      </c>
      <c r="AD845" t="s">
        <v>83</v>
      </c>
      <c r="AE845" t="s">
        <v>66</v>
      </c>
      <c r="AF845" t="s">
        <v>876</v>
      </c>
    </row>
    <row r="846" spans="1:32">
      <c r="A846" t="s">
        <v>4588</v>
      </c>
      <c r="B846" t="s">
        <v>1384</v>
      </c>
      <c r="C846" t="s">
        <v>4589</v>
      </c>
      <c r="D846" t="s">
        <v>66</v>
      </c>
      <c r="E846" t="s">
        <v>67</v>
      </c>
      <c r="F846" t="s">
        <v>68</v>
      </c>
      <c r="G846" t="s">
        <v>69</v>
      </c>
      <c r="H846" t="s">
        <v>66</v>
      </c>
      <c r="I846" t="s">
        <v>66</v>
      </c>
      <c r="J846" t="s">
        <v>67</v>
      </c>
      <c r="K846" t="s">
        <v>71</v>
      </c>
      <c r="L846" t="s">
        <v>72</v>
      </c>
      <c r="M846" t="s">
        <v>73</v>
      </c>
      <c r="N846" t="s">
        <v>66</v>
      </c>
      <c r="O846" t="s">
        <v>73</v>
      </c>
      <c r="P846" t="s">
        <v>66</v>
      </c>
      <c r="Q846" t="s">
        <v>979</v>
      </c>
      <c r="R846" t="s">
        <v>73</v>
      </c>
      <c r="S846" t="s">
        <v>979</v>
      </c>
      <c r="T846" t="s">
        <v>4590</v>
      </c>
      <c r="U846" t="s">
        <v>4591</v>
      </c>
      <c r="V846" t="s">
        <v>982</v>
      </c>
      <c r="W846" t="s">
        <v>66</v>
      </c>
      <c r="X846" t="s">
        <v>78</v>
      </c>
      <c r="Y846" t="s">
        <v>4592</v>
      </c>
      <c r="Z846" t="s">
        <v>182</v>
      </c>
      <c r="AA846" t="s">
        <v>984</v>
      </c>
      <c r="AB846" t="s">
        <v>984</v>
      </c>
      <c r="AC846" t="s">
        <v>82</v>
      </c>
      <c r="AD846" t="s">
        <v>83</v>
      </c>
      <c r="AE846" t="s">
        <v>66</v>
      </c>
      <c r="AF846" t="s">
        <v>876</v>
      </c>
    </row>
    <row r="847" spans="1:32">
      <c r="A847" t="s">
        <v>4593</v>
      </c>
      <c r="B847" t="s">
        <v>1101</v>
      </c>
      <c r="C847" t="s">
        <v>4594</v>
      </c>
      <c r="D847" t="s">
        <v>66</v>
      </c>
      <c r="E847" t="s">
        <v>67</v>
      </c>
      <c r="F847" t="s">
        <v>110</v>
      </c>
      <c r="G847" t="s">
        <v>111</v>
      </c>
      <c r="H847" t="s">
        <v>66</v>
      </c>
      <c r="I847" t="s">
        <v>66</v>
      </c>
      <c r="J847" t="s">
        <v>67</v>
      </c>
      <c r="K847" t="s">
        <v>71</v>
      </c>
      <c r="L847" t="s">
        <v>72</v>
      </c>
      <c r="M847" t="s">
        <v>73</v>
      </c>
      <c r="N847" t="s">
        <v>66</v>
      </c>
      <c r="O847" t="s">
        <v>73</v>
      </c>
      <c r="P847" t="s">
        <v>66</v>
      </c>
      <c r="Q847" t="s">
        <v>979</v>
      </c>
      <c r="R847" t="s">
        <v>73</v>
      </c>
      <c r="S847" t="s">
        <v>979</v>
      </c>
      <c r="T847" t="s">
        <v>4595</v>
      </c>
      <c r="U847" t="s">
        <v>4596</v>
      </c>
      <c r="V847" t="s">
        <v>982</v>
      </c>
      <c r="W847" t="s">
        <v>66</v>
      </c>
      <c r="X847" t="s">
        <v>78</v>
      </c>
      <c r="Y847" t="s">
        <v>4597</v>
      </c>
      <c r="Z847" t="s">
        <v>182</v>
      </c>
      <c r="AA847" t="s">
        <v>984</v>
      </c>
      <c r="AB847" t="s">
        <v>984</v>
      </c>
      <c r="AC847" t="s">
        <v>82</v>
      </c>
      <c r="AD847" t="s">
        <v>83</v>
      </c>
      <c r="AE847" t="s">
        <v>66</v>
      </c>
      <c r="AF847" t="s">
        <v>876</v>
      </c>
    </row>
    <row r="848" spans="1:32">
      <c r="A848" t="s">
        <v>4598</v>
      </c>
      <c r="B848" t="s">
        <v>308</v>
      </c>
      <c r="C848" t="s">
        <v>4599</v>
      </c>
      <c r="D848" t="s">
        <v>4599</v>
      </c>
      <c r="E848" t="s">
        <v>109</v>
      </c>
      <c r="F848" t="s">
        <v>68</v>
      </c>
      <c r="G848" t="s">
        <v>69</v>
      </c>
      <c r="H848" t="s">
        <v>66</v>
      </c>
      <c r="I848" t="s">
        <v>66</v>
      </c>
      <c r="J848" t="s">
        <v>67</v>
      </c>
      <c r="K848" t="s">
        <v>71</v>
      </c>
      <c r="L848" t="s">
        <v>72</v>
      </c>
      <c r="M848" t="s">
        <v>73</v>
      </c>
      <c r="N848" t="s">
        <v>66</v>
      </c>
      <c r="O848" t="s">
        <v>73</v>
      </c>
      <c r="P848" t="s">
        <v>66</v>
      </c>
      <c r="Q848" t="s">
        <v>979</v>
      </c>
      <c r="R848" t="s">
        <v>73</v>
      </c>
      <c r="S848" t="s">
        <v>979</v>
      </c>
      <c r="T848" t="s">
        <v>4600</v>
      </c>
      <c r="U848" t="s">
        <v>4601</v>
      </c>
      <c r="V848" t="s">
        <v>982</v>
      </c>
      <c r="W848" t="s">
        <v>66</v>
      </c>
      <c r="X848" t="s">
        <v>78</v>
      </c>
      <c r="Y848" t="s">
        <v>4602</v>
      </c>
      <c r="Z848" t="s">
        <v>182</v>
      </c>
      <c r="AA848" t="s">
        <v>984</v>
      </c>
      <c r="AB848" t="s">
        <v>984</v>
      </c>
      <c r="AC848" t="s">
        <v>82</v>
      </c>
      <c r="AD848" t="s">
        <v>83</v>
      </c>
      <c r="AE848" t="s">
        <v>66</v>
      </c>
      <c r="AF848" t="s">
        <v>876</v>
      </c>
    </row>
    <row r="849" spans="1:32">
      <c r="A849" t="s">
        <v>4603</v>
      </c>
      <c r="B849" t="s">
        <v>162</v>
      </c>
      <c r="C849" t="s">
        <v>4604</v>
      </c>
      <c r="D849" t="s">
        <v>66</v>
      </c>
      <c r="E849" t="s">
        <v>67</v>
      </c>
      <c r="F849" t="s">
        <v>164</v>
      </c>
      <c r="G849" t="s">
        <v>165</v>
      </c>
      <c r="H849" t="s">
        <v>66</v>
      </c>
      <c r="I849" t="s">
        <v>66</v>
      </c>
      <c r="J849" t="s">
        <v>67</v>
      </c>
      <c r="K849" t="s">
        <v>71</v>
      </c>
      <c r="L849" t="s">
        <v>72</v>
      </c>
      <c r="M849" t="s">
        <v>73</v>
      </c>
      <c r="N849" t="s">
        <v>66</v>
      </c>
      <c r="O849" t="s">
        <v>73</v>
      </c>
      <c r="P849" t="s">
        <v>66</v>
      </c>
      <c r="Q849" t="s">
        <v>979</v>
      </c>
      <c r="R849" t="s">
        <v>73</v>
      </c>
      <c r="S849" t="s">
        <v>979</v>
      </c>
      <c r="T849" t="s">
        <v>4605</v>
      </c>
      <c r="U849" t="s">
        <v>4606</v>
      </c>
      <c r="V849" t="s">
        <v>982</v>
      </c>
      <c r="W849" t="s">
        <v>66</v>
      </c>
      <c r="X849" t="s">
        <v>78</v>
      </c>
      <c r="Y849" t="s">
        <v>4607</v>
      </c>
      <c r="Z849" t="s">
        <v>182</v>
      </c>
      <c r="AA849" t="s">
        <v>984</v>
      </c>
      <c r="AB849" t="s">
        <v>984</v>
      </c>
      <c r="AC849" t="s">
        <v>82</v>
      </c>
      <c r="AD849" t="s">
        <v>83</v>
      </c>
      <c r="AE849" t="s">
        <v>66</v>
      </c>
      <c r="AF849" t="s">
        <v>876</v>
      </c>
    </row>
    <row r="850" spans="1:32">
      <c r="A850" t="s">
        <v>4608</v>
      </c>
      <c r="B850" t="s">
        <v>151</v>
      </c>
      <c r="C850" t="s">
        <v>4609</v>
      </c>
      <c r="D850" t="s">
        <v>66</v>
      </c>
      <c r="E850" t="s">
        <v>67</v>
      </c>
      <c r="F850" t="s">
        <v>68</v>
      </c>
      <c r="G850" t="s">
        <v>69</v>
      </c>
      <c r="H850" t="s">
        <v>66</v>
      </c>
      <c r="I850" t="s">
        <v>66</v>
      </c>
      <c r="J850" t="s">
        <v>67</v>
      </c>
      <c r="K850" t="s">
        <v>71</v>
      </c>
      <c r="L850" t="s">
        <v>72</v>
      </c>
      <c r="M850" t="s">
        <v>73</v>
      </c>
      <c r="N850" t="s">
        <v>66</v>
      </c>
      <c r="O850" t="s">
        <v>73</v>
      </c>
      <c r="P850" t="s">
        <v>66</v>
      </c>
      <c r="Q850" t="s">
        <v>979</v>
      </c>
      <c r="R850" t="s">
        <v>73</v>
      </c>
      <c r="S850" t="s">
        <v>979</v>
      </c>
      <c r="T850" t="s">
        <v>4610</v>
      </c>
      <c r="U850" t="s">
        <v>4611</v>
      </c>
      <c r="V850" t="s">
        <v>982</v>
      </c>
      <c r="W850" t="s">
        <v>66</v>
      </c>
      <c r="X850" t="s">
        <v>78</v>
      </c>
      <c r="Y850" t="s">
        <v>4612</v>
      </c>
      <c r="Z850" t="s">
        <v>182</v>
      </c>
      <c r="AA850" t="s">
        <v>984</v>
      </c>
      <c r="AB850" t="s">
        <v>984</v>
      </c>
      <c r="AC850" t="s">
        <v>82</v>
      </c>
      <c r="AD850" t="s">
        <v>83</v>
      </c>
      <c r="AE850" t="s">
        <v>66</v>
      </c>
      <c r="AF850" t="s">
        <v>876</v>
      </c>
    </row>
    <row r="851" spans="1:32">
      <c r="A851" t="s">
        <v>4613</v>
      </c>
      <c r="B851" t="s">
        <v>841</v>
      </c>
      <c r="C851" t="s">
        <v>4614</v>
      </c>
      <c r="D851" t="s">
        <v>4614</v>
      </c>
      <c r="E851" t="s">
        <v>109</v>
      </c>
      <c r="F851" t="s">
        <v>110</v>
      </c>
      <c r="G851" t="s">
        <v>111</v>
      </c>
      <c r="H851" t="s">
        <v>66</v>
      </c>
      <c r="I851" t="s">
        <v>66</v>
      </c>
      <c r="J851" t="s">
        <v>67</v>
      </c>
      <c r="K851" t="s">
        <v>71</v>
      </c>
      <c r="L851" t="s">
        <v>72</v>
      </c>
      <c r="M851" t="s">
        <v>73</v>
      </c>
      <c r="N851" t="s">
        <v>66</v>
      </c>
      <c r="O851" t="s">
        <v>73</v>
      </c>
      <c r="P851" t="s">
        <v>66</v>
      </c>
      <c r="Q851" t="s">
        <v>979</v>
      </c>
      <c r="R851" t="s">
        <v>73</v>
      </c>
      <c r="S851" t="s">
        <v>979</v>
      </c>
      <c r="T851" t="s">
        <v>4615</v>
      </c>
      <c r="U851" t="s">
        <v>4616</v>
      </c>
      <c r="V851" t="s">
        <v>982</v>
      </c>
      <c r="W851" t="s">
        <v>66</v>
      </c>
      <c r="X851" t="s">
        <v>78</v>
      </c>
      <c r="Y851" t="s">
        <v>4617</v>
      </c>
      <c r="Z851" t="s">
        <v>182</v>
      </c>
      <c r="AA851" t="s">
        <v>984</v>
      </c>
      <c r="AB851" t="s">
        <v>984</v>
      </c>
      <c r="AC851" t="s">
        <v>82</v>
      </c>
      <c r="AD851" t="s">
        <v>83</v>
      </c>
      <c r="AE851" t="s">
        <v>66</v>
      </c>
      <c r="AF851" t="s">
        <v>876</v>
      </c>
    </row>
    <row r="852" spans="1:32">
      <c r="A852" t="s">
        <v>4618</v>
      </c>
      <c r="B852" t="s">
        <v>121</v>
      </c>
      <c r="C852" t="s">
        <v>4619</v>
      </c>
      <c r="D852" t="s">
        <v>4619</v>
      </c>
      <c r="E852" t="s">
        <v>109</v>
      </c>
      <c r="F852" t="s">
        <v>68</v>
      </c>
      <c r="G852" t="s">
        <v>69</v>
      </c>
      <c r="H852" t="s">
        <v>66</v>
      </c>
      <c r="I852" t="s">
        <v>66</v>
      </c>
      <c r="J852" t="s">
        <v>67</v>
      </c>
      <c r="K852" t="s">
        <v>71</v>
      </c>
      <c r="L852" t="s">
        <v>72</v>
      </c>
      <c r="M852" t="s">
        <v>73</v>
      </c>
      <c r="N852" t="s">
        <v>66</v>
      </c>
      <c r="O852" t="s">
        <v>73</v>
      </c>
      <c r="P852" t="s">
        <v>66</v>
      </c>
      <c r="Q852" t="s">
        <v>979</v>
      </c>
      <c r="R852" t="s">
        <v>73</v>
      </c>
      <c r="S852" t="s">
        <v>979</v>
      </c>
      <c r="T852" t="s">
        <v>4620</v>
      </c>
      <c r="U852" t="s">
        <v>4621</v>
      </c>
      <c r="V852" t="s">
        <v>982</v>
      </c>
      <c r="W852" t="s">
        <v>66</v>
      </c>
      <c r="X852" t="s">
        <v>78</v>
      </c>
      <c r="Y852" t="s">
        <v>4622</v>
      </c>
      <c r="Z852" t="s">
        <v>182</v>
      </c>
      <c r="AA852" t="s">
        <v>984</v>
      </c>
      <c r="AB852" t="s">
        <v>984</v>
      </c>
      <c r="AC852" t="s">
        <v>82</v>
      </c>
      <c r="AD852" t="s">
        <v>83</v>
      </c>
      <c r="AE852" t="s">
        <v>66</v>
      </c>
      <c r="AF852" t="s">
        <v>876</v>
      </c>
    </row>
    <row r="853" spans="1:32">
      <c r="A853" t="s">
        <v>4623</v>
      </c>
      <c r="B853" t="s">
        <v>2749</v>
      </c>
      <c r="C853" t="s">
        <v>4624</v>
      </c>
      <c r="D853" t="s">
        <v>4624</v>
      </c>
      <c r="E853" t="s">
        <v>109</v>
      </c>
      <c r="F853" t="s">
        <v>110</v>
      </c>
      <c r="G853" t="s">
        <v>111</v>
      </c>
      <c r="H853" t="s">
        <v>66</v>
      </c>
      <c r="I853" t="s">
        <v>66</v>
      </c>
      <c r="J853" t="s">
        <v>67</v>
      </c>
      <c r="K853" t="s">
        <v>71</v>
      </c>
      <c r="L853" t="s">
        <v>72</v>
      </c>
      <c r="M853" t="s">
        <v>73</v>
      </c>
      <c r="N853" t="s">
        <v>66</v>
      </c>
      <c r="O853" t="s">
        <v>73</v>
      </c>
      <c r="P853" t="s">
        <v>66</v>
      </c>
      <c r="Q853" t="s">
        <v>979</v>
      </c>
      <c r="R853" t="s">
        <v>73</v>
      </c>
      <c r="S853" t="s">
        <v>979</v>
      </c>
      <c r="T853" t="s">
        <v>4625</v>
      </c>
      <c r="U853" t="s">
        <v>4626</v>
      </c>
      <c r="V853" t="s">
        <v>982</v>
      </c>
      <c r="W853" t="s">
        <v>66</v>
      </c>
      <c r="X853" t="s">
        <v>78</v>
      </c>
      <c r="Y853" t="s">
        <v>4627</v>
      </c>
      <c r="Z853" t="s">
        <v>182</v>
      </c>
      <c r="AA853" t="s">
        <v>984</v>
      </c>
      <c r="AB853" t="s">
        <v>984</v>
      </c>
      <c r="AC853" t="s">
        <v>82</v>
      </c>
      <c r="AD853" t="s">
        <v>83</v>
      </c>
      <c r="AE853" t="s">
        <v>66</v>
      </c>
      <c r="AF853" t="s">
        <v>876</v>
      </c>
    </row>
    <row r="854" spans="1:32">
      <c r="A854" t="s">
        <v>4628</v>
      </c>
      <c r="B854" t="s">
        <v>162</v>
      </c>
      <c r="C854" t="s">
        <v>4629</v>
      </c>
      <c r="D854" t="s">
        <v>66</v>
      </c>
      <c r="E854" t="s">
        <v>67</v>
      </c>
      <c r="F854" t="s">
        <v>164</v>
      </c>
      <c r="G854" t="s">
        <v>165</v>
      </c>
      <c r="H854" t="s">
        <v>66</v>
      </c>
      <c r="I854" t="s">
        <v>66</v>
      </c>
      <c r="J854" t="s">
        <v>67</v>
      </c>
      <c r="K854" t="s">
        <v>71</v>
      </c>
      <c r="L854" t="s">
        <v>72</v>
      </c>
      <c r="M854" t="s">
        <v>73</v>
      </c>
      <c r="N854" t="s">
        <v>66</v>
      </c>
      <c r="O854" t="s">
        <v>73</v>
      </c>
      <c r="P854" t="s">
        <v>66</v>
      </c>
      <c r="Q854" t="s">
        <v>979</v>
      </c>
      <c r="R854" t="s">
        <v>73</v>
      </c>
      <c r="S854" t="s">
        <v>979</v>
      </c>
      <c r="T854" t="s">
        <v>4630</v>
      </c>
      <c r="U854" t="s">
        <v>4631</v>
      </c>
      <c r="V854" t="s">
        <v>982</v>
      </c>
      <c r="W854" t="s">
        <v>66</v>
      </c>
      <c r="X854" t="s">
        <v>78</v>
      </c>
      <c r="Y854" t="s">
        <v>4632</v>
      </c>
      <c r="Z854" t="s">
        <v>182</v>
      </c>
      <c r="AA854" t="s">
        <v>984</v>
      </c>
      <c r="AB854" t="s">
        <v>984</v>
      </c>
      <c r="AC854" t="s">
        <v>82</v>
      </c>
      <c r="AD854" t="s">
        <v>83</v>
      </c>
      <c r="AE854" t="s">
        <v>66</v>
      </c>
      <c r="AF854" t="s">
        <v>876</v>
      </c>
    </row>
    <row r="855" spans="1:32">
      <c r="A855" t="s">
        <v>4633</v>
      </c>
      <c r="B855" t="s">
        <v>1064</v>
      </c>
      <c r="C855" t="s">
        <v>4634</v>
      </c>
      <c r="D855" t="s">
        <v>66</v>
      </c>
      <c r="E855" t="s">
        <v>67</v>
      </c>
      <c r="F855" t="s">
        <v>110</v>
      </c>
      <c r="G855" t="s">
        <v>111</v>
      </c>
      <c r="H855" t="s">
        <v>66</v>
      </c>
      <c r="I855" t="s">
        <v>66</v>
      </c>
      <c r="J855" t="s">
        <v>67</v>
      </c>
      <c r="K855" t="s">
        <v>71</v>
      </c>
      <c r="L855" t="s">
        <v>72</v>
      </c>
      <c r="M855" t="s">
        <v>73</v>
      </c>
      <c r="N855" t="s">
        <v>66</v>
      </c>
      <c r="O855" t="s">
        <v>73</v>
      </c>
      <c r="P855" t="s">
        <v>66</v>
      </c>
      <c r="Q855" t="s">
        <v>979</v>
      </c>
      <c r="R855" t="s">
        <v>73</v>
      </c>
      <c r="S855" t="s">
        <v>979</v>
      </c>
      <c r="T855" t="s">
        <v>4635</v>
      </c>
      <c r="U855" t="s">
        <v>4636</v>
      </c>
      <c r="V855" t="s">
        <v>982</v>
      </c>
      <c r="W855" t="s">
        <v>66</v>
      </c>
      <c r="X855" t="s">
        <v>78</v>
      </c>
      <c r="Y855" t="s">
        <v>4637</v>
      </c>
      <c r="Z855" t="s">
        <v>182</v>
      </c>
      <c r="AA855" t="s">
        <v>984</v>
      </c>
      <c r="AB855" t="s">
        <v>984</v>
      </c>
      <c r="AC855" t="s">
        <v>82</v>
      </c>
      <c r="AD855" t="s">
        <v>83</v>
      </c>
      <c r="AE855" t="s">
        <v>66</v>
      </c>
      <c r="AF855" t="s">
        <v>876</v>
      </c>
    </row>
    <row r="856" spans="1:32">
      <c r="A856" t="s">
        <v>4638</v>
      </c>
      <c r="B856" t="s">
        <v>841</v>
      </c>
      <c r="C856" t="s">
        <v>4639</v>
      </c>
      <c r="D856" t="s">
        <v>4639</v>
      </c>
      <c r="E856" t="s">
        <v>109</v>
      </c>
      <c r="F856" t="s">
        <v>110</v>
      </c>
      <c r="G856" t="s">
        <v>111</v>
      </c>
      <c r="H856" t="s">
        <v>66</v>
      </c>
      <c r="I856" t="s">
        <v>66</v>
      </c>
      <c r="J856" t="s">
        <v>67</v>
      </c>
      <c r="K856" t="s">
        <v>71</v>
      </c>
      <c r="L856" t="s">
        <v>72</v>
      </c>
      <c r="M856" t="s">
        <v>73</v>
      </c>
      <c r="N856" t="s">
        <v>66</v>
      </c>
      <c r="O856" t="s">
        <v>73</v>
      </c>
      <c r="P856" t="s">
        <v>66</v>
      </c>
      <c r="Q856" t="s">
        <v>979</v>
      </c>
      <c r="R856" t="s">
        <v>73</v>
      </c>
      <c r="S856" t="s">
        <v>979</v>
      </c>
      <c r="T856" t="s">
        <v>4640</v>
      </c>
      <c r="U856" t="s">
        <v>4641</v>
      </c>
      <c r="V856" t="s">
        <v>982</v>
      </c>
      <c r="W856" t="s">
        <v>66</v>
      </c>
      <c r="X856" t="s">
        <v>78</v>
      </c>
      <c r="Y856" t="s">
        <v>4642</v>
      </c>
      <c r="Z856" t="s">
        <v>182</v>
      </c>
      <c r="AA856" t="s">
        <v>984</v>
      </c>
      <c r="AB856" t="s">
        <v>984</v>
      </c>
      <c r="AC856" t="s">
        <v>82</v>
      </c>
      <c r="AD856" t="s">
        <v>83</v>
      </c>
      <c r="AE856" t="s">
        <v>66</v>
      </c>
      <c r="AF856" t="s">
        <v>876</v>
      </c>
    </row>
    <row r="857" spans="1:32">
      <c r="A857" t="s">
        <v>4643</v>
      </c>
      <c r="B857" t="s">
        <v>107</v>
      </c>
      <c r="C857" t="s">
        <v>4644</v>
      </c>
      <c r="D857" t="s">
        <v>4644</v>
      </c>
      <c r="E857" t="s">
        <v>109</v>
      </c>
      <c r="F857" t="s">
        <v>110</v>
      </c>
      <c r="G857" t="s">
        <v>111</v>
      </c>
      <c r="H857" t="s">
        <v>66</v>
      </c>
      <c r="I857" t="s">
        <v>66</v>
      </c>
      <c r="J857" t="s">
        <v>67</v>
      </c>
      <c r="K857" t="s">
        <v>71</v>
      </c>
      <c r="L857" t="s">
        <v>72</v>
      </c>
      <c r="M857" t="s">
        <v>73</v>
      </c>
      <c r="N857" t="s">
        <v>66</v>
      </c>
      <c r="O857" t="s">
        <v>73</v>
      </c>
      <c r="P857" t="s">
        <v>66</v>
      </c>
      <c r="Q857" t="s">
        <v>979</v>
      </c>
      <c r="R857" t="s">
        <v>73</v>
      </c>
      <c r="S857" t="s">
        <v>979</v>
      </c>
      <c r="T857" t="s">
        <v>4645</v>
      </c>
      <c r="U857" t="s">
        <v>4646</v>
      </c>
      <c r="V857" t="s">
        <v>982</v>
      </c>
      <c r="W857" t="s">
        <v>66</v>
      </c>
      <c r="X857" t="s">
        <v>78</v>
      </c>
      <c r="Y857" t="s">
        <v>4647</v>
      </c>
      <c r="Z857" t="s">
        <v>182</v>
      </c>
      <c r="AA857" t="s">
        <v>984</v>
      </c>
      <c r="AB857" t="s">
        <v>984</v>
      </c>
      <c r="AC857" t="s">
        <v>82</v>
      </c>
      <c r="AD857" t="s">
        <v>83</v>
      </c>
      <c r="AE857" t="s">
        <v>66</v>
      </c>
      <c r="AF857" t="s">
        <v>876</v>
      </c>
    </row>
    <row r="858" spans="1:32">
      <c r="A858" t="s">
        <v>4648</v>
      </c>
      <c r="B858" t="s">
        <v>1995</v>
      </c>
      <c r="C858" t="s">
        <v>4649</v>
      </c>
      <c r="D858" t="s">
        <v>66</v>
      </c>
      <c r="E858" t="s">
        <v>67</v>
      </c>
      <c r="F858" t="s">
        <v>110</v>
      </c>
      <c r="G858" t="s">
        <v>111</v>
      </c>
      <c r="H858" t="s">
        <v>66</v>
      </c>
      <c r="I858" t="s">
        <v>66</v>
      </c>
      <c r="J858" t="s">
        <v>67</v>
      </c>
      <c r="K858" t="s">
        <v>71</v>
      </c>
      <c r="L858" t="s">
        <v>72</v>
      </c>
      <c r="M858" t="s">
        <v>73</v>
      </c>
      <c r="N858" t="s">
        <v>66</v>
      </c>
      <c r="O858" t="s">
        <v>73</v>
      </c>
      <c r="P858" t="s">
        <v>66</v>
      </c>
      <c r="Q858" t="s">
        <v>979</v>
      </c>
      <c r="R858" t="s">
        <v>73</v>
      </c>
      <c r="S858" t="s">
        <v>979</v>
      </c>
      <c r="T858" t="s">
        <v>4650</v>
      </c>
      <c r="U858" t="s">
        <v>4651</v>
      </c>
      <c r="V858" t="s">
        <v>982</v>
      </c>
      <c r="W858" t="s">
        <v>66</v>
      </c>
      <c r="X858" t="s">
        <v>78</v>
      </c>
      <c r="Y858" t="s">
        <v>4652</v>
      </c>
      <c r="Z858" t="s">
        <v>182</v>
      </c>
      <c r="AA858" t="s">
        <v>984</v>
      </c>
      <c r="AB858" t="s">
        <v>984</v>
      </c>
      <c r="AC858" t="s">
        <v>82</v>
      </c>
      <c r="AD858" t="s">
        <v>83</v>
      </c>
      <c r="AE858" t="s">
        <v>66</v>
      </c>
      <c r="AF858" t="s">
        <v>876</v>
      </c>
    </row>
    <row r="859" spans="1:32">
      <c r="A859" t="s">
        <v>4653</v>
      </c>
      <c r="B859" t="s">
        <v>308</v>
      </c>
      <c r="C859" t="s">
        <v>4654</v>
      </c>
      <c r="D859" t="s">
        <v>4654</v>
      </c>
      <c r="E859" t="s">
        <v>109</v>
      </c>
      <c r="F859" t="s">
        <v>68</v>
      </c>
      <c r="G859" t="s">
        <v>69</v>
      </c>
      <c r="H859" t="s">
        <v>66</v>
      </c>
      <c r="I859" t="s">
        <v>66</v>
      </c>
      <c r="J859" t="s">
        <v>67</v>
      </c>
      <c r="K859" t="s">
        <v>71</v>
      </c>
      <c r="L859" t="s">
        <v>72</v>
      </c>
      <c r="M859" t="s">
        <v>73</v>
      </c>
      <c r="N859" t="s">
        <v>66</v>
      </c>
      <c r="O859" t="s">
        <v>73</v>
      </c>
      <c r="P859" t="s">
        <v>66</v>
      </c>
      <c r="Q859" t="s">
        <v>979</v>
      </c>
      <c r="R859" t="s">
        <v>73</v>
      </c>
      <c r="S859" t="s">
        <v>979</v>
      </c>
      <c r="T859" t="s">
        <v>4655</v>
      </c>
      <c r="U859" t="s">
        <v>4656</v>
      </c>
      <c r="V859" t="s">
        <v>982</v>
      </c>
      <c r="W859" t="s">
        <v>66</v>
      </c>
      <c r="X859" t="s">
        <v>78</v>
      </c>
      <c r="Y859" t="s">
        <v>4657</v>
      </c>
      <c r="Z859" t="s">
        <v>182</v>
      </c>
      <c r="AA859" t="s">
        <v>984</v>
      </c>
      <c r="AB859" t="s">
        <v>984</v>
      </c>
      <c r="AC859" t="s">
        <v>82</v>
      </c>
      <c r="AD859" t="s">
        <v>83</v>
      </c>
      <c r="AE859" t="s">
        <v>66</v>
      </c>
      <c r="AF859" t="s">
        <v>876</v>
      </c>
    </row>
    <row r="860" spans="1:32">
      <c r="A860" t="s">
        <v>4658</v>
      </c>
      <c r="B860" t="s">
        <v>130</v>
      </c>
      <c r="C860" t="s">
        <v>4659</v>
      </c>
      <c r="D860" t="s">
        <v>4659</v>
      </c>
      <c r="E860" t="s">
        <v>109</v>
      </c>
      <c r="F860" t="s">
        <v>110</v>
      </c>
      <c r="G860" t="s">
        <v>111</v>
      </c>
      <c r="H860" t="s">
        <v>66</v>
      </c>
      <c r="I860" t="s">
        <v>66</v>
      </c>
      <c r="J860" t="s">
        <v>67</v>
      </c>
      <c r="K860" t="s">
        <v>71</v>
      </c>
      <c r="L860" t="s">
        <v>72</v>
      </c>
      <c r="M860" t="s">
        <v>73</v>
      </c>
      <c r="N860" t="s">
        <v>66</v>
      </c>
      <c r="O860" t="s">
        <v>73</v>
      </c>
      <c r="P860" t="s">
        <v>66</v>
      </c>
      <c r="Q860" t="s">
        <v>979</v>
      </c>
      <c r="R860" t="s">
        <v>73</v>
      </c>
      <c r="S860" t="s">
        <v>979</v>
      </c>
      <c r="T860" t="s">
        <v>4660</v>
      </c>
      <c r="U860" t="s">
        <v>4661</v>
      </c>
      <c r="V860" t="s">
        <v>982</v>
      </c>
      <c r="W860" t="s">
        <v>66</v>
      </c>
      <c r="X860" t="s">
        <v>78</v>
      </c>
      <c r="Y860" t="s">
        <v>4662</v>
      </c>
      <c r="Z860" t="s">
        <v>182</v>
      </c>
      <c r="AA860" t="s">
        <v>984</v>
      </c>
      <c r="AB860" t="s">
        <v>984</v>
      </c>
      <c r="AC860" t="s">
        <v>82</v>
      </c>
      <c r="AD860" t="s">
        <v>83</v>
      </c>
      <c r="AE860" t="s">
        <v>66</v>
      </c>
      <c r="AF860" t="s">
        <v>876</v>
      </c>
    </row>
    <row r="861" spans="1:32">
      <c r="A861" t="s">
        <v>4663</v>
      </c>
      <c r="B861" t="s">
        <v>1995</v>
      </c>
      <c r="C861" t="s">
        <v>4664</v>
      </c>
      <c r="D861" t="s">
        <v>66</v>
      </c>
      <c r="E861" t="s">
        <v>67</v>
      </c>
      <c r="F861" t="s">
        <v>110</v>
      </c>
      <c r="G861" t="s">
        <v>111</v>
      </c>
      <c r="H861" t="s">
        <v>66</v>
      </c>
      <c r="I861" t="s">
        <v>66</v>
      </c>
      <c r="J861" t="s">
        <v>67</v>
      </c>
      <c r="K861" t="s">
        <v>71</v>
      </c>
      <c r="L861" t="s">
        <v>72</v>
      </c>
      <c r="M861" t="s">
        <v>73</v>
      </c>
      <c r="N861" t="s">
        <v>66</v>
      </c>
      <c r="O861" t="s">
        <v>73</v>
      </c>
      <c r="P861" t="s">
        <v>66</v>
      </c>
      <c r="Q861" t="s">
        <v>979</v>
      </c>
      <c r="R861" t="s">
        <v>73</v>
      </c>
      <c r="S861" t="s">
        <v>979</v>
      </c>
      <c r="T861" t="s">
        <v>4665</v>
      </c>
      <c r="U861" t="s">
        <v>4666</v>
      </c>
      <c r="V861" t="s">
        <v>982</v>
      </c>
      <c r="W861" t="s">
        <v>66</v>
      </c>
      <c r="X861" t="s">
        <v>78</v>
      </c>
      <c r="Y861" t="s">
        <v>4667</v>
      </c>
      <c r="Z861" t="s">
        <v>182</v>
      </c>
      <c r="AA861" t="s">
        <v>984</v>
      </c>
      <c r="AB861" t="s">
        <v>984</v>
      </c>
      <c r="AC861" t="s">
        <v>82</v>
      </c>
      <c r="AD861" t="s">
        <v>83</v>
      </c>
      <c r="AE861" t="s">
        <v>66</v>
      </c>
      <c r="AF861" t="s">
        <v>876</v>
      </c>
    </row>
    <row r="862" spans="1:32">
      <c r="A862" t="s">
        <v>4668</v>
      </c>
      <c r="B862" t="s">
        <v>162</v>
      </c>
      <c r="C862" t="s">
        <v>4669</v>
      </c>
      <c r="D862" t="s">
        <v>66</v>
      </c>
      <c r="E862" t="s">
        <v>67</v>
      </c>
      <c r="F862" t="s">
        <v>164</v>
      </c>
      <c r="G862" t="s">
        <v>165</v>
      </c>
      <c r="H862" t="s">
        <v>66</v>
      </c>
      <c r="I862" t="s">
        <v>66</v>
      </c>
      <c r="J862" t="s">
        <v>67</v>
      </c>
      <c r="K862" t="s">
        <v>71</v>
      </c>
      <c r="L862" t="s">
        <v>72</v>
      </c>
      <c r="M862" t="s">
        <v>73</v>
      </c>
      <c r="N862" t="s">
        <v>66</v>
      </c>
      <c r="O862" t="s">
        <v>73</v>
      </c>
      <c r="P862" t="s">
        <v>66</v>
      </c>
      <c r="Q862" t="s">
        <v>979</v>
      </c>
      <c r="R862" t="s">
        <v>73</v>
      </c>
      <c r="S862" t="s">
        <v>979</v>
      </c>
      <c r="T862" t="s">
        <v>4670</v>
      </c>
      <c r="U862" t="s">
        <v>4671</v>
      </c>
      <c r="V862" t="s">
        <v>982</v>
      </c>
      <c r="W862" t="s">
        <v>66</v>
      </c>
      <c r="X862" t="s">
        <v>78</v>
      </c>
      <c r="Y862" t="s">
        <v>4672</v>
      </c>
      <c r="Z862" t="s">
        <v>182</v>
      </c>
      <c r="AA862" t="s">
        <v>984</v>
      </c>
      <c r="AB862" t="s">
        <v>984</v>
      </c>
      <c r="AC862" t="s">
        <v>82</v>
      </c>
      <c r="AD862" t="s">
        <v>83</v>
      </c>
      <c r="AE862" t="s">
        <v>66</v>
      </c>
      <c r="AF862" t="s">
        <v>876</v>
      </c>
    </row>
    <row r="863" spans="1:32">
      <c r="A863" t="s">
        <v>4673</v>
      </c>
      <c r="B863" t="s">
        <v>977</v>
      </c>
      <c r="C863" t="s">
        <v>4674</v>
      </c>
      <c r="D863" t="s">
        <v>4674</v>
      </c>
      <c r="E863" t="s">
        <v>109</v>
      </c>
      <c r="F863" t="s">
        <v>68</v>
      </c>
      <c r="G863" t="s">
        <v>69</v>
      </c>
      <c r="H863" t="s">
        <v>66</v>
      </c>
      <c r="I863" t="s">
        <v>66</v>
      </c>
      <c r="J863" t="s">
        <v>67</v>
      </c>
      <c r="K863" t="s">
        <v>71</v>
      </c>
      <c r="L863" t="s">
        <v>72</v>
      </c>
      <c r="M863" t="s">
        <v>73</v>
      </c>
      <c r="N863" t="s">
        <v>66</v>
      </c>
      <c r="O863" t="s">
        <v>73</v>
      </c>
      <c r="P863" t="s">
        <v>66</v>
      </c>
      <c r="Q863" t="s">
        <v>979</v>
      </c>
      <c r="R863" t="s">
        <v>73</v>
      </c>
      <c r="S863" t="s">
        <v>979</v>
      </c>
      <c r="T863" t="s">
        <v>4675</v>
      </c>
      <c r="U863" t="s">
        <v>4676</v>
      </c>
      <c r="V863" t="s">
        <v>982</v>
      </c>
      <c r="W863" t="s">
        <v>66</v>
      </c>
      <c r="X863" t="s">
        <v>78</v>
      </c>
      <c r="Y863" t="s">
        <v>4677</v>
      </c>
      <c r="Z863" t="s">
        <v>182</v>
      </c>
      <c r="AA863" t="s">
        <v>984</v>
      </c>
      <c r="AB863" t="s">
        <v>984</v>
      </c>
      <c r="AC863" t="s">
        <v>82</v>
      </c>
      <c r="AD863" t="s">
        <v>83</v>
      </c>
      <c r="AE863" t="s">
        <v>66</v>
      </c>
      <c r="AF863" t="s">
        <v>876</v>
      </c>
    </row>
    <row r="864" spans="1:32">
      <c r="A864" t="s">
        <v>4678</v>
      </c>
      <c r="B864" t="s">
        <v>162</v>
      </c>
      <c r="C864" t="s">
        <v>4679</v>
      </c>
      <c r="D864" t="s">
        <v>66</v>
      </c>
      <c r="E864" t="s">
        <v>67</v>
      </c>
      <c r="F864" t="s">
        <v>164</v>
      </c>
      <c r="G864" t="s">
        <v>165</v>
      </c>
      <c r="H864" t="s">
        <v>66</v>
      </c>
      <c r="I864" t="s">
        <v>66</v>
      </c>
      <c r="J864" t="s">
        <v>67</v>
      </c>
      <c r="K864" t="s">
        <v>71</v>
      </c>
      <c r="L864" t="s">
        <v>72</v>
      </c>
      <c r="M864" t="s">
        <v>73</v>
      </c>
      <c r="N864" t="s">
        <v>66</v>
      </c>
      <c r="O864" t="s">
        <v>73</v>
      </c>
      <c r="P864" t="s">
        <v>66</v>
      </c>
      <c r="Q864" t="s">
        <v>979</v>
      </c>
      <c r="R864" t="s">
        <v>73</v>
      </c>
      <c r="S864" t="s">
        <v>979</v>
      </c>
      <c r="T864" t="s">
        <v>4680</v>
      </c>
      <c r="U864" t="s">
        <v>4681</v>
      </c>
      <c r="V864" t="s">
        <v>982</v>
      </c>
      <c r="W864" t="s">
        <v>66</v>
      </c>
      <c r="X864" t="s">
        <v>78</v>
      </c>
      <c r="Y864" t="s">
        <v>4682</v>
      </c>
      <c r="Z864" t="s">
        <v>182</v>
      </c>
      <c r="AA864" t="s">
        <v>984</v>
      </c>
      <c r="AB864" t="s">
        <v>984</v>
      </c>
      <c r="AC864" t="s">
        <v>82</v>
      </c>
      <c r="AD864" t="s">
        <v>83</v>
      </c>
      <c r="AE864" t="s">
        <v>66</v>
      </c>
      <c r="AF864" t="s">
        <v>876</v>
      </c>
    </row>
    <row r="865" spans="1:32">
      <c r="A865" t="s">
        <v>4683</v>
      </c>
      <c r="B865" t="s">
        <v>1064</v>
      </c>
      <c r="C865" t="s">
        <v>4684</v>
      </c>
      <c r="D865" t="s">
        <v>66</v>
      </c>
      <c r="E865" t="s">
        <v>67</v>
      </c>
      <c r="F865" t="s">
        <v>110</v>
      </c>
      <c r="G865" t="s">
        <v>111</v>
      </c>
      <c r="H865" t="s">
        <v>66</v>
      </c>
      <c r="I865" t="s">
        <v>66</v>
      </c>
      <c r="J865" t="s">
        <v>67</v>
      </c>
      <c r="K865" t="s">
        <v>71</v>
      </c>
      <c r="L865" t="s">
        <v>72</v>
      </c>
      <c r="M865" t="s">
        <v>73</v>
      </c>
      <c r="N865" t="s">
        <v>66</v>
      </c>
      <c r="O865" t="s">
        <v>73</v>
      </c>
      <c r="P865" t="s">
        <v>66</v>
      </c>
      <c r="Q865" t="s">
        <v>979</v>
      </c>
      <c r="R865" t="s">
        <v>73</v>
      </c>
      <c r="S865" t="s">
        <v>979</v>
      </c>
      <c r="T865" t="s">
        <v>4685</v>
      </c>
      <c r="U865" t="s">
        <v>4686</v>
      </c>
      <c r="V865" t="s">
        <v>982</v>
      </c>
      <c r="W865" t="s">
        <v>66</v>
      </c>
      <c r="X865" t="s">
        <v>78</v>
      </c>
      <c r="Y865" t="s">
        <v>4687</v>
      </c>
      <c r="Z865" t="s">
        <v>182</v>
      </c>
      <c r="AA865" t="s">
        <v>984</v>
      </c>
      <c r="AB865" t="s">
        <v>984</v>
      </c>
      <c r="AC865" t="s">
        <v>82</v>
      </c>
      <c r="AD865" t="s">
        <v>83</v>
      </c>
      <c r="AE865" t="s">
        <v>66</v>
      </c>
      <c r="AF865" t="s">
        <v>876</v>
      </c>
    </row>
    <row r="866" spans="1:32">
      <c r="A866" t="s">
        <v>4688</v>
      </c>
      <c r="B866" t="s">
        <v>1319</v>
      </c>
      <c r="C866" t="s">
        <v>4689</v>
      </c>
      <c r="D866" t="s">
        <v>66</v>
      </c>
      <c r="E866" t="s">
        <v>67</v>
      </c>
      <c r="F866" t="s">
        <v>1321</v>
      </c>
      <c r="G866" t="s">
        <v>1322</v>
      </c>
      <c r="H866" t="s">
        <v>66</v>
      </c>
      <c r="I866" t="s">
        <v>66</v>
      </c>
      <c r="J866" t="s">
        <v>67</v>
      </c>
      <c r="K866" t="s">
        <v>71</v>
      </c>
      <c r="L866" t="s">
        <v>72</v>
      </c>
      <c r="M866" t="s">
        <v>73</v>
      </c>
      <c r="N866" t="s">
        <v>66</v>
      </c>
      <c r="O866" t="s">
        <v>73</v>
      </c>
      <c r="P866" t="s">
        <v>66</v>
      </c>
      <c r="Q866" t="s">
        <v>979</v>
      </c>
      <c r="R866" t="s">
        <v>73</v>
      </c>
      <c r="S866" t="s">
        <v>979</v>
      </c>
      <c r="T866" t="s">
        <v>4690</v>
      </c>
      <c r="U866" t="s">
        <v>4691</v>
      </c>
      <c r="V866" t="s">
        <v>982</v>
      </c>
      <c r="W866" t="s">
        <v>66</v>
      </c>
      <c r="X866" t="s">
        <v>78</v>
      </c>
      <c r="Y866" t="s">
        <v>4692</v>
      </c>
      <c r="Z866" t="s">
        <v>182</v>
      </c>
      <c r="AA866" t="s">
        <v>984</v>
      </c>
      <c r="AB866" t="s">
        <v>984</v>
      </c>
      <c r="AC866" t="s">
        <v>82</v>
      </c>
      <c r="AD866" t="s">
        <v>83</v>
      </c>
      <c r="AE866" t="s">
        <v>66</v>
      </c>
      <c r="AF866" t="s">
        <v>876</v>
      </c>
    </row>
    <row r="867" spans="1:32">
      <c r="A867" t="s">
        <v>4693</v>
      </c>
      <c r="B867" t="s">
        <v>1004</v>
      </c>
      <c r="C867" t="s">
        <v>4694</v>
      </c>
      <c r="D867" t="s">
        <v>66</v>
      </c>
      <c r="E867" t="s">
        <v>67</v>
      </c>
      <c r="F867" t="s">
        <v>68</v>
      </c>
      <c r="G867" t="s">
        <v>69</v>
      </c>
      <c r="H867" t="s">
        <v>66</v>
      </c>
      <c r="I867" t="s">
        <v>66</v>
      </c>
      <c r="J867" t="s">
        <v>67</v>
      </c>
      <c r="K867" t="s">
        <v>71</v>
      </c>
      <c r="L867" t="s">
        <v>72</v>
      </c>
      <c r="M867" t="s">
        <v>73</v>
      </c>
      <c r="N867" t="s">
        <v>66</v>
      </c>
      <c r="O867" t="s">
        <v>73</v>
      </c>
      <c r="P867" t="s">
        <v>66</v>
      </c>
      <c r="Q867" t="s">
        <v>979</v>
      </c>
      <c r="R867" t="s">
        <v>73</v>
      </c>
      <c r="S867" t="s">
        <v>979</v>
      </c>
      <c r="T867" t="s">
        <v>4695</v>
      </c>
      <c r="U867" t="s">
        <v>4696</v>
      </c>
      <c r="V867" t="s">
        <v>982</v>
      </c>
      <c r="W867" t="s">
        <v>66</v>
      </c>
      <c r="X867" t="s">
        <v>78</v>
      </c>
      <c r="Y867" t="s">
        <v>4697</v>
      </c>
      <c r="Z867" t="s">
        <v>182</v>
      </c>
      <c r="AA867" t="s">
        <v>984</v>
      </c>
      <c r="AB867" t="s">
        <v>984</v>
      </c>
      <c r="AC867" t="s">
        <v>82</v>
      </c>
      <c r="AD867" t="s">
        <v>83</v>
      </c>
      <c r="AE867" t="s">
        <v>66</v>
      </c>
      <c r="AF867" t="s">
        <v>876</v>
      </c>
    </row>
    <row r="868" spans="1:32">
      <c r="A868" t="s">
        <v>4698</v>
      </c>
      <c r="B868" t="s">
        <v>1004</v>
      </c>
      <c r="C868" t="s">
        <v>4699</v>
      </c>
      <c r="D868" t="s">
        <v>66</v>
      </c>
      <c r="E868" t="s">
        <v>67</v>
      </c>
      <c r="F868" t="s">
        <v>68</v>
      </c>
      <c r="G868" t="s">
        <v>69</v>
      </c>
      <c r="H868" t="s">
        <v>66</v>
      </c>
      <c r="I868" t="s">
        <v>66</v>
      </c>
      <c r="J868" t="s">
        <v>67</v>
      </c>
      <c r="K868" t="s">
        <v>71</v>
      </c>
      <c r="L868" t="s">
        <v>72</v>
      </c>
      <c r="M868" t="s">
        <v>73</v>
      </c>
      <c r="N868" t="s">
        <v>66</v>
      </c>
      <c r="O868" t="s">
        <v>73</v>
      </c>
      <c r="P868" t="s">
        <v>66</v>
      </c>
      <c r="Q868" t="s">
        <v>979</v>
      </c>
      <c r="R868" t="s">
        <v>73</v>
      </c>
      <c r="S868" t="s">
        <v>979</v>
      </c>
      <c r="T868" t="s">
        <v>4700</v>
      </c>
      <c r="U868" t="s">
        <v>4701</v>
      </c>
      <c r="V868" t="s">
        <v>982</v>
      </c>
      <c r="W868" t="s">
        <v>66</v>
      </c>
      <c r="X868" t="s">
        <v>78</v>
      </c>
      <c r="Y868" t="s">
        <v>4702</v>
      </c>
      <c r="Z868" t="s">
        <v>182</v>
      </c>
      <c r="AA868" t="s">
        <v>984</v>
      </c>
      <c r="AB868" t="s">
        <v>984</v>
      </c>
      <c r="AC868" t="s">
        <v>82</v>
      </c>
      <c r="AD868" t="s">
        <v>83</v>
      </c>
      <c r="AE868" t="s">
        <v>66</v>
      </c>
      <c r="AF868" t="s">
        <v>876</v>
      </c>
    </row>
    <row r="869" spans="1:32">
      <c r="A869" t="s">
        <v>4703</v>
      </c>
      <c r="B869" t="s">
        <v>151</v>
      </c>
      <c r="C869" t="s">
        <v>4704</v>
      </c>
      <c r="D869" t="s">
        <v>66</v>
      </c>
      <c r="E869" t="s">
        <v>67</v>
      </c>
      <c r="F869" t="s">
        <v>68</v>
      </c>
      <c r="G869" t="s">
        <v>69</v>
      </c>
      <c r="H869" t="s">
        <v>66</v>
      </c>
      <c r="I869" t="s">
        <v>66</v>
      </c>
      <c r="J869" t="s">
        <v>67</v>
      </c>
      <c r="K869" t="s">
        <v>71</v>
      </c>
      <c r="L869" t="s">
        <v>72</v>
      </c>
      <c r="M869" t="s">
        <v>73</v>
      </c>
      <c r="N869" t="s">
        <v>66</v>
      </c>
      <c r="O869" t="s">
        <v>73</v>
      </c>
      <c r="P869" t="s">
        <v>66</v>
      </c>
      <c r="Q869" t="s">
        <v>979</v>
      </c>
      <c r="R869" t="s">
        <v>73</v>
      </c>
      <c r="S869" t="s">
        <v>979</v>
      </c>
      <c r="T869" t="s">
        <v>4705</v>
      </c>
      <c r="U869" t="s">
        <v>4706</v>
      </c>
      <c r="V869" t="s">
        <v>982</v>
      </c>
      <c r="W869" t="s">
        <v>66</v>
      </c>
      <c r="X869" t="s">
        <v>78</v>
      </c>
      <c r="Y869" t="s">
        <v>4707</v>
      </c>
      <c r="Z869" t="s">
        <v>182</v>
      </c>
      <c r="AA869" t="s">
        <v>984</v>
      </c>
      <c r="AB869" t="s">
        <v>984</v>
      </c>
      <c r="AC869" t="s">
        <v>82</v>
      </c>
      <c r="AD869" t="s">
        <v>83</v>
      </c>
      <c r="AE869" t="s">
        <v>66</v>
      </c>
      <c r="AF869" t="s">
        <v>876</v>
      </c>
    </row>
    <row r="870" spans="1:32">
      <c r="A870" t="s">
        <v>4708</v>
      </c>
      <c r="B870" t="s">
        <v>4709</v>
      </c>
      <c r="C870" t="s">
        <v>4710</v>
      </c>
      <c r="D870" t="s">
        <v>4710</v>
      </c>
      <c r="E870" t="s">
        <v>109</v>
      </c>
      <c r="F870" t="s">
        <v>110</v>
      </c>
      <c r="G870" t="s">
        <v>111</v>
      </c>
      <c r="H870" t="s">
        <v>66</v>
      </c>
      <c r="I870" t="s">
        <v>66</v>
      </c>
      <c r="J870" t="s">
        <v>67</v>
      </c>
      <c r="K870" t="s">
        <v>71</v>
      </c>
      <c r="L870" t="s">
        <v>72</v>
      </c>
      <c r="M870" t="s">
        <v>73</v>
      </c>
      <c r="N870" t="s">
        <v>66</v>
      </c>
      <c r="O870" t="s">
        <v>73</v>
      </c>
      <c r="P870" t="s">
        <v>66</v>
      </c>
      <c r="Q870" t="s">
        <v>979</v>
      </c>
      <c r="R870" t="s">
        <v>73</v>
      </c>
      <c r="S870" t="s">
        <v>979</v>
      </c>
      <c r="T870" t="s">
        <v>4711</v>
      </c>
      <c r="U870" t="s">
        <v>4712</v>
      </c>
      <c r="V870" t="s">
        <v>982</v>
      </c>
      <c r="W870" t="s">
        <v>66</v>
      </c>
      <c r="X870" t="s">
        <v>78</v>
      </c>
      <c r="Y870" t="s">
        <v>4713</v>
      </c>
      <c r="Z870" t="s">
        <v>182</v>
      </c>
      <c r="AA870" t="s">
        <v>984</v>
      </c>
      <c r="AB870" t="s">
        <v>984</v>
      </c>
      <c r="AC870" t="s">
        <v>82</v>
      </c>
      <c r="AD870" t="s">
        <v>83</v>
      </c>
      <c r="AE870" t="s">
        <v>66</v>
      </c>
      <c r="AF870" t="s">
        <v>876</v>
      </c>
    </row>
    <row r="871" spans="1:32">
      <c r="A871" t="s">
        <v>4714</v>
      </c>
      <c r="B871" t="s">
        <v>162</v>
      </c>
      <c r="C871" t="s">
        <v>4715</v>
      </c>
      <c r="D871" t="s">
        <v>66</v>
      </c>
      <c r="E871" t="s">
        <v>67</v>
      </c>
      <c r="F871" t="s">
        <v>164</v>
      </c>
      <c r="G871" t="s">
        <v>165</v>
      </c>
      <c r="H871" t="s">
        <v>66</v>
      </c>
      <c r="I871" t="s">
        <v>66</v>
      </c>
      <c r="J871" t="s">
        <v>67</v>
      </c>
      <c r="K871" t="s">
        <v>71</v>
      </c>
      <c r="L871" t="s">
        <v>72</v>
      </c>
      <c r="M871" t="s">
        <v>73</v>
      </c>
      <c r="N871" t="s">
        <v>66</v>
      </c>
      <c r="O871" t="s">
        <v>73</v>
      </c>
      <c r="P871" t="s">
        <v>66</v>
      </c>
      <c r="Q871" t="s">
        <v>979</v>
      </c>
      <c r="R871" t="s">
        <v>73</v>
      </c>
      <c r="S871" t="s">
        <v>979</v>
      </c>
      <c r="T871" t="s">
        <v>4716</v>
      </c>
      <c r="U871" t="s">
        <v>4717</v>
      </c>
      <c r="V871" t="s">
        <v>982</v>
      </c>
      <c r="W871" t="s">
        <v>66</v>
      </c>
      <c r="X871" t="s">
        <v>78</v>
      </c>
      <c r="Y871" t="s">
        <v>4718</v>
      </c>
      <c r="Z871" t="s">
        <v>182</v>
      </c>
      <c r="AA871" t="s">
        <v>984</v>
      </c>
      <c r="AB871" t="s">
        <v>984</v>
      </c>
      <c r="AC871" t="s">
        <v>82</v>
      </c>
      <c r="AD871" t="s">
        <v>83</v>
      </c>
      <c r="AE871" t="s">
        <v>66</v>
      </c>
      <c r="AF871" t="s">
        <v>876</v>
      </c>
    </row>
    <row r="872" spans="1:32">
      <c r="A872" t="s">
        <v>4719</v>
      </c>
      <c r="B872" t="s">
        <v>841</v>
      </c>
      <c r="C872" t="s">
        <v>4720</v>
      </c>
      <c r="D872" t="s">
        <v>4720</v>
      </c>
      <c r="E872" t="s">
        <v>109</v>
      </c>
      <c r="F872" t="s">
        <v>110</v>
      </c>
      <c r="G872" t="s">
        <v>111</v>
      </c>
      <c r="H872" t="s">
        <v>66</v>
      </c>
      <c r="I872" t="s">
        <v>66</v>
      </c>
      <c r="J872" t="s">
        <v>67</v>
      </c>
      <c r="K872" t="s">
        <v>71</v>
      </c>
      <c r="L872" t="s">
        <v>72</v>
      </c>
      <c r="M872" t="s">
        <v>73</v>
      </c>
      <c r="N872" t="s">
        <v>66</v>
      </c>
      <c r="O872" t="s">
        <v>73</v>
      </c>
      <c r="P872" t="s">
        <v>66</v>
      </c>
      <c r="Q872" t="s">
        <v>979</v>
      </c>
      <c r="R872" t="s">
        <v>73</v>
      </c>
      <c r="S872" t="s">
        <v>979</v>
      </c>
      <c r="T872" t="s">
        <v>4721</v>
      </c>
      <c r="U872" t="s">
        <v>4722</v>
      </c>
      <c r="V872" t="s">
        <v>982</v>
      </c>
      <c r="W872" t="s">
        <v>66</v>
      </c>
      <c r="X872" t="s">
        <v>78</v>
      </c>
      <c r="Y872" t="s">
        <v>4723</v>
      </c>
      <c r="Z872" t="s">
        <v>182</v>
      </c>
      <c r="AA872" t="s">
        <v>984</v>
      </c>
      <c r="AB872" t="s">
        <v>984</v>
      </c>
      <c r="AC872" t="s">
        <v>82</v>
      </c>
      <c r="AD872" t="s">
        <v>83</v>
      </c>
      <c r="AE872" t="s">
        <v>66</v>
      </c>
      <c r="AF872" t="s">
        <v>876</v>
      </c>
    </row>
    <row r="873" spans="1:32">
      <c r="A873" t="s">
        <v>4724</v>
      </c>
      <c r="B873" t="s">
        <v>359</v>
      </c>
      <c r="C873" t="s">
        <v>4725</v>
      </c>
      <c r="D873" t="s">
        <v>66</v>
      </c>
      <c r="E873" t="s">
        <v>109</v>
      </c>
      <c r="F873" t="s">
        <v>947</v>
      </c>
      <c r="G873" t="s">
        <v>948</v>
      </c>
      <c r="H873" t="s">
        <v>66</v>
      </c>
      <c r="I873" t="s">
        <v>66</v>
      </c>
      <c r="J873" t="s">
        <v>67</v>
      </c>
      <c r="K873" t="s">
        <v>71</v>
      </c>
      <c r="L873" t="s">
        <v>72</v>
      </c>
      <c r="M873" t="s">
        <v>73</v>
      </c>
      <c r="N873" t="s">
        <v>66</v>
      </c>
      <c r="O873" t="s">
        <v>73</v>
      </c>
      <c r="P873" t="s">
        <v>66</v>
      </c>
      <c r="Q873" t="s">
        <v>979</v>
      </c>
      <c r="R873" t="s">
        <v>73</v>
      </c>
      <c r="S873" t="s">
        <v>979</v>
      </c>
      <c r="T873" t="s">
        <v>4726</v>
      </c>
      <c r="U873" t="s">
        <v>4727</v>
      </c>
      <c r="V873" t="s">
        <v>982</v>
      </c>
      <c r="W873" t="s">
        <v>66</v>
      </c>
      <c r="X873" t="s">
        <v>78</v>
      </c>
      <c r="Y873" t="s">
        <v>4728</v>
      </c>
      <c r="Z873" t="s">
        <v>182</v>
      </c>
      <c r="AA873" t="s">
        <v>984</v>
      </c>
      <c r="AB873" t="s">
        <v>984</v>
      </c>
      <c r="AC873" t="s">
        <v>82</v>
      </c>
      <c r="AD873" t="s">
        <v>83</v>
      </c>
      <c r="AE873" t="s">
        <v>66</v>
      </c>
      <c r="AF873" t="s">
        <v>876</v>
      </c>
    </row>
    <row r="874" spans="1:32">
      <c r="A874" t="s">
        <v>4729</v>
      </c>
      <c r="B874" t="s">
        <v>1319</v>
      </c>
      <c r="C874" t="s">
        <v>4730</v>
      </c>
      <c r="D874" t="s">
        <v>66</v>
      </c>
      <c r="E874" t="s">
        <v>67</v>
      </c>
      <c r="F874" t="s">
        <v>1321</v>
      </c>
      <c r="G874" t="s">
        <v>1322</v>
      </c>
      <c r="H874" t="s">
        <v>66</v>
      </c>
      <c r="I874" t="s">
        <v>66</v>
      </c>
      <c r="J874" t="s">
        <v>67</v>
      </c>
      <c r="K874" t="s">
        <v>71</v>
      </c>
      <c r="L874" t="s">
        <v>72</v>
      </c>
      <c r="M874" t="s">
        <v>73</v>
      </c>
      <c r="N874" t="s">
        <v>66</v>
      </c>
      <c r="O874" t="s">
        <v>73</v>
      </c>
      <c r="P874" t="s">
        <v>66</v>
      </c>
      <c r="Q874" t="s">
        <v>979</v>
      </c>
      <c r="R874" t="s">
        <v>73</v>
      </c>
      <c r="S874" t="s">
        <v>979</v>
      </c>
      <c r="T874" t="s">
        <v>4731</v>
      </c>
      <c r="U874" t="s">
        <v>4732</v>
      </c>
      <c r="V874" t="s">
        <v>982</v>
      </c>
      <c r="W874" t="s">
        <v>66</v>
      </c>
      <c r="X874" t="s">
        <v>78</v>
      </c>
      <c r="Y874" t="s">
        <v>4733</v>
      </c>
      <c r="Z874" t="s">
        <v>182</v>
      </c>
      <c r="AA874" t="s">
        <v>984</v>
      </c>
      <c r="AB874" t="s">
        <v>984</v>
      </c>
      <c r="AC874" t="s">
        <v>82</v>
      </c>
      <c r="AD874" t="s">
        <v>83</v>
      </c>
      <c r="AE874" t="s">
        <v>66</v>
      </c>
      <c r="AF874" t="s">
        <v>876</v>
      </c>
    </row>
    <row r="875" spans="1:32">
      <c r="A875" t="s">
        <v>4734</v>
      </c>
      <c r="B875" t="s">
        <v>4735</v>
      </c>
      <c r="C875" t="s">
        <v>4736</v>
      </c>
      <c r="D875" t="s">
        <v>66</v>
      </c>
      <c r="E875" t="s">
        <v>67</v>
      </c>
      <c r="F875" t="s">
        <v>988</v>
      </c>
      <c r="G875" t="s">
        <v>989</v>
      </c>
      <c r="H875" t="s">
        <v>66</v>
      </c>
      <c r="I875" t="s">
        <v>66</v>
      </c>
      <c r="J875" t="s">
        <v>67</v>
      </c>
      <c r="K875" t="s">
        <v>71</v>
      </c>
      <c r="L875" t="s">
        <v>72</v>
      </c>
      <c r="M875" t="s">
        <v>73</v>
      </c>
      <c r="N875" t="s">
        <v>66</v>
      </c>
      <c r="O875" t="s">
        <v>73</v>
      </c>
      <c r="P875" t="s">
        <v>66</v>
      </c>
      <c r="Q875" t="s">
        <v>979</v>
      </c>
      <c r="R875" t="s">
        <v>73</v>
      </c>
      <c r="S875" t="s">
        <v>979</v>
      </c>
      <c r="T875" t="s">
        <v>4737</v>
      </c>
      <c r="U875" t="s">
        <v>4738</v>
      </c>
      <c r="V875" t="s">
        <v>982</v>
      </c>
      <c r="W875" t="s">
        <v>66</v>
      </c>
      <c r="X875" t="s">
        <v>78</v>
      </c>
      <c r="Y875" t="s">
        <v>4739</v>
      </c>
      <c r="Z875" t="s">
        <v>182</v>
      </c>
      <c r="AA875" t="s">
        <v>984</v>
      </c>
      <c r="AB875" t="s">
        <v>984</v>
      </c>
      <c r="AC875" t="s">
        <v>82</v>
      </c>
      <c r="AD875" t="s">
        <v>83</v>
      </c>
      <c r="AE875" t="s">
        <v>66</v>
      </c>
      <c r="AF875" t="s">
        <v>876</v>
      </c>
    </row>
    <row r="876" spans="1:32">
      <c r="A876" t="s">
        <v>4740</v>
      </c>
      <c r="B876" t="s">
        <v>986</v>
      </c>
      <c r="C876" t="s">
        <v>4741</v>
      </c>
      <c r="D876" t="s">
        <v>66</v>
      </c>
      <c r="E876" t="s">
        <v>67</v>
      </c>
      <c r="F876" t="s">
        <v>988</v>
      </c>
      <c r="G876" t="s">
        <v>989</v>
      </c>
      <c r="H876" t="s">
        <v>66</v>
      </c>
      <c r="I876" t="s">
        <v>66</v>
      </c>
      <c r="J876" t="s">
        <v>67</v>
      </c>
      <c r="K876" t="s">
        <v>71</v>
      </c>
      <c r="L876" t="s">
        <v>72</v>
      </c>
      <c r="M876" t="s">
        <v>73</v>
      </c>
      <c r="N876" t="s">
        <v>66</v>
      </c>
      <c r="O876" t="s">
        <v>73</v>
      </c>
      <c r="P876" t="s">
        <v>66</v>
      </c>
      <c r="Q876" t="s">
        <v>979</v>
      </c>
      <c r="R876" t="s">
        <v>73</v>
      </c>
      <c r="S876" t="s">
        <v>979</v>
      </c>
      <c r="T876" t="s">
        <v>4742</v>
      </c>
      <c r="U876" t="s">
        <v>4743</v>
      </c>
      <c r="V876" t="s">
        <v>982</v>
      </c>
      <c r="W876" t="s">
        <v>66</v>
      </c>
      <c r="X876" t="s">
        <v>78</v>
      </c>
      <c r="Y876" t="s">
        <v>4744</v>
      </c>
      <c r="Z876" t="s">
        <v>182</v>
      </c>
      <c r="AA876" t="s">
        <v>984</v>
      </c>
      <c r="AB876" t="s">
        <v>984</v>
      </c>
      <c r="AC876" t="s">
        <v>82</v>
      </c>
      <c r="AD876" t="s">
        <v>83</v>
      </c>
      <c r="AE876" t="s">
        <v>66</v>
      </c>
      <c r="AF876" t="s">
        <v>876</v>
      </c>
    </row>
    <row r="877" spans="1:32">
      <c r="A877" t="s">
        <v>4745</v>
      </c>
      <c r="B877" t="s">
        <v>308</v>
      </c>
      <c r="C877" t="s">
        <v>4746</v>
      </c>
      <c r="D877" t="s">
        <v>4746</v>
      </c>
      <c r="E877" t="s">
        <v>109</v>
      </c>
      <c r="F877" t="s">
        <v>947</v>
      </c>
      <c r="G877" t="s">
        <v>948</v>
      </c>
      <c r="H877" t="s">
        <v>66</v>
      </c>
      <c r="I877" t="s">
        <v>66</v>
      </c>
      <c r="J877" t="s">
        <v>67</v>
      </c>
      <c r="K877" t="s">
        <v>71</v>
      </c>
      <c r="L877" t="s">
        <v>72</v>
      </c>
      <c r="M877" t="s">
        <v>73</v>
      </c>
      <c r="N877" t="s">
        <v>66</v>
      </c>
      <c r="O877" t="s">
        <v>73</v>
      </c>
      <c r="P877" t="s">
        <v>66</v>
      </c>
      <c r="Q877" t="s">
        <v>979</v>
      </c>
      <c r="R877" t="s">
        <v>73</v>
      </c>
      <c r="S877" t="s">
        <v>979</v>
      </c>
      <c r="T877" t="s">
        <v>4747</v>
      </c>
      <c r="U877" t="s">
        <v>4748</v>
      </c>
      <c r="V877" t="s">
        <v>982</v>
      </c>
      <c r="W877" t="s">
        <v>66</v>
      </c>
      <c r="X877" t="s">
        <v>78</v>
      </c>
      <c r="Y877" t="s">
        <v>4749</v>
      </c>
      <c r="Z877" t="s">
        <v>182</v>
      </c>
      <c r="AA877" t="s">
        <v>984</v>
      </c>
      <c r="AB877" t="s">
        <v>984</v>
      </c>
      <c r="AC877" t="s">
        <v>82</v>
      </c>
      <c r="AD877" t="s">
        <v>83</v>
      </c>
      <c r="AE877" t="s">
        <v>66</v>
      </c>
      <c r="AF877" t="s">
        <v>876</v>
      </c>
    </row>
    <row r="878" spans="1:32">
      <c r="A878" t="s">
        <v>4750</v>
      </c>
      <c r="B878" t="s">
        <v>162</v>
      </c>
      <c r="C878" t="s">
        <v>4751</v>
      </c>
      <c r="D878" t="s">
        <v>66</v>
      </c>
      <c r="E878" t="s">
        <v>67</v>
      </c>
      <c r="F878" t="s">
        <v>164</v>
      </c>
      <c r="G878" t="s">
        <v>165</v>
      </c>
      <c r="H878" t="s">
        <v>66</v>
      </c>
      <c r="I878" t="s">
        <v>66</v>
      </c>
      <c r="J878" t="s">
        <v>67</v>
      </c>
      <c r="K878" t="s">
        <v>71</v>
      </c>
      <c r="L878" t="s">
        <v>72</v>
      </c>
      <c r="M878" t="s">
        <v>73</v>
      </c>
      <c r="N878" t="s">
        <v>66</v>
      </c>
      <c r="O878" t="s">
        <v>73</v>
      </c>
      <c r="P878" t="s">
        <v>66</v>
      </c>
      <c r="Q878" t="s">
        <v>979</v>
      </c>
      <c r="R878" t="s">
        <v>73</v>
      </c>
      <c r="S878" t="s">
        <v>979</v>
      </c>
      <c r="T878" t="s">
        <v>4752</v>
      </c>
      <c r="U878" t="s">
        <v>4753</v>
      </c>
      <c r="V878" t="s">
        <v>982</v>
      </c>
      <c r="W878" t="s">
        <v>66</v>
      </c>
      <c r="X878" t="s">
        <v>78</v>
      </c>
      <c r="Y878" t="s">
        <v>4754</v>
      </c>
      <c r="Z878" t="s">
        <v>182</v>
      </c>
      <c r="AA878" t="s">
        <v>984</v>
      </c>
      <c r="AB878" t="s">
        <v>984</v>
      </c>
      <c r="AC878" t="s">
        <v>82</v>
      </c>
      <c r="AD878" t="s">
        <v>83</v>
      </c>
      <c r="AE878" t="s">
        <v>66</v>
      </c>
      <c r="AF878" t="s">
        <v>876</v>
      </c>
    </row>
    <row r="879" spans="1:32">
      <c r="A879" t="s">
        <v>4755</v>
      </c>
      <c r="B879" t="s">
        <v>1004</v>
      </c>
      <c r="C879" t="s">
        <v>4756</v>
      </c>
      <c r="D879" t="s">
        <v>66</v>
      </c>
      <c r="E879" t="s">
        <v>67</v>
      </c>
      <c r="F879" t="s">
        <v>68</v>
      </c>
      <c r="G879" t="s">
        <v>69</v>
      </c>
      <c r="H879" t="s">
        <v>66</v>
      </c>
      <c r="I879" t="s">
        <v>66</v>
      </c>
      <c r="J879" t="s">
        <v>67</v>
      </c>
      <c r="K879" t="s">
        <v>71</v>
      </c>
      <c r="L879" t="s">
        <v>72</v>
      </c>
      <c r="M879" t="s">
        <v>73</v>
      </c>
      <c r="N879" t="s">
        <v>66</v>
      </c>
      <c r="O879" t="s">
        <v>73</v>
      </c>
      <c r="P879" t="s">
        <v>66</v>
      </c>
      <c r="Q879" t="s">
        <v>979</v>
      </c>
      <c r="R879" t="s">
        <v>73</v>
      </c>
      <c r="S879" t="s">
        <v>979</v>
      </c>
      <c r="T879" t="s">
        <v>4757</v>
      </c>
      <c r="U879" t="s">
        <v>4758</v>
      </c>
      <c r="V879" t="s">
        <v>982</v>
      </c>
      <c r="W879" t="s">
        <v>66</v>
      </c>
      <c r="X879" t="s">
        <v>78</v>
      </c>
      <c r="Y879" t="s">
        <v>4759</v>
      </c>
      <c r="Z879" t="s">
        <v>182</v>
      </c>
      <c r="AA879" t="s">
        <v>984</v>
      </c>
      <c r="AB879" t="s">
        <v>984</v>
      </c>
      <c r="AC879" t="s">
        <v>82</v>
      </c>
      <c r="AD879" t="s">
        <v>83</v>
      </c>
      <c r="AE879" t="s">
        <v>66</v>
      </c>
      <c r="AF879" t="s">
        <v>876</v>
      </c>
    </row>
    <row r="880" spans="1:32">
      <c r="A880" t="s">
        <v>4760</v>
      </c>
      <c r="B880" t="s">
        <v>359</v>
      </c>
      <c r="C880" t="s">
        <v>4761</v>
      </c>
      <c r="D880" t="s">
        <v>4761</v>
      </c>
      <c r="E880" t="s">
        <v>109</v>
      </c>
      <c r="F880" t="s">
        <v>947</v>
      </c>
      <c r="G880" t="s">
        <v>948</v>
      </c>
      <c r="H880" t="s">
        <v>66</v>
      </c>
      <c r="I880" t="s">
        <v>66</v>
      </c>
      <c r="J880" t="s">
        <v>67</v>
      </c>
      <c r="K880" t="s">
        <v>71</v>
      </c>
      <c r="L880" t="s">
        <v>72</v>
      </c>
      <c r="M880" t="s">
        <v>73</v>
      </c>
      <c r="N880" t="s">
        <v>66</v>
      </c>
      <c r="O880" t="s">
        <v>73</v>
      </c>
      <c r="P880" t="s">
        <v>66</v>
      </c>
      <c r="Q880" t="s">
        <v>979</v>
      </c>
      <c r="R880" t="s">
        <v>73</v>
      </c>
      <c r="S880" t="s">
        <v>979</v>
      </c>
      <c r="T880" t="s">
        <v>4762</v>
      </c>
      <c r="U880" t="s">
        <v>4763</v>
      </c>
      <c r="V880" t="s">
        <v>982</v>
      </c>
      <c r="W880" t="s">
        <v>66</v>
      </c>
      <c r="X880" t="s">
        <v>78</v>
      </c>
      <c r="Y880" t="s">
        <v>4764</v>
      </c>
      <c r="Z880" t="s">
        <v>182</v>
      </c>
      <c r="AA880" t="s">
        <v>984</v>
      </c>
      <c r="AB880" t="s">
        <v>984</v>
      </c>
      <c r="AC880" t="s">
        <v>82</v>
      </c>
      <c r="AD880" t="s">
        <v>83</v>
      </c>
      <c r="AE880" t="s">
        <v>66</v>
      </c>
      <c r="AF880" t="s">
        <v>876</v>
      </c>
    </row>
    <row r="881" spans="1:32">
      <c r="A881" t="s">
        <v>4765</v>
      </c>
      <c r="B881" t="s">
        <v>841</v>
      </c>
      <c r="C881" t="s">
        <v>4766</v>
      </c>
      <c r="D881" t="s">
        <v>4766</v>
      </c>
      <c r="E881" t="s">
        <v>109</v>
      </c>
      <c r="F881" t="s">
        <v>110</v>
      </c>
      <c r="G881" t="s">
        <v>111</v>
      </c>
      <c r="H881" t="s">
        <v>66</v>
      </c>
      <c r="I881" t="s">
        <v>66</v>
      </c>
      <c r="J881" t="s">
        <v>67</v>
      </c>
      <c r="K881" t="s">
        <v>71</v>
      </c>
      <c r="L881" t="s">
        <v>72</v>
      </c>
      <c r="M881" t="s">
        <v>73</v>
      </c>
      <c r="N881" t="s">
        <v>66</v>
      </c>
      <c r="O881" t="s">
        <v>73</v>
      </c>
      <c r="P881" t="s">
        <v>66</v>
      </c>
      <c r="Q881" t="s">
        <v>979</v>
      </c>
      <c r="R881" t="s">
        <v>73</v>
      </c>
      <c r="S881" t="s">
        <v>979</v>
      </c>
      <c r="T881" t="s">
        <v>4767</v>
      </c>
      <c r="U881" t="s">
        <v>4768</v>
      </c>
      <c r="V881" t="s">
        <v>982</v>
      </c>
      <c r="W881" t="s">
        <v>66</v>
      </c>
      <c r="X881" t="s">
        <v>78</v>
      </c>
      <c r="Y881" t="s">
        <v>4769</v>
      </c>
      <c r="Z881" t="s">
        <v>182</v>
      </c>
      <c r="AA881" t="s">
        <v>984</v>
      </c>
      <c r="AB881" t="s">
        <v>984</v>
      </c>
      <c r="AC881" t="s">
        <v>82</v>
      </c>
      <c r="AD881" t="s">
        <v>83</v>
      </c>
      <c r="AE881" t="s">
        <v>66</v>
      </c>
      <c r="AF881" t="s">
        <v>876</v>
      </c>
    </row>
    <row r="882" spans="1:32">
      <c r="A882" t="s">
        <v>4770</v>
      </c>
      <c r="B882" t="s">
        <v>1101</v>
      </c>
      <c r="C882" t="s">
        <v>4771</v>
      </c>
      <c r="D882" t="s">
        <v>66</v>
      </c>
      <c r="E882" t="s">
        <v>67</v>
      </c>
      <c r="F882" t="s">
        <v>110</v>
      </c>
      <c r="G882" t="s">
        <v>111</v>
      </c>
      <c r="H882" t="s">
        <v>66</v>
      </c>
      <c r="I882" t="s">
        <v>66</v>
      </c>
      <c r="J882" t="s">
        <v>67</v>
      </c>
      <c r="K882" t="s">
        <v>71</v>
      </c>
      <c r="L882" t="s">
        <v>72</v>
      </c>
      <c r="M882" t="s">
        <v>73</v>
      </c>
      <c r="N882" t="s">
        <v>66</v>
      </c>
      <c r="O882" t="s">
        <v>73</v>
      </c>
      <c r="P882" t="s">
        <v>66</v>
      </c>
      <c r="Q882" t="s">
        <v>979</v>
      </c>
      <c r="R882" t="s">
        <v>73</v>
      </c>
      <c r="S882" t="s">
        <v>979</v>
      </c>
      <c r="T882" t="s">
        <v>4772</v>
      </c>
      <c r="U882" t="s">
        <v>4773</v>
      </c>
      <c r="V882" t="s">
        <v>982</v>
      </c>
      <c r="W882" t="s">
        <v>66</v>
      </c>
      <c r="X882" t="s">
        <v>78</v>
      </c>
      <c r="Y882" t="s">
        <v>4774</v>
      </c>
      <c r="Z882" t="s">
        <v>182</v>
      </c>
      <c r="AA882" t="s">
        <v>984</v>
      </c>
      <c r="AB882" t="s">
        <v>984</v>
      </c>
      <c r="AC882" t="s">
        <v>82</v>
      </c>
      <c r="AD882" t="s">
        <v>83</v>
      </c>
      <c r="AE882" t="s">
        <v>66</v>
      </c>
      <c r="AF882" t="s">
        <v>876</v>
      </c>
    </row>
    <row r="883" spans="1:32">
      <c r="A883" t="s">
        <v>4775</v>
      </c>
      <c r="B883" t="s">
        <v>162</v>
      </c>
      <c r="C883" t="s">
        <v>4776</v>
      </c>
      <c r="D883" t="s">
        <v>66</v>
      </c>
      <c r="E883" t="s">
        <v>67</v>
      </c>
      <c r="F883" t="s">
        <v>164</v>
      </c>
      <c r="G883" t="s">
        <v>165</v>
      </c>
      <c r="H883" t="s">
        <v>66</v>
      </c>
      <c r="I883" t="s">
        <v>66</v>
      </c>
      <c r="J883" t="s">
        <v>67</v>
      </c>
      <c r="K883" t="s">
        <v>71</v>
      </c>
      <c r="L883" t="s">
        <v>72</v>
      </c>
      <c r="M883" t="s">
        <v>73</v>
      </c>
      <c r="N883" t="s">
        <v>66</v>
      </c>
      <c r="O883" t="s">
        <v>73</v>
      </c>
      <c r="P883" t="s">
        <v>66</v>
      </c>
      <c r="Q883" t="s">
        <v>979</v>
      </c>
      <c r="R883" t="s">
        <v>73</v>
      </c>
      <c r="S883" t="s">
        <v>979</v>
      </c>
      <c r="T883" t="s">
        <v>4777</v>
      </c>
      <c r="U883" t="s">
        <v>4778</v>
      </c>
      <c r="V883" t="s">
        <v>982</v>
      </c>
      <c r="W883" t="s">
        <v>66</v>
      </c>
      <c r="X883" t="s">
        <v>78</v>
      </c>
      <c r="Y883" t="s">
        <v>4779</v>
      </c>
      <c r="Z883" t="s">
        <v>182</v>
      </c>
      <c r="AA883" t="s">
        <v>984</v>
      </c>
      <c r="AB883" t="s">
        <v>984</v>
      </c>
      <c r="AC883" t="s">
        <v>82</v>
      </c>
      <c r="AD883" t="s">
        <v>83</v>
      </c>
      <c r="AE883" t="s">
        <v>66</v>
      </c>
      <c r="AF883" t="s">
        <v>876</v>
      </c>
    </row>
    <row r="884" spans="1:32">
      <c r="A884" t="s">
        <v>4780</v>
      </c>
      <c r="B884" t="s">
        <v>1004</v>
      </c>
      <c r="C884" t="s">
        <v>4781</v>
      </c>
      <c r="D884" t="s">
        <v>66</v>
      </c>
      <c r="E884" t="s">
        <v>67</v>
      </c>
      <c r="F884" t="s">
        <v>68</v>
      </c>
      <c r="G884" t="s">
        <v>69</v>
      </c>
      <c r="H884" t="s">
        <v>66</v>
      </c>
      <c r="I884" t="s">
        <v>66</v>
      </c>
      <c r="J884" t="s">
        <v>67</v>
      </c>
      <c r="K884" t="s">
        <v>71</v>
      </c>
      <c r="L884" t="s">
        <v>72</v>
      </c>
      <c r="M884" t="s">
        <v>73</v>
      </c>
      <c r="N884" t="s">
        <v>66</v>
      </c>
      <c r="O884" t="s">
        <v>73</v>
      </c>
      <c r="P884" t="s">
        <v>66</v>
      </c>
      <c r="Q884" t="s">
        <v>979</v>
      </c>
      <c r="R884" t="s">
        <v>73</v>
      </c>
      <c r="S884" t="s">
        <v>979</v>
      </c>
      <c r="T884" t="s">
        <v>4782</v>
      </c>
      <c r="U884" t="s">
        <v>4783</v>
      </c>
      <c r="V884" t="s">
        <v>982</v>
      </c>
      <c r="W884" t="s">
        <v>66</v>
      </c>
      <c r="X884" t="s">
        <v>78</v>
      </c>
      <c r="Y884" t="s">
        <v>4784</v>
      </c>
      <c r="Z884" t="s">
        <v>182</v>
      </c>
      <c r="AA884" t="s">
        <v>984</v>
      </c>
      <c r="AB884" t="s">
        <v>984</v>
      </c>
      <c r="AC884" t="s">
        <v>82</v>
      </c>
      <c r="AD884" t="s">
        <v>83</v>
      </c>
      <c r="AE884" t="s">
        <v>66</v>
      </c>
      <c r="AF884" t="s">
        <v>876</v>
      </c>
    </row>
    <row r="885" spans="1:32">
      <c r="A885" t="s">
        <v>4785</v>
      </c>
      <c r="B885" t="s">
        <v>107</v>
      </c>
      <c r="C885" t="s">
        <v>4786</v>
      </c>
      <c r="D885" t="s">
        <v>4786</v>
      </c>
      <c r="E885" t="s">
        <v>109</v>
      </c>
      <c r="F885" t="s">
        <v>110</v>
      </c>
      <c r="G885" t="s">
        <v>111</v>
      </c>
      <c r="H885" t="s">
        <v>66</v>
      </c>
      <c r="I885" t="s">
        <v>66</v>
      </c>
      <c r="J885" t="s">
        <v>67</v>
      </c>
      <c r="K885" t="s">
        <v>71</v>
      </c>
      <c r="L885" t="s">
        <v>72</v>
      </c>
      <c r="M885" t="s">
        <v>73</v>
      </c>
      <c r="N885" t="s">
        <v>66</v>
      </c>
      <c r="O885" t="s">
        <v>73</v>
      </c>
      <c r="P885" t="s">
        <v>66</v>
      </c>
      <c r="Q885" t="s">
        <v>979</v>
      </c>
      <c r="R885" t="s">
        <v>73</v>
      </c>
      <c r="S885" t="s">
        <v>979</v>
      </c>
      <c r="T885" t="s">
        <v>4787</v>
      </c>
      <c r="U885" t="s">
        <v>4788</v>
      </c>
      <c r="V885" t="s">
        <v>982</v>
      </c>
      <c r="W885" t="s">
        <v>66</v>
      </c>
      <c r="X885" t="s">
        <v>78</v>
      </c>
      <c r="Y885" t="s">
        <v>4789</v>
      </c>
      <c r="Z885" t="s">
        <v>182</v>
      </c>
      <c r="AA885" t="s">
        <v>984</v>
      </c>
      <c r="AB885" t="s">
        <v>984</v>
      </c>
      <c r="AC885" t="s">
        <v>82</v>
      </c>
      <c r="AD885" t="s">
        <v>83</v>
      </c>
      <c r="AE885" t="s">
        <v>66</v>
      </c>
      <c r="AF885" t="s">
        <v>876</v>
      </c>
    </row>
    <row r="886" spans="1:32">
      <c r="A886" t="s">
        <v>4790</v>
      </c>
      <c r="B886" t="s">
        <v>308</v>
      </c>
      <c r="C886" t="s">
        <v>4791</v>
      </c>
      <c r="D886" t="s">
        <v>4791</v>
      </c>
      <c r="E886" t="s">
        <v>109</v>
      </c>
      <c r="F886" t="s">
        <v>68</v>
      </c>
      <c r="G886" t="s">
        <v>69</v>
      </c>
      <c r="H886" t="s">
        <v>66</v>
      </c>
      <c r="I886" t="s">
        <v>66</v>
      </c>
      <c r="J886" t="s">
        <v>67</v>
      </c>
      <c r="K886" t="s">
        <v>71</v>
      </c>
      <c r="L886" t="s">
        <v>72</v>
      </c>
      <c r="M886" t="s">
        <v>73</v>
      </c>
      <c r="N886" t="s">
        <v>66</v>
      </c>
      <c r="O886" t="s">
        <v>73</v>
      </c>
      <c r="P886" t="s">
        <v>66</v>
      </c>
      <c r="Q886" t="s">
        <v>979</v>
      </c>
      <c r="R886" t="s">
        <v>73</v>
      </c>
      <c r="S886" t="s">
        <v>979</v>
      </c>
      <c r="T886" t="s">
        <v>4792</v>
      </c>
      <c r="U886" t="s">
        <v>4793</v>
      </c>
      <c r="V886" t="s">
        <v>982</v>
      </c>
      <c r="W886" t="s">
        <v>66</v>
      </c>
      <c r="X886" t="s">
        <v>78</v>
      </c>
      <c r="Y886" t="s">
        <v>4794</v>
      </c>
      <c r="Z886" t="s">
        <v>182</v>
      </c>
      <c r="AA886" t="s">
        <v>984</v>
      </c>
      <c r="AB886" t="s">
        <v>984</v>
      </c>
      <c r="AC886" t="s">
        <v>82</v>
      </c>
      <c r="AD886" t="s">
        <v>83</v>
      </c>
      <c r="AE886" t="s">
        <v>66</v>
      </c>
      <c r="AF886" t="s">
        <v>876</v>
      </c>
    </row>
    <row r="887" spans="1:32">
      <c r="A887" t="s">
        <v>4795</v>
      </c>
      <c r="B887" t="s">
        <v>151</v>
      </c>
      <c r="C887" t="s">
        <v>4796</v>
      </c>
      <c r="D887" t="s">
        <v>66</v>
      </c>
      <c r="E887" t="s">
        <v>67</v>
      </c>
      <c r="F887" t="s">
        <v>68</v>
      </c>
      <c r="G887" t="s">
        <v>69</v>
      </c>
      <c r="H887" t="s">
        <v>66</v>
      </c>
      <c r="I887" t="s">
        <v>66</v>
      </c>
      <c r="J887" t="s">
        <v>67</v>
      </c>
      <c r="K887" t="s">
        <v>71</v>
      </c>
      <c r="L887" t="s">
        <v>72</v>
      </c>
      <c r="M887" t="s">
        <v>73</v>
      </c>
      <c r="N887" t="s">
        <v>66</v>
      </c>
      <c r="O887" t="s">
        <v>73</v>
      </c>
      <c r="P887" t="s">
        <v>66</v>
      </c>
      <c r="Q887" t="s">
        <v>979</v>
      </c>
      <c r="R887" t="s">
        <v>73</v>
      </c>
      <c r="S887" t="s">
        <v>979</v>
      </c>
      <c r="T887" t="s">
        <v>4797</v>
      </c>
      <c r="U887" t="s">
        <v>4798</v>
      </c>
      <c r="V887" t="s">
        <v>982</v>
      </c>
      <c r="W887" t="s">
        <v>66</v>
      </c>
      <c r="X887" t="s">
        <v>78</v>
      </c>
      <c r="Y887" t="s">
        <v>4799</v>
      </c>
      <c r="Z887" t="s">
        <v>182</v>
      </c>
      <c r="AA887" t="s">
        <v>984</v>
      </c>
      <c r="AB887" t="s">
        <v>984</v>
      </c>
      <c r="AC887" t="s">
        <v>82</v>
      </c>
      <c r="AD887" t="s">
        <v>83</v>
      </c>
      <c r="AE887" t="s">
        <v>66</v>
      </c>
      <c r="AF887" t="s">
        <v>876</v>
      </c>
    </row>
    <row r="888" spans="1:32">
      <c r="A888" t="s">
        <v>4800</v>
      </c>
      <c r="B888" t="s">
        <v>1064</v>
      </c>
      <c r="C888" t="s">
        <v>4801</v>
      </c>
      <c r="D888" t="s">
        <v>66</v>
      </c>
      <c r="E888" t="s">
        <v>67</v>
      </c>
      <c r="F888" t="s">
        <v>110</v>
      </c>
      <c r="G888" t="s">
        <v>111</v>
      </c>
      <c r="H888" t="s">
        <v>66</v>
      </c>
      <c r="I888" t="s">
        <v>66</v>
      </c>
      <c r="J888" t="s">
        <v>67</v>
      </c>
      <c r="K888" t="s">
        <v>71</v>
      </c>
      <c r="L888" t="s">
        <v>72</v>
      </c>
      <c r="M888" t="s">
        <v>73</v>
      </c>
      <c r="N888" t="s">
        <v>66</v>
      </c>
      <c r="O888" t="s">
        <v>73</v>
      </c>
      <c r="P888" t="s">
        <v>66</v>
      </c>
      <c r="Q888" t="s">
        <v>979</v>
      </c>
      <c r="R888" t="s">
        <v>73</v>
      </c>
      <c r="S888" t="s">
        <v>979</v>
      </c>
      <c r="T888" t="s">
        <v>4802</v>
      </c>
      <c r="U888" t="s">
        <v>4803</v>
      </c>
      <c r="V888" t="s">
        <v>982</v>
      </c>
      <c r="W888" t="s">
        <v>66</v>
      </c>
      <c r="X888" t="s">
        <v>78</v>
      </c>
      <c r="Y888" t="s">
        <v>4804</v>
      </c>
      <c r="Z888" t="s">
        <v>182</v>
      </c>
      <c r="AA888" t="s">
        <v>984</v>
      </c>
      <c r="AB888" t="s">
        <v>984</v>
      </c>
      <c r="AC888" t="s">
        <v>82</v>
      </c>
      <c r="AD888" t="s">
        <v>83</v>
      </c>
      <c r="AE888" t="s">
        <v>66</v>
      </c>
      <c r="AF888" t="s">
        <v>876</v>
      </c>
    </row>
    <row r="889" spans="1:32">
      <c r="A889" t="s">
        <v>4805</v>
      </c>
      <c r="B889" t="s">
        <v>308</v>
      </c>
      <c r="C889" t="s">
        <v>4806</v>
      </c>
      <c r="D889" t="s">
        <v>4806</v>
      </c>
      <c r="E889" t="s">
        <v>109</v>
      </c>
      <c r="F889" t="s">
        <v>110</v>
      </c>
      <c r="G889" t="s">
        <v>111</v>
      </c>
      <c r="H889" t="s">
        <v>66</v>
      </c>
      <c r="I889" t="s">
        <v>66</v>
      </c>
      <c r="J889" t="s">
        <v>67</v>
      </c>
      <c r="K889" t="s">
        <v>71</v>
      </c>
      <c r="L889" t="s">
        <v>72</v>
      </c>
      <c r="M889" t="s">
        <v>73</v>
      </c>
      <c r="N889" t="s">
        <v>66</v>
      </c>
      <c r="O889" t="s">
        <v>73</v>
      </c>
      <c r="P889" t="s">
        <v>66</v>
      </c>
      <c r="Q889" t="s">
        <v>979</v>
      </c>
      <c r="R889" t="s">
        <v>73</v>
      </c>
      <c r="S889" t="s">
        <v>979</v>
      </c>
      <c r="T889" t="s">
        <v>4807</v>
      </c>
      <c r="U889" t="s">
        <v>4808</v>
      </c>
      <c r="V889" t="s">
        <v>982</v>
      </c>
      <c r="W889" t="s">
        <v>66</v>
      </c>
      <c r="X889" t="s">
        <v>78</v>
      </c>
      <c r="Y889" t="s">
        <v>4809</v>
      </c>
      <c r="Z889" t="s">
        <v>182</v>
      </c>
      <c r="AA889" t="s">
        <v>984</v>
      </c>
      <c r="AB889" t="s">
        <v>984</v>
      </c>
      <c r="AC889" t="s">
        <v>82</v>
      </c>
      <c r="AD889" t="s">
        <v>83</v>
      </c>
      <c r="AE889" t="s">
        <v>66</v>
      </c>
      <c r="AF889" t="s">
        <v>876</v>
      </c>
    </row>
    <row r="890" spans="1:32">
      <c r="A890" t="s">
        <v>4810</v>
      </c>
      <c r="B890" t="s">
        <v>308</v>
      </c>
      <c r="C890" t="s">
        <v>4811</v>
      </c>
      <c r="D890" t="s">
        <v>4811</v>
      </c>
      <c r="E890" t="s">
        <v>109</v>
      </c>
      <c r="F890" t="s">
        <v>110</v>
      </c>
      <c r="G890" t="s">
        <v>111</v>
      </c>
      <c r="H890" t="s">
        <v>66</v>
      </c>
      <c r="I890" t="s">
        <v>66</v>
      </c>
      <c r="J890" t="s">
        <v>67</v>
      </c>
      <c r="K890" t="s">
        <v>71</v>
      </c>
      <c r="L890" t="s">
        <v>72</v>
      </c>
      <c r="M890" t="s">
        <v>73</v>
      </c>
      <c r="N890" t="s">
        <v>66</v>
      </c>
      <c r="O890" t="s">
        <v>73</v>
      </c>
      <c r="P890" t="s">
        <v>66</v>
      </c>
      <c r="Q890" t="s">
        <v>979</v>
      </c>
      <c r="R890" t="s">
        <v>73</v>
      </c>
      <c r="S890" t="s">
        <v>979</v>
      </c>
      <c r="T890" t="s">
        <v>4812</v>
      </c>
      <c r="U890" t="s">
        <v>4813</v>
      </c>
      <c r="V890" t="s">
        <v>982</v>
      </c>
      <c r="W890" t="s">
        <v>66</v>
      </c>
      <c r="X890" t="s">
        <v>78</v>
      </c>
      <c r="Y890" t="s">
        <v>4814</v>
      </c>
      <c r="Z890" t="s">
        <v>182</v>
      </c>
      <c r="AA890" t="s">
        <v>984</v>
      </c>
      <c r="AB890" t="s">
        <v>984</v>
      </c>
      <c r="AC890" t="s">
        <v>82</v>
      </c>
      <c r="AD890" t="s">
        <v>83</v>
      </c>
      <c r="AE890" t="s">
        <v>66</v>
      </c>
      <c r="AF890" t="s">
        <v>876</v>
      </c>
    </row>
    <row r="891" spans="1:32">
      <c r="A891" t="s">
        <v>4815</v>
      </c>
      <c r="B891" t="s">
        <v>308</v>
      </c>
      <c r="C891" t="s">
        <v>4816</v>
      </c>
      <c r="D891" t="s">
        <v>4816</v>
      </c>
      <c r="E891" t="s">
        <v>109</v>
      </c>
      <c r="F891" t="s">
        <v>110</v>
      </c>
      <c r="G891" t="s">
        <v>111</v>
      </c>
      <c r="H891" t="s">
        <v>66</v>
      </c>
      <c r="I891" t="s">
        <v>66</v>
      </c>
      <c r="J891" t="s">
        <v>67</v>
      </c>
      <c r="K891" t="s">
        <v>71</v>
      </c>
      <c r="L891" t="s">
        <v>72</v>
      </c>
      <c r="M891" t="s">
        <v>73</v>
      </c>
      <c r="N891" t="s">
        <v>66</v>
      </c>
      <c r="O891" t="s">
        <v>73</v>
      </c>
      <c r="P891" t="s">
        <v>66</v>
      </c>
      <c r="Q891" t="s">
        <v>979</v>
      </c>
      <c r="R891" t="s">
        <v>73</v>
      </c>
      <c r="S891" t="s">
        <v>979</v>
      </c>
      <c r="T891" t="s">
        <v>4817</v>
      </c>
      <c r="U891" t="s">
        <v>4818</v>
      </c>
      <c r="V891" t="s">
        <v>982</v>
      </c>
      <c r="W891" t="s">
        <v>66</v>
      </c>
      <c r="X891" t="s">
        <v>78</v>
      </c>
      <c r="Y891" t="s">
        <v>4819</v>
      </c>
      <c r="Z891" t="s">
        <v>182</v>
      </c>
      <c r="AA891" t="s">
        <v>984</v>
      </c>
      <c r="AB891" t="s">
        <v>984</v>
      </c>
      <c r="AC891" t="s">
        <v>82</v>
      </c>
      <c r="AD891" t="s">
        <v>83</v>
      </c>
      <c r="AE891" t="s">
        <v>66</v>
      </c>
      <c r="AF891" t="s">
        <v>876</v>
      </c>
    </row>
    <row r="892" spans="1:32">
      <c r="A892" t="s">
        <v>4820</v>
      </c>
      <c r="B892" t="s">
        <v>1064</v>
      </c>
      <c r="C892" t="s">
        <v>4821</v>
      </c>
      <c r="D892" t="s">
        <v>66</v>
      </c>
      <c r="E892" t="s">
        <v>67</v>
      </c>
      <c r="F892" t="s">
        <v>110</v>
      </c>
      <c r="G892" t="s">
        <v>111</v>
      </c>
      <c r="H892" t="s">
        <v>66</v>
      </c>
      <c r="I892" t="s">
        <v>66</v>
      </c>
      <c r="J892" t="s">
        <v>67</v>
      </c>
      <c r="K892" t="s">
        <v>71</v>
      </c>
      <c r="L892" t="s">
        <v>72</v>
      </c>
      <c r="M892" t="s">
        <v>73</v>
      </c>
      <c r="N892" t="s">
        <v>66</v>
      </c>
      <c r="O892" t="s">
        <v>73</v>
      </c>
      <c r="P892" t="s">
        <v>66</v>
      </c>
      <c r="Q892" t="s">
        <v>979</v>
      </c>
      <c r="R892" t="s">
        <v>73</v>
      </c>
      <c r="S892" t="s">
        <v>979</v>
      </c>
      <c r="T892" t="s">
        <v>4822</v>
      </c>
      <c r="U892" t="s">
        <v>4823</v>
      </c>
      <c r="V892" t="s">
        <v>982</v>
      </c>
      <c r="W892" t="s">
        <v>66</v>
      </c>
      <c r="X892" t="s">
        <v>78</v>
      </c>
      <c r="Y892" t="s">
        <v>4824</v>
      </c>
      <c r="Z892" t="s">
        <v>182</v>
      </c>
      <c r="AA892" t="s">
        <v>984</v>
      </c>
      <c r="AB892" t="s">
        <v>984</v>
      </c>
      <c r="AC892" t="s">
        <v>82</v>
      </c>
      <c r="AD892" t="s">
        <v>83</v>
      </c>
      <c r="AE892" t="s">
        <v>66</v>
      </c>
      <c r="AF892" t="s">
        <v>876</v>
      </c>
    </row>
    <row r="893" spans="1:32">
      <c r="A893" t="s">
        <v>4825</v>
      </c>
      <c r="B893" t="s">
        <v>3702</v>
      </c>
      <c r="C893" t="s">
        <v>4826</v>
      </c>
      <c r="D893" t="s">
        <v>66</v>
      </c>
      <c r="E893" t="s">
        <v>67</v>
      </c>
      <c r="F893" t="s">
        <v>110</v>
      </c>
      <c r="G893" t="s">
        <v>111</v>
      </c>
      <c r="H893" t="s">
        <v>66</v>
      </c>
      <c r="I893" t="s">
        <v>66</v>
      </c>
      <c r="J893" t="s">
        <v>67</v>
      </c>
      <c r="K893" t="s">
        <v>71</v>
      </c>
      <c r="L893" t="s">
        <v>72</v>
      </c>
      <c r="M893" t="s">
        <v>73</v>
      </c>
      <c r="N893" t="s">
        <v>66</v>
      </c>
      <c r="O893" t="s">
        <v>73</v>
      </c>
      <c r="P893" t="s">
        <v>66</v>
      </c>
      <c r="Q893" t="s">
        <v>979</v>
      </c>
      <c r="R893" t="s">
        <v>73</v>
      </c>
      <c r="S893" t="s">
        <v>979</v>
      </c>
      <c r="T893" t="s">
        <v>4827</v>
      </c>
      <c r="U893" t="s">
        <v>4828</v>
      </c>
      <c r="V893" t="s">
        <v>982</v>
      </c>
      <c r="W893" t="s">
        <v>66</v>
      </c>
      <c r="X893" t="s">
        <v>78</v>
      </c>
      <c r="Y893" t="s">
        <v>4829</v>
      </c>
      <c r="Z893" t="s">
        <v>182</v>
      </c>
      <c r="AA893" t="s">
        <v>984</v>
      </c>
      <c r="AB893" t="s">
        <v>984</v>
      </c>
      <c r="AC893" t="s">
        <v>82</v>
      </c>
      <c r="AD893" t="s">
        <v>83</v>
      </c>
      <c r="AE893" t="s">
        <v>66</v>
      </c>
      <c r="AF893" t="s">
        <v>876</v>
      </c>
    </row>
    <row r="894" spans="1:32">
      <c r="A894" t="s">
        <v>4830</v>
      </c>
      <c r="B894" t="s">
        <v>1415</v>
      </c>
      <c r="C894" t="s">
        <v>4831</v>
      </c>
      <c r="D894" t="s">
        <v>4831</v>
      </c>
      <c r="E894" t="s">
        <v>109</v>
      </c>
      <c r="F894" t="s">
        <v>68</v>
      </c>
      <c r="G894" t="s">
        <v>69</v>
      </c>
      <c r="H894" t="s">
        <v>66</v>
      </c>
      <c r="I894" t="s">
        <v>66</v>
      </c>
      <c r="J894" t="s">
        <v>67</v>
      </c>
      <c r="K894" t="s">
        <v>71</v>
      </c>
      <c r="L894" t="s">
        <v>72</v>
      </c>
      <c r="M894" t="s">
        <v>73</v>
      </c>
      <c r="N894" t="s">
        <v>66</v>
      </c>
      <c r="O894" t="s">
        <v>73</v>
      </c>
      <c r="P894" t="s">
        <v>66</v>
      </c>
      <c r="Q894" t="s">
        <v>979</v>
      </c>
      <c r="R894" t="s">
        <v>73</v>
      </c>
      <c r="S894" t="s">
        <v>979</v>
      </c>
      <c r="T894" t="s">
        <v>4832</v>
      </c>
      <c r="U894" t="s">
        <v>4833</v>
      </c>
      <c r="V894" t="s">
        <v>982</v>
      </c>
      <c r="W894" t="s">
        <v>66</v>
      </c>
      <c r="X894" t="s">
        <v>78</v>
      </c>
      <c r="Y894" t="s">
        <v>4834</v>
      </c>
      <c r="Z894" t="s">
        <v>182</v>
      </c>
      <c r="AA894" t="s">
        <v>984</v>
      </c>
      <c r="AB894" t="s">
        <v>984</v>
      </c>
      <c r="AC894" t="s">
        <v>82</v>
      </c>
      <c r="AD894" t="s">
        <v>83</v>
      </c>
      <c r="AE894" t="s">
        <v>66</v>
      </c>
      <c r="AF894" t="s">
        <v>876</v>
      </c>
    </row>
    <row r="895" spans="1:32">
      <c r="A895" t="s">
        <v>4835</v>
      </c>
      <c r="B895" t="s">
        <v>308</v>
      </c>
      <c r="C895" t="s">
        <v>4836</v>
      </c>
      <c r="D895" t="s">
        <v>4836</v>
      </c>
      <c r="E895" t="s">
        <v>109</v>
      </c>
      <c r="F895" t="s">
        <v>110</v>
      </c>
      <c r="G895" t="s">
        <v>111</v>
      </c>
      <c r="H895" t="s">
        <v>66</v>
      </c>
      <c r="I895" t="s">
        <v>66</v>
      </c>
      <c r="J895" t="s">
        <v>67</v>
      </c>
      <c r="K895" t="s">
        <v>71</v>
      </c>
      <c r="L895" t="s">
        <v>72</v>
      </c>
      <c r="M895" t="s">
        <v>73</v>
      </c>
      <c r="N895" t="s">
        <v>66</v>
      </c>
      <c r="O895" t="s">
        <v>73</v>
      </c>
      <c r="P895" t="s">
        <v>66</v>
      </c>
      <c r="Q895" t="s">
        <v>979</v>
      </c>
      <c r="R895" t="s">
        <v>73</v>
      </c>
      <c r="S895" t="s">
        <v>979</v>
      </c>
      <c r="T895" t="s">
        <v>4837</v>
      </c>
      <c r="U895" t="s">
        <v>4838</v>
      </c>
      <c r="V895" t="s">
        <v>982</v>
      </c>
      <c r="W895" t="s">
        <v>66</v>
      </c>
      <c r="X895" t="s">
        <v>78</v>
      </c>
      <c r="Y895" t="s">
        <v>4839</v>
      </c>
      <c r="Z895" t="s">
        <v>182</v>
      </c>
      <c r="AA895" t="s">
        <v>984</v>
      </c>
      <c r="AB895" t="s">
        <v>984</v>
      </c>
      <c r="AC895" t="s">
        <v>82</v>
      </c>
      <c r="AD895" t="s">
        <v>83</v>
      </c>
      <c r="AE895" t="s">
        <v>66</v>
      </c>
      <c r="AF895" t="s">
        <v>876</v>
      </c>
    </row>
    <row r="896" spans="1:32">
      <c r="A896" t="s">
        <v>4840</v>
      </c>
      <c r="B896" t="s">
        <v>841</v>
      </c>
      <c r="C896" t="s">
        <v>4841</v>
      </c>
      <c r="D896" t="s">
        <v>4841</v>
      </c>
      <c r="E896" t="s">
        <v>109</v>
      </c>
      <c r="F896" t="s">
        <v>110</v>
      </c>
      <c r="G896" t="s">
        <v>111</v>
      </c>
      <c r="H896" t="s">
        <v>66</v>
      </c>
      <c r="I896" t="s">
        <v>66</v>
      </c>
      <c r="J896" t="s">
        <v>67</v>
      </c>
      <c r="K896" t="s">
        <v>71</v>
      </c>
      <c r="L896" t="s">
        <v>72</v>
      </c>
      <c r="M896" t="s">
        <v>73</v>
      </c>
      <c r="N896" t="s">
        <v>66</v>
      </c>
      <c r="O896" t="s">
        <v>73</v>
      </c>
      <c r="P896" t="s">
        <v>66</v>
      </c>
      <c r="Q896" t="s">
        <v>979</v>
      </c>
      <c r="R896" t="s">
        <v>73</v>
      </c>
      <c r="S896" t="s">
        <v>979</v>
      </c>
      <c r="T896" t="s">
        <v>4842</v>
      </c>
      <c r="U896" t="s">
        <v>4843</v>
      </c>
      <c r="V896" t="s">
        <v>982</v>
      </c>
      <c r="W896" t="s">
        <v>66</v>
      </c>
      <c r="X896" t="s">
        <v>78</v>
      </c>
      <c r="Y896" t="s">
        <v>4844</v>
      </c>
      <c r="Z896" t="s">
        <v>182</v>
      </c>
      <c r="AA896" t="s">
        <v>984</v>
      </c>
      <c r="AB896" t="s">
        <v>984</v>
      </c>
      <c r="AC896" t="s">
        <v>82</v>
      </c>
      <c r="AD896" t="s">
        <v>83</v>
      </c>
      <c r="AE896" t="s">
        <v>66</v>
      </c>
      <c r="AF896" t="s">
        <v>876</v>
      </c>
    </row>
    <row r="897" spans="1:32">
      <c r="A897" t="s">
        <v>4845</v>
      </c>
      <c r="B897" t="s">
        <v>1384</v>
      </c>
      <c r="C897" t="s">
        <v>4846</v>
      </c>
      <c r="D897" t="s">
        <v>66</v>
      </c>
      <c r="E897" t="s">
        <v>67</v>
      </c>
      <c r="F897" t="s">
        <v>68</v>
      </c>
      <c r="G897" t="s">
        <v>69</v>
      </c>
      <c r="H897" t="s">
        <v>66</v>
      </c>
      <c r="I897" t="s">
        <v>66</v>
      </c>
      <c r="J897" t="s">
        <v>67</v>
      </c>
      <c r="K897" t="s">
        <v>71</v>
      </c>
      <c r="L897" t="s">
        <v>72</v>
      </c>
      <c r="M897" t="s">
        <v>73</v>
      </c>
      <c r="N897" t="s">
        <v>66</v>
      </c>
      <c r="O897" t="s">
        <v>73</v>
      </c>
      <c r="P897" t="s">
        <v>66</v>
      </c>
      <c r="Q897" t="s">
        <v>979</v>
      </c>
      <c r="R897" t="s">
        <v>73</v>
      </c>
      <c r="S897" t="s">
        <v>979</v>
      </c>
      <c r="T897" t="s">
        <v>4847</v>
      </c>
      <c r="U897" t="s">
        <v>4848</v>
      </c>
      <c r="V897" t="s">
        <v>982</v>
      </c>
      <c r="W897" t="s">
        <v>66</v>
      </c>
      <c r="X897" t="s">
        <v>78</v>
      </c>
      <c r="Y897" t="s">
        <v>4849</v>
      </c>
      <c r="Z897" t="s">
        <v>182</v>
      </c>
      <c r="AA897" t="s">
        <v>984</v>
      </c>
      <c r="AB897" t="s">
        <v>984</v>
      </c>
      <c r="AC897" t="s">
        <v>82</v>
      </c>
      <c r="AD897" t="s">
        <v>83</v>
      </c>
      <c r="AE897" t="s">
        <v>66</v>
      </c>
      <c r="AF897" t="s">
        <v>876</v>
      </c>
    </row>
    <row r="898" spans="1:32">
      <c r="A898" t="s">
        <v>4850</v>
      </c>
      <c r="B898" t="s">
        <v>977</v>
      </c>
      <c r="C898" t="s">
        <v>4851</v>
      </c>
      <c r="D898" t="s">
        <v>4851</v>
      </c>
      <c r="E898" t="s">
        <v>109</v>
      </c>
      <c r="F898" t="s">
        <v>68</v>
      </c>
      <c r="G898" t="s">
        <v>69</v>
      </c>
      <c r="H898" t="s">
        <v>66</v>
      </c>
      <c r="I898" t="s">
        <v>66</v>
      </c>
      <c r="J898" t="s">
        <v>67</v>
      </c>
      <c r="K898" t="s">
        <v>71</v>
      </c>
      <c r="L898" t="s">
        <v>72</v>
      </c>
      <c r="M898" t="s">
        <v>73</v>
      </c>
      <c r="N898" t="s">
        <v>66</v>
      </c>
      <c r="O898" t="s">
        <v>73</v>
      </c>
      <c r="P898" t="s">
        <v>66</v>
      </c>
      <c r="Q898" t="s">
        <v>979</v>
      </c>
      <c r="R898" t="s">
        <v>73</v>
      </c>
      <c r="S898" t="s">
        <v>979</v>
      </c>
      <c r="T898" t="s">
        <v>4852</v>
      </c>
      <c r="U898" t="s">
        <v>4853</v>
      </c>
      <c r="V898" t="s">
        <v>982</v>
      </c>
      <c r="W898" t="s">
        <v>66</v>
      </c>
      <c r="X898" t="s">
        <v>78</v>
      </c>
      <c r="Y898" t="s">
        <v>4854</v>
      </c>
      <c r="Z898" t="s">
        <v>182</v>
      </c>
      <c r="AA898" t="s">
        <v>984</v>
      </c>
      <c r="AB898" t="s">
        <v>984</v>
      </c>
      <c r="AC898" t="s">
        <v>82</v>
      </c>
      <c r="AD898" t="s">
        <v>83</v>
      </c>
      <c r="AE898" t="s">
        <v>66</v>
      </c>
      <c r="AF898" t="s">
        <v>876</v>
      </c>
    </row>
    <row r="899" spans="1:32">
      <c r="A899" t="s">
        <v>4855</v>
      </c>
      <c r="B899" t="s">
        <v>151</v>
      </c>
      <c r="C899" t="s">
        <v>4856</v>
      </c>
      <c r="D899" t="s">
        <v>66</v>
      </c>
      <c r="E899" t="s">
        <v>67</v>
      </c>
      <c r="F899" t="s">
        <v>68</v>
      </c>
      <c r="G899" t="s">
        <v>69</v>
      </c>
      <c r="H899" t="s">
        <v>66</v>
      </c>
      <c r="I899" t="s">
        <v>66</v>
      </c>
      <c r="J899" t="s">
        <v>67</v>
      </c>
      <c r="K899" t="s">
        <v>71</v>
      </c>
      <c r="L899" t="s">
        <v>72</v>
      </c>
      <c r="M899" t="s">
        <v>73</v>
      </c>
      <c r="N899" t="s">
        <v>66</v>
      </c>
      <c r="O899" t="s">
        <v>73</v>
      </c>
      <c r="P899" t="s">
        <v>66</v>
      </c>
      <c r="Q899" t="s">
        <v>979</v>
      </c>
      <c r="R899" t="s">
        <v>73</v>
      </c>
      <c r="S899" t="s">
        <v>979</v>
      </c>
      <c r="T899" t="s">
        <v>4857</v>
      </c>
      <c r="U899" t="s">
        <v>4858</v>
      </c>
      <c r="V899" t="s">
        <v>982</v>
      </c>
      <c r="W899" t="s">
        <v>66</v>
      </c>
      <c r="X899" t="s">
        <v>78</v>
      </c>
      <c r="Y899" t="s">
        <v>4859</v>
      </c>
      <c r="Z899" t="s">
        <v>182</v>
      </c>
      <c r="AA899" t="s">
        <v>984</v>
      </c>
      <c r="AB899" t="s">
        <v>984</v>
      </c>
      <c r="AC899" t="s">
        <v>82</v>
      </c>
      <c r="AD899" t="s">
        <v>83</v>
      </c>
      <c r="AE899" t="s">
        <v>66</v>
      </c>
      <c r="AF899" t="s">
        <v>876</v>
      </c>
    </row>
    <row r="900" spans="1:32">
      <c r="A900" t="s">
        <v>4860</v>
      </c>
      <c r="B900" t="s">
        <v>162</v>
      </c>
      <c r="C900" t="s">
        <v>4861</v>
      </c>
      <c r="D900" t="s">
        <v>66</v>
      </c>
      <c r="E900" t="s">
        <v>67</v>
      </c>
      <c r="F900" t="s">
        <v>164</v>
      </c>
      <c r="G900" t="s">
        <v>165</v>
      </c>
      <c r="H900" t="s">
        <v>66</v>
      </c>
      <c r="I900" t="s">
        <v>66</v>
      </c>
      <c r="J900" t="s">
        <v>67</v>
      </c>
      <c r="K900" t="s">
        <v>71</v>
      </c>
      <c r="L900" t="s">
        <v>72</v>
      </c>
      <c r="M900" t="s">
        <v>73</v>
      </c>
      <c r="N900" t="s">
        <v>66</v>
      </c>
      <c r="O900" t="s">
        <v>73</v>
      </c>
      <c r="P900" t="s">
        <v>66</v>
      </c>
      <c r="Q900" t="s">
        <v>979</v>
      </c>
      <c r="R900" t="s">
        <v>73</v>
      </c>
      <c r="S900" t="s">
        <v>979</v>
      </c>
      <c r="T900" t="s">
        <v>4862</v>
      </c>
      <c r="U900" t="s">
        <v>4863</v>
      </c>
      <c r="V900" t="s">
        <v>982</v>
      </c>
      <c r="W900" t="s">
        <v>66</v>
      </c>
      <c r="X900" t="s">
        <v>78</v>
      </c>
      <c r="Y900" t="s">
        <v>4864</v>
      </c>
      <c r="Z900" t="s">
        <v>182</v>
      </c>
      <c r="AA900" t="s">
        <v>984</v>
      </c>
      <c r="AB900" t="s">
        <v>984</v>
      </c>
      <c r="AC900" t="s">
        <v>82</v>
      </c>
      <c r="AD900" t="s">
        <v>83</v>
      </c>
      <c r="AE900" t="s">
        <v>66</v>
      </c>
      <c r="AF900" t="s">
        <v>876</v>
      </c>
    </row>
    <row r="901" spans="1:32">
      <c r="A901" t="s">
        <v>4865</v>
      </c>
      <c r="B901" t="s">
        <v>1004</v>
      </c>
      <c r="C901" t="s">
        <v>4866</v>
      </c>
      <c r="D901" t="s">
        <v>66</v>
      </c>
      <c r="E901" t="s">
        <v>67</v>
      </c>
      <c r="F901" t="s">
        <v>68</v>
      </c>
      <c r="G901" t="s">
        <v>69</v>
      </c>
      <c r="H901" t="s">
        <v>66</v>
      </c>
      <c r="I901" t="s">
        <v>66</v>
      </c>
      <c r="J901" t="s">
        <v>67</v>
      </c>
      <c r="K901" t="s">
        <v>71</v>
      </c>
      <c r="L901" t="s">
        <v>72</v>
      </c>
      <c r="M901" t="s">
        <v>73</v>
      </c>
      <c r="N901" t="s">
        <v>66</v>
      </c>
      <c r="O901" t="s">
        <v>73</v>
      </c>
      <c r="P901" t="s">
        <v>66</v>
      </c>
      <c r="Q901" t="s">
        <v>979</v>
      </c>
      <c r="R901" t="s">
        <v>73</v>
      </c>
      <c r="S901" t="s">
        <v>979</v>
      </c>
      <c r="T901" t="s">
        <v>4867</v>
      </c>
      <c r="U901" t="s">
        <v>4868</v>
      </c>
      <c r="V901" t="s">
        <v>982</v>
      </c>
      <c r="W901" t="s">
        <v>66</v>
      </c>
      <c r="X901" t="s">
        <v>78</v>
      </c>
      <c r="Y901" t="s">
        <v>4869</v>
      </c>
      <c r="Z901" t="s">
        <v>182</v>
      </c>
      <c r="AA901" t="s">
        <v>984</v>
      </c>
      <c r="AB901" t="s">
        <v>984</v>
      </c>
      <c r="AC901" t="s">
        <v>82</v>
      </c>
      <c r="AD901" t="s">
        <v>83</v>
      </c>
      <c r="AE901" t="s">
        <v>66</v>
      </c>
      <c r="AF901" t="s">
        <v>876</v>
      </c>
    </row>
    <row r="902" spans="1:32">
      <c r="A902" t="s">
        <v>4870</v>
      </c>
      <c r="B902" t="s">
        <v>841</v>
      </c>
      <c r="C902" t="s">
        <v>4871</v>
      </c>
      <c r="D902" t="s">
        <v>4871</v>
      </c>
      <c r="E902" t="s">
        <v>109</v>
      </c>
      <c r="F902" t="s">
        <v>110</v>
      </c>
      <c r="G902" t="s">
        <v>111</v>
      </c>
      <c r="H902" t="s">
        <v>66</v>
      </c>
      <c r="I902" t="s">
        <v>66</v>
      </c>
      <c r="J902" t="s">
        <v>67</v>
      </c>
      <c r="K902" t="s">
        <v>71</v>
      </c>
      <c r="L902" t="s">
        <v>72</v>
      </c>
      <c r="M902" t="s">
        <v>73</v>
      </c>
      <c r="N902" t="s">
        <v>66</v>
      </c>
      <c r="O902" t="s">
        <v>73</v>
      </c>
      <c r="P902" t="s">
        <v>66</v>
      </c>
      <c r="Q902" t="s">
        <v>979</v>
      </c>
      <c r="R902" t="s">
        <v>73</v>
      </c>
      <c r="S902" t="s">
        <v>979</v>
      </c>
      <c r="T902" t="s">
        <v>4872</v>
      </c>
      <c r="U902" t="s">
        <v>4873</v>
      </c>
      <c r="V902" t="s">
        <v>982</v>
      </c>
      <c r="W902" t="s">
        <v>66</v>
      </c>
      <c r="X902" t="s">
        <v>78</v>
      </c>
      <c r="Y902" t="s">
        <v>4874</v>
      </c>
      <c r="Z902" t="s">
        <v>182</v>
      </c>
      <c r="AA902" t="s">
        <v>984</v>
      </c>
      <c r="AB902" t="s">
        <v>984</v>
      </c>
      <c r="AC902" t="s">
        <v>82</v>
      </c>
      <c r="AD902" t="s">
        <v>83</v>
      </c>
      <c r="AE902" t="s">
        <v>66</v>
      </c>
      <c r="AF902" t="s">
        <v>876</v>
      </c>
    </row>
    <row r="903" spans="1:32">
      <c r="A903" t="s">
        <v>4875</v>
      </c>
      <c r="B903" t="s">
        <v>1307</v>
      </c>
      <c r="C903" t="s">
        <v>4876</v>
      </c>
      <c r="D903" t="s">
        <v>66</v>
      </c>
      <c r="E903" t="s">
        <v>67</v>
      </c>
      <c r="F903" t="s">
        <v>68</v>
      </c>
      <c r="G903" t="s">
        <v>69</v>
      </c>
      <c r="H903" t="s">
        <v>66</v>
      </c>
      <c r="I903" t="s">
        <v>66</v>
      </c>
      <c r="J903" t="s">
        <v>67</v>
      </c>
      <c r="K903" t="s">
        <v>71</v>
      </c>
      <c r="L903" t="s">
        <v>72</v>
      </c>
      <c r="M903" t="s">
        <v>73</v>
      </c>
      <c r="N903" t="s">
        <v>66</v>
      </c>
      <c r="O903" t="s">
        <v>73</v>
      </c>
      <c r="P903" t="s">
        <v>66</v>
      </c>
      <c r="Q903" t="s">
        <v>979</v>
      </c>
      <c r="R903" t="s">
        <v>73</v>
      </c>
      <c r="S903" t="s">
        <v>979</v>
      </c>
      <c r="T903" t="s">
        <v>4877</v>
      </c>
      <c r="U903" t="s">
        <v>4878</v>
      </c>
      <c r="V903" t="s">
        <v>982</v>
      </c>
      <c r="W903" t="s">
        <v>66</v>
      </c>
      <c r="X903" t="s">
        <v>78</v>
      </c>
      <c r="Y903" t="s">
        <v>4879</v>
      </c>
      <c r="Z903" t="s">
        <v>182</v>
      </c>
      <c r="AA903" t="s">
        <v>984</v>
      </c>
      <c r="AB903" t="s">
        <v>984</v>
      </c>
      <c r="AC903" t="s">
        <v>82</v>
      </c>
      <c r="AD903" t="s">
        <v>83</v>
      </c>
      <c r="AE903" t="s">
        <v>66</v>
      </c>
      <c r="AF903" t="s">
        <v>876</v>
      </c>
    </row>
    <row r="904" spans="1:32">
      <c r="A904" t="s">
        <v>4880</v>
      </c>
      <c r="B904" t="s">
        <v>1064</v>
      </c>
      <c r="C904" t="s">
        <v>4881</v>
      </c>
      <c r="D904" t="s">
        <v>66</v>
      </c>
      <c r="E904" t="s">
        <v>67</v>
      </c>
      <c r="F904" t="s">
        <v>110</v>
      </c>
      <c r="G904" t="s">
        <v>111</v>
      </c>
      <c r="H904" t="s">
        <v>66</v>
      </c>
      <c r="I904" t="s">
        <v>66</v>
      </c>
      <c r="J904" t="s">
        <v>67</v>
      </c>
      <c r="K904" t="s">
        <v>71</v>
      </c>
      <c r="L904" t="s">
        <v>72</v>
      </c>
      <c r="M904" t="s">
        <v>73</v>
      </c>
      <c r="N904" t="s">
        <v>66</v>
      </c>
      <c r="O904" t="s">
        <v>73</v>
      </c>
      <c r="P904" t="s">
        <v>66</v>
      </c>
      <c r="Q904" t="s">
        <v>979</v>
      </c>
      <c r="R904" t="s">
        <v>73</v>
      </c>
      <c r="S904" t="s">
        <v>979</v>
      </c>
      <c r="T904" t="s">
        <v>4882</v>
      </c>
      <c r="U904" t="s">
        <v>4883</v>
      </c>
      <c r="V904" t="s">
        <v>982</v>
      </c>
      <c r="W904" t="s">
        <v>66</v>
      </c>
      <c r="X904" t="s">
        <v>78</v>
      </c>
      <c r="Y904" t="s">
        <v>4884</v>
      </c>
      <c r="Z904" t="s">
        <v>182</v>
      </c>
      <c r="AA904" t="s">
        <v>984</v>
      </c>
      <c r="AB904" t="s">
        <v>984</v>
      </c>
      <c r="AC904" t="s">
        <v>82</v>
      </c>
      <c r="AD904" t="s">
        <v>83</v>
      </c>
      <c r="AE904" t="s">
        <v>66</v>
      </c>
      <c r="AF904" t="s">
        <v>876</v>
      </c>
    </row>
    <row r="905" spans="1:32">
      <c r="A905" t="s">
        <v>4885</v>
      </c>
      <c r="B905" t="s">
        <v>107</v>
      </c>
      <c r="C905" t="s">
        <v>4886</v>
      </c>
      <c r="D905" t="s">
        <v>4886</v>
      </c>
      <c r="E905" t="s">
        <v>109</v>
      </c>
      <c r="F905" t="s">
        <v>110</v>
      </c>
      <c r="G905" t="s">
        <v>111</v>
      </c>
      <c r="H905" t="s">
        <v>66</v>
      </c>
      <c r="I905" t="s">
        <v>66</v>
      </c>
      <c r="J905" t="s">
        <v>67</v>
      </c>
      <c r="K905" t="s">
        <v>71</v>
      </c>
      <c r="L905" t="s">
        <v>72</v>
      </c>
      <c r="M905" t="s">
        <v>73</v>
      </c>
      <c r="N905" t="s">
        <v>66</v>
      </c>
      <c r="O905" t="s">
        <v>73</v>
      </c>
      <c r="P905" t="s">
        <v>66</v>
      </c>
      <c r="Q905" t="s">
        <v>979</v>
      </c>
      <c r="R905" t="s">
        <v>73</v>
      </c>
      <c r="S905" t="s">
        <v>979</v>
      </c>
      <c r="T905" t="s">
        <v>4887</v>
      </c>
      <c r="U905" t="s">
        <v>4888</v>
      </c>
      <c r="V905" t="s">
        <v>982</v>
      </c>
      <c r="W905" t="s">
        <v>66</v>
      </c>
      <c r="X905" t="s">
        <v>78</v>
      </c>
      <c r="Y905" t="s">
        <v>4889</v>
      </c>
      <c r="Z905" t="s">
        <v>182</v>
      </c>
      <c r="AA905" t="s">
        <v>984</v>
      </c>
      <c r="AB905" t="s">
        <v>984</v>
      </c>
      <c r="AC905" t="s">
        <v>82</v>
      </c>
      <c r="AD905" t="s">
        <v>83</v>
      </c>
      <c r="AE905" t="s">
        <v>66</v>
      </c>
      <c r="AF905" t="s">
        <v>876</v>
      </c>
    </row>
    <row r="906" spans="1:32">
      <c r="A906" t="s">
        <v>4890</v>
      </c>
      <c r="B906" t="s">
        <v>162</v>
      </c>
      <c r="C906" t="s">
        <v>4891</v>
      </c>
      <c r="D906" t="s">
        <v>66</v>
      </c>
      <c r="E906" t="s">
        <v>67</v>
      </c>
      <c r="F906" t="s">
        <v>164</v>
      </c>
      <c r="G906" t="s">
        <v>165</v>
      </c>
      <c r="H906" t="s">
        <v>66</v>
      </c>
      <c r="I906" t="s">
        <v>66</v>
      </c>
      <c r="J906" t="s">
        <v>67</v>
      </c>
      <c r="K906" t="s">
        <v>71</v>
      </c>
      <c r="L906" t="s">
        <v>72</v>
      </c>
      <c r="M906" t="s">
        <v>73</v>
      </c>
      <c r="N906" t="s">
        <v>66</v>
      </c>
      <c r="O906" t="s">
        <v>73</v>
      </c>
      <c r="P906" t="s">
        <v>66</v>
      </c>
      <c r="Q906" t="s">
        <v>979</v>
      </c>
      <c r="R906" t="s">
        <v>73</v>
      </c>
      <c r="S906" t="s">
        <v>979</v>
      </c>
      <c r="T906" t="s">
        <v>4892</v>
      </c>
      <c r="U906" t="s">
        <v>4893</v>
      </c>
      <c r="V906" t="s">
        <v>982</v>
      </c>
      <c r="W906" t="s">
        <v>66</v>
      </c>
      <c r="X906" t="s">
        <v>78</v>
      </c>
      <c r="Y906" t="s">
        <v>4894</v>
      </c>
      <c r="Z906" t="s">
        <v>182</v>
      </c>
      <c r="AA906" t="s">
        <v>984</v>
      </c>
      <c r="AB906" t="s">
        <v>984</v>
      </c>
      <c r="AC906" t="s">
        <v>82</v>
      </c>
      <c r="AD906" t="s">
        <v>83</v>
      </c>
      <c r="AE906" t="s">
        <v>66</v>
      </c>
      <c r="AF906" t="s">
        <v>876</v>
      </c>
    </row>
    <row r="907" spans="1:32">
      <c r="A907" t="s">
        <v>4895</v>
      </c>
      <c r="B907" t="s">
        <v>359</v>
      </c>
      <c r="C907" t="s">
        <v>4896</v>
      </c>
      <c r="D907" t="s">
        <v>4896</v>
      </c>
      <c r="E907" t="s">
        <v>109</v>
      </c>
      <c r="F907" t="s">
        <v>110</v>
      </c>
      <c r="G907" t="s">
        <v>111</v>
      </c>
      <c r="H907" t="s">
        <v>66</v>
      </c>
      <c r="I907" t="s">
        <v>66</v>
      </c>
      <c r="J907" t="s">
        <v>67</v>
      </c>
      <c r="K907" t="s">
        <v>71</v>
      </c>
      <c r="L907" t="s">
        <v>72</v>
      </c>
      <c r="M907" t="s">
        <v>73</v>
      </c>
      <c r="N907" t="s">
        <v>66</v>
      </c>
      <c r="O907" t="s">
        <v>73</v>
      </c>
      <c r="P907" t="s">
        <v>66</v>
      </c>
      <c r="Q907" t="s">
        <v>979</v>
      </c>
      <c r="R907" t="s">
        <v>73</v>
      </c>
      <c r="S907" t="s">
        <v>979</v>
      </c>
      <c r="T907" t="s">
        <v>4897</v>
      </c>
      <c r="U907" t="s">
        <v>4898</v>
      </c>
      <c r="V907" t="s">
        <v>982</v>
      </c>
      <c r="W907" t="s">
        <v>66</v>
      </c>
      <c r="X907" t="s">
        <v>78</v>
      </c>
      <c r="Y907" t="s">
        <v>4899</v>
      </c>
      <c r="Z907" t="s">
        <v>182</v>
      </c>
      <c r="AA907" t="s">
        <v>984</v>
      </c>
      <c r="AB907" t="s">
        <v>984</v>
      </c>
      <c r="AC907" t="s">
        <v>82</v>
      </c>
      <c r="AD907" t="s">
        <v>83</v>
      </c>
      <c r="AE907" t="s">
        <v>66</v>
      </c>
      <c r="AF907" t="s">
        <v>876</v>
      </c>
    </row>
    <row r="908" spans="1:32">
      <c r="A908" t="s">
        <v>4900</v>
      </c>
      <c r="B908" t="s">
        <v>308</v>
      </c>
      <c r="C908" t="s">
        <v>4901</v>
      </c>
      <c r="D908" t="s">
        <v>4901</v>
      </c>
      <c r="E908" t="s">
        <v>109</v>
      </c>
      <c r="F908" t="s">
        <v>110</v>
      </c>
      <c r="G908" t="s">
        <v>111</v>
      </c>
      <c r="H908" t="s">
        <v>66</v>
      </c>
      <c r="I908" t="s">
        <v>66</v>
      </c>
      <c r="J908" t="s">
        <v>67</v>
      </c>
      <c r="K908" t="s">
        <v>71</v>
      </c>
      <c r="L908" t="s">
        <v>72</v>
      </c>
      <c r="M908" t="s">
        <v>73</v>
      </c>
      <c r="N908" t="s">
        <v>66</v>
      </c>
      <c r="O908" t="s">
        <v>73</v>
      </c>
      <c r="P908" t="s">
        <v>66</v>
      </c>
      <c r="Q908" t="s">
        <v>979</v>
      </c>
      <c r="R908" t="s">
        <v>73</v>
      </c>
      <c r="S908" t="s">
        <v>979</v>
      </c>
      <c r="T908" t="s">
        <v>4902</v>
      </c>
      <c r="U908" t="s">
        <v>4903</v>
      </c>
      <c r="V908" t="s">
        <v>982</v>
      </c>
      <c r="W908" t="s">
        <v>66</v>
      </c>
      <c r="X908" t="s">
        <v>78</v>
      </c>
      <c r="Y908" t="s">
        <v>4904</v>
      </c>
      <c r="Z908" t="s">
        <v>182</v>
      </c>
      <c r="AA908" t="s">
        <v>984</v>
      </c>
      <c r="AB908" t="s">
        <v>984</v>
      </c>
      <c r="AC908" t="s">
        <v>82</v>
      </c>
      <c r="AD908" t="s">
        <v>83</v>
      </c>
      <c r="AE908" t="s">
        <v>66</v>
      </c>
      <c r="AF908" t="s">
        <v>876</v>
      </c>
    </row>
    <row r="909" spans="1:32">
      <c r="A909" t="s">
        <v>4905</v>
      </c>
      <c r="B909" t="s">
        <v>162</v>
      </c>
      <c r="C909" t="s">
        <v>4906</v>
      </c>
      <c r="D909" t="s">
        <v>66</v>
      </c>
      <c r="E909" t="s">
        <v>67</v>
      </c>
      <c r="F909" t="s">
        <v>164</v>
      </c>
      <c r="G909" t="s">
        <v>165</v>
      </c>
      <c r="H909" t="s">
        <v>66</v>
      </c>
      <c r="I909" t="s">
        <v>66</v>
      </c>
      <c r="J909" t="s">
        <v>67</v>
      </c>
      <c r="K909" t="s">
        <v>71</v>
      </c>
      <c r="L909" t="s">
        <v>72</v>
      </c>
      <c r="M909" t="s">
        <v>73</v>
      </c>
      <c r="N909" t="s">
        <v>66</v>
      </c>
      <c r="O909" t="s">
        <v>73</v>
      </c>
      <c r="P909" t="s">
        <v>66</v>
      </c>
      <c r="Q909" t="s">
        <v>979</v>
      </c>
      <c r="R909" t="s">
        <v>73</v>
      </c>
      <c r="S909" t="s">
        <v>979</v>
      </c>
      <c r="T909" t="s">
        <v>4907</v>
      </c>
      <c r="U909" t="s">
        <v>4908</v>
      </c>
      <c r="V909" t="s">
        <v>982</v>
      </c>
      <c r="W909" t="s">
        <v>66</v>
      </c>
      <c r="X909" t="s">
        <v>78</v>
      </c>
      <c r="Y909" t="s">
        <v>4909</v>
      </c>
      <c r="Z909" t="s">
        <v>182</v>
      </c>
      <c r="AA909" t="s">
        <v>984</v>
      </c>
      <c r="AB909" t="s">
        <v>984</v>
      </c>
      <c r="AC909" t="s">
        <v>82</v>
      </c>
      <c r="AD909" t="s">
        <v>83</v>
      </c>
      <c r="AE909" t="s">
        <v>66</v>
      </c>
      <c r="AF909" t="s">
        <v>876</v>
      </c>
    </row>
    <row r="910" spans="1:32">
      <c r="A910" t="s">
        <v>4910</v>
      </c>
      <c r="B910" t="s">
        <v>1384</v>
      </c>
      <c r="C910" t="s">
        <v>4911</v>
      </c>
      <c r="D910" t="s">
        <v>66</v>
      </c>
      <c r="E910" t="s">
        <v>67</v>
      </c>
      <c r="F910" t="s">
        <v>68</v>
      </c>
      <c r="G910" t="s">
        <v>69</v>
      </c>
      <c r="H910" t="s">
        <v>66</v>
      </c>
      <c r="I910" t="s">
        <v>66</v>
      </c>
      <c r="J910" t="s">
        <v>67</v>
      </c>
      <c r="K910" t="s">
        <v>71</v>
      </c>
      <c r="L910" t="s">
        <v>72</v>
      </c>
      <c r="M910" t="s">
        <v>73</v>
      </c>
      <c r="N910" t="s">
        <v>66</v>
      </c>
      <c r="O910" t="s">
        <v>73</v>
      </c>
      <c r="P910" t="s">
        <v>66</v>
      </c>
      <c r="Q910" t="s">
        <v>979</v>
      </c>
      <c r="R910" t="s">
        <v>73</v>
      </c>
      <c r="S910" t="s">
        <v>979</v>
      </c>
      <c r="T910" t="s">
        <v>4912</v>
      </c>
      <c r="U910" t="s">
        <v>4913</v>
      </c>
      <c r="V910" t="s">
        <v>982</v>
      </c>
      <c r="W910" t="s">
        <v>66</v>
      </c>
      <c r="X910" t="s">
        <v>78</v>
      </c>
      <c r="Y910" t="s">
        <v>4914</v>
      </c>
      <c r="Z910" t="s">
        <v>182</v>
      </c>
      <c r="AA910" t="s">
        <v>984</v>
      </c>
      <c r="AB910" t="s">
        <v>984</v>
      </c>
      <c r="AC910" t="s">
        <v>82</v>
      </c>
      <c r="AD910" t="s">
        <v>83</v>
      </c>
      <c r="AE910" t="s">
        <v>66</v>
      </c>
      <c r="AF910" t="s">
        <v>876</v>
      </c>
    </row>
    <row r="911" spans="1:32">
      <c r="A911" t="s">
        <v>4915</v>
      </c>
      <c r="B911" t="s">
        <v>86</v>
      </c>
      <c r="C911" t="s">
        <v>4916</v>
      </c>
      <c r="D911" t="s">
        <v>66</v>
      </c>
      <c r="E911" t="s">
        <v>67</v>
      </c>
      <c r="F911" t="s">
        <v>68</v>
      </c>
      <c r="G911" t="s">
        <v>69</v>
      </c>
      <c r="H911" t="s">
        <v>66</v>
      </c>
      <c r="I911" t="s">
        <v>66</v>
      </c>
      <c r="J911" t="s">
        <v>67</v>
      </c>
      <c r="K911" t="s">
        <v>71</v>
      </c>
      <c r="L911" t="s">
        <v>72</v>
      </c>
      <c r="M911" t="s">
        <v>73</v>
      </c>
      <c r="N911" t="s">
        <v>66</v>
      </c>
      <c r="O911" t="s">
        <v>73</v>
      </c>
      <c r="P911" t="s">
        <v>66</v>
      </c>
      <c r="Q911" t="s">
        <v>979</v>
      </c>
      <c r="R911" t="s">
        <v>73</v>
      </c>
      <c r="S911" t="s">
        <v>979</v>
      </c>
      <c r="T911" t="s">
        <v>4917</v>
      </c>
      <c r="U911" t="s">
        <v>4918</v>
      </c>
      <c r="V911" t="s">
        <v>982</v>
      </c>
      <c r="W911" t="s">
        <v>66</v>
      </c>
      <c r="X911" t="s">
        <v>78</v>
      </c>
      <c r="Y911" t="s">
        <v>4919</v>
      </c>
      <c r="Z911" t="s">
        <v>182</v>
      </c>
      <c r="AA911" t="s">
        <v>984</v>
      </c>
      <c r="AB911" t="s">
        <v>984</v>
      </c>
      <c r="AC911" t="s">
        <v>82</v>
      </c>
      <c r="AD911" t="s">
        <v>83</v>
      </c>
      <c r="AE911" t="s">
        <v>66</v>
      </c>
      <c r="AF911" t="s">
        <v>876</v>
      </c>
    </row>
    <row r="912" spans="1:32">
      <c r="A912" t="s">
        <v>4920</v>
      </c>
      <c r="B912" t="s">
        <v>162</v>
      </c>
      <c r="C912" t="s">
        <v>4921</v>
      </c>
      <c r="D912" t="s">
        <v>66</v>
      </c>
      <c r="E912" t="s">
        <v>67</v>
      </c>
      <c r="F912" t="s">
        <v>164</v>
      </c>
      <c r="G912" t="s">
        <v>165</v>
      </c>
      <c r="H912" t="s">
        <v>66</v>
      </c>
      <c r="I912" t="s">
        <v>66</v>
      </c>
      <c r="J912" t="s">
        <v>67</v>
      </c>
      <c r="K912" t="s">
        <v>71</v>
      </c>
      <c r="L912" t="s">
        <v>72</v>
      </c>
      <c r="M912" t="s">
        <v>73</v>
      </c>
      <c r="N912" t="s">
        <v>66</v>
      </c>
      <c r="O912" t="s">
        <v>73</v>
      </c>
      <c r="P912" t="s">
        <v>66</v>
      </c>
      <c r="Q912" t="s">
        <v>979</v>
      </c>
      <c r="R912" t="s">
        <v>73</v>
      </c>
      <c r="S912" t="s">
        <v>979</v>
      </c>
      <c r="T912" t="s">
        <v>4922</v>
      </c>
      <c r="U912" t="s">
        <v>4923</v>
      </c>
      <c r="V912" t="s">
        <v>982</v>
      </c>
      <c r="W912" t="s">
        <v>66</v>
      </c>
      <c r="X912" t="s">
        <v>78</v>
      </c>
      <c r="Y912" t="s">
        <v>4924</v>
      </c>
      <c r="Z912" t="s">
        <v>182</v>
      </c>
      <c r="AA912" t="s">
        <v>984</v>
      </c>
      <c r="AB912" t="s">
        <v>984</v>
      </c>
      <c r="AC912" t="s">
        <v>82</v>
      </c>
      <c r="AD912" t="s">
        <v>83</v>
      </c>
      <c r="AE912" t="s">
        <v>66</v>
      </c>
      <c r="AF912" t="s">
        <v>876</v>
      </c>
    </row>
    <row r="913" spans="1:32">
      <c r="A913" t="s">
        <v>4925</v>
      </c>
      <c r="B913" t="s">
        <v>1463</v>
      </c>
      <c r="C913" t="s">
        <v>4926</v>
      </c>
      <c r="D913" t="s">
        <v>66</v>
      </c>
      <c r="E913" t="s">
        <v>67</v>
      </c>
      <c r="F913" t="s">
        <v>110</v>
      </c>
      <c r="G913" t="s">
        <v>111</v>
      </c>
      <c r="H913" t="s">
        <v>66</v>
      </c>
      <c r="I913" t="s">
        <v>66</v>
      </c>
      <c r="J913" t="s">
        <v>67</v>
      </c>
      <c r="K913" t="s">
        <v>71</v>
      </c>
      <c r="L913" t="s">
        <v>72</v>
      </c>
      <c r="M913" t="s">
        <v>73</v>
      </c>
      <c r="N913" t="s">
        <v>66</v>
      </c>
      <c r="O913" t="s">
        <v>73</v>
      </c>
      <c r="P913" t="s">
        <v>66</v>
      </c>
      <c r="Q913" t="s">
        <v>979</v>
      </c>
      <c r="R913" t="s">
        <v>73</v>
      </c>
      <c r="S913" t="s">
        <v>979</v>
      </c>
      <c r="T913" t="s">
        <v>4927</v>
      </c>
      <c r="U913" t="s">
        <v>4928</v>
      </c>
      <c r="V913" t="s">
        <v>982</v>
      </c>
      <c r="W913" t="s">
        <v>66</v>
      </c>
      <c r="X913" t="s">
        <v>78</v>
      </c>
      <c r="Y913" t="s">
        <v>4929</v>
      </c>
      <c r="Z913" t="s">
        <v>182</v>
      </c>
      <c r="AA913" t="s">
        <v>984</v>
      </c>
      <c r="AB913" t="s">
        <v>984</v>
      </c>
      <c r="AC913" t="s">
        <v>82</v>
      </c>
      <c r="AD913" t="s">
        <v>83</v>
      </c>
      <c r="AE913" t="s">
        <v>66</v>
      </c>
      <c r="AF913" t="s">
        <v>876</v>
      </c>
    </row>
    <row r="914" spans="1:32">
      <c r="A914" t="s">
        <v>4930</v>
      </c>
      <c r="B914" t="s">
        <v>841</v>
      </c>
      <c r="C914" t="s">
        <v>4931</v>
      </c>
      <c r="D914" t="s">
        <v>4931</v>
      </c>
      <c r="E914" t="s">
        <v>109</v>
      </c>
      <c r="F914" t="s">
        <v>110</v>
      </c>
      <c r="G914" t="s">
        <v>111</v>
      </c>
      <c r="H914" t="s">
        <v>66</v>
      </c>
      <c r="I914" t="s">
        <v>66</v>
      </c>
      <c r="J914" t="s">
        <v>67</v>
      </c>
      <c r="K914" t="s">
        <v>71</v>
      </c>
      <c r="L914" t="s">
        <v>72</v>
      </c>
      <c r="M914" t="s">
        <v>73</v>
      </c>
      <c r="N914" t="s">
        <v>66</v>
      </c>
      <c r="O914" t="s">
        <v>73</v>
      </c>
      <c r="P914" t="s">
        <v>66</v>
      </c>
      <c r="Q914" t="s">
        <v>979</v>
      </c>
      <c r="R914" t="s">
        <v>73</v>
      </c>
      <c r="S914" t="s">
        <v>979</v>
      </c>
      <c r="T914" t="s">
        <v>4932</v>
      </c>
      <c r="U914" t="s">
        <v>4933</v>
      </c>
      <c r="V914" t="s">
        <v>982</v>
      </c>
      <c r="W914" t="s">
        <v>66</v>
      </c>
      <c r="X914" t="s">
        <v>78</v>
      </c>
      <c r="Y914" t="s">
        <v>4934</v>
      </c>
      <c r="Z914" t="s">
        <v>182</v>
      </c>
      <c r="AA914" t="s">
        <v>984</v>
      </c>
      <c r="AB914" t="s">
        <v>984</v>
      </c>
      <c r="AC914" t="s">
        <v>82</v>
      </c>
      <c r="AD914" t="s">
        <v>83</v>
      </c>
      <c r="AE914" t="s">
        <v>66</v>
      </c>
      <c r="AF914" t="s">
        <v>876</v>
      </c>
    </row>
    <row r="915" spans="1:32">
      <c r="A915" t="s">
        <v>4935</v>
      </c>
      <c r="B915" t="s">
        <v>308</v>
      </c>
      <c r="C915" t="s">
        <v>4936</v>
      </c>
      <c r="D915" t="s">
        <v>4936</v>
      </c>
      <c r="E915" t="s">
        <v>109</v>
      </c>
      <c r="F915" t="s">
        <v>68</v>
      </c>
      <c r="G915" t="s">
        <v>69</v>
      </c>
      <c r="H915" t="s">
        <v>66</v>
      </c>
      <c r="I915" t="s">
        <v>66</v>
      </c>
      <c r="J915" t="s">
        <v>67</v>
      </c>
      <c r="K915" t="s">
        <v>71</v>
      </c>
      <c r="L915" t="s">
        <v>72</v>
      </c>
      <c r="M915" t="s">
        <v>73</v>
      </c>
      <c r="N915" t="s">
        <v>66</v>
      </c>
      <c r="O915" t="s">
        <v>73</v>
      </c>
      <c r="P915" t="s">
        <v>66</v>
      </c>
      <c r="Q915" t="s">
        <v>979</v>
      </c>
      <c r="R915" t="s">
        <v>73</v>
      </c>
      <c r="S915" t="s">
        <v>979</v>
      </c>
      <c r="T915" t="s">
        <v>4937</v>
      </c>
      <c r="U915" t="s">
        <v>4938</v>
      </c>
      <c r="V915" t="s">
        <v>982</v>
      </c>
      <c r="W915" t="s">
        <v>66</v>
      </c>
      <c r="X915" t="s">
        <v>78</v>
      </c>
      <c r="Y915" t="s">
        <v>4939</v>
      </c>
      <c r="Z915" t="s">
        <v>182</v>
      </c>
      <c r="AA915" t="s">
        <v>984</v>
      </c>
      <c r="AB915" t="s">
        <v>984</v>
      </c>
      <c r="AC915" t="s">
        <v>82</v>
      </c>
      <c r="AD915" t="s">
        <v>83</v>
      </c>
      <c r="AE915" t="s">
        <v>66</v>
      </c>
      <c r="AF915" t="s">
        <v>876</v>
      </c>
    </row>
    <row r="916" spans="1:32">
      <c r="A916" t="s">
        <v>4940</v>
      </c>
      <c r="B916" t="s">
        <v>308</v>
      </c>
      <c r="C916" t="s">
        <v>4941</v>
      </c>
      <c r="D916" t="s">
        <v>4941</v>
      </c>
      <c r="E916" t="s">
        <v>109</v>
      </c>
      <c r="F916" t="s">
        <v>110</v>
      </c>
      <c r="G916" t="s">
        <v>111</v>
      </c>
      <c r="H916" t="s">
        <v>66</v>
      </c>
      <c r="I916" t="s">
        <v>66</v>
      </c>
      <c r="J916" t="s">
        <v>67</v>
      </c>
      <c r="K916" t="s">
        <v>71</v>
      </c>
      <c r="L916" t="s">
        <v>72</v>
      </c>
      <c r="M916" t="s">
        <v>73</v>
      </c>
      <c r="N916" t="s">
        <v>66</v>
      </c>
      <c r="O916" t="s">
        <v>73</v>
      </c>
      <c r="P916" t="s">
        <v>66</v>
      </c>
      <c r="Q916" t="s">
        <v>979</v>
      </c>
      <c r="R916" t="s">
        <v>73</v>
      </c>
      <c r="S916" t="s">
        <v>979</v>
      </c>
      <c r="T916" t="s">
        <v>4942</v>
      </c>
      <c r="U916" t="s">
        <v>4943</v>
      </c>
      <c r="V916" t="s">
        <v>982</v>
      </c>
      <c r="W916" t="s">
        <v>66</v>
      </c>
      <c r="X916" t="s">
        <v>78</v>
      </c>
      <c r="Y916" t="s">
        <v>4944</v>
      </c>
      <c r="Z916" t="s">
        <v>182</v>
      </c>
      <c r="AA916" t="s">
        <v>984</v>
      </c>
      <c r="AB916" t="s">
        <v>984</v>
      </c>
      <c r="AC916" t="s">
        <v>82</v>
      </c>
      <c r="AD916" t="s">
        <v>83</v>
      </c>
      <c r="AE916" t="s">
        <v>66</v>
      </c>
      <c r="AF916" t="s">
        <v>876</v>
      </c>
    </row>
    <row r="917" spans="1:32">
      <c r="A917" t="s">
        <v>4945</v>
      </c>
      <c r="B917" t="s">
        <v>4127</v>
      </c>
      <c r="C917" t="s">
        <v>4946</v>
      </c>
      <c r="D917" t="s">
        <v>4946</v>
      </c>
      <c r="E917" t="s">
        <v>109</v>
      </c>
      <c r="F917" t="s">
        <v>110</v>
      </c>
      <c r="G917" t="s">
        <v>111</v>
      </c>
      <c r="H917" t="s">
        <v>66</v>
      </c>
      <c r="I917" t="s">
        <v>66</v>
      </c>
      <c r="J917" t="s">
        <v>67</v>
      </c>
      <c r="K917" t="s">
        <v>71</v>
      </c>
      <c r="L917" t="s">
        <v>72</v>
      </c>
      <c r="M917" t="s">
        <v>73</v>
      </c>
      <c r="N917" t="s">
        <v>66</v>
      </c>
      <c r="O917" t="s">
        <v>73</v>
      </c>
      <c r="P917" t="s">
        <v>66</v>
      </c>
      <c r="Q917" t="s">
        <v>979</v>
      </c>
      <c r="R917" t="s">
        <v>73</v>
      </c>
      <c r="S917" t="s">
        <v>979</v>
      </c>
      <c r="T917" t="s">
        <v>4947</v>
      </c>
      <c r="U917" t="s">
        <v>4948</v>
      </c>
      <c r="V917" t="s">
        <v>982</v>
      </c>
      <c r="W917" t="s">
        <v>66</v>
      </c>
      <c r="X917" t="s">
        <v>78</v>
      </c>
      <c r="Y917" t="s">
        <v>4949</v>
      </c>
      <c r="Z917" t="s">
        <v>182</v>
      </c>
      <c r="AA917" t="s">
        <v>984</v>
      </c>
      <c r="AB917" t="s">
        <v>984</v>
      </c>
      <c r="AC917" t="s">
        <v>82</v>
      </c>
      <c r="AD917" t="s">
        <v>83</v>
      </c>
      <c r="AE917" t="s">
        <v>66</v>
      </c>
      <c r="AF917" t="s">
        <v>876</v>
      </c>
    </row>
    <row r="918" spans="1:32">
      <c r="A918" t="s">
        <v>4950</v>
      </c>
      <c r="B918" t="s">
        <v>4951</v>
      </c>
      <c r="C918" t="s">
        <v>4952</v>
      </c>
      <c r="D918" t="s">
        <v>66</v>
      </c>
      <c r="E918" t="s">
        <v>67</v>
      </c>
      <c r="F918" t="s">
        <v>68</v>
      </c>
      <c r="G918" t="s">
        <v>69</v>
      </c>
      <c r="H918" t="s">
        <v>66</v>
      </c>
      <c r="I918" t="s">
        <v>66</v>
      </c>
      <c r="J918" t="s">
        <v>67</v>
      </c>
      <c r="K918" t="s">
        <v>71</v>
      </c>
      <c r="L918" t="s">
        <v>72</v>
      </c>
      <c r="M918" t="s">
        <v>73</v>
      </c>
      <c r="N918" t="s">
        <v>66</v>
      </c>
      <c r="O918" t="s">
        <v>73</v>
      </c>
      <c r="P918" t="s">
        <v>66</v>
      </c>
      <c r="Q918" t="s">
        <v>979</v>
      </c>
      <c r="R918" t="s">
        <v>73</v>
      </c>
      <c r="S918" t="s">
        <v>979</v>
      </c>
      <c r="T918" t="s">
        <v>4953</v>
      </c>
      <c r="U918" t="s">
        <v>4954</v>
      </c>
      <c r="V918" t="s">
        <v>982</v>
      </c>
      <c r="W918" t="s">
        <v>66</v>
      </c>
      <c r="X918" t="s">
        <v>78</v>
      </c>
      <c r="Y918" t="s">
        <v>4955</v>
      </c>
      <c r="Z918" t="s">
        <v>182</v>
      </c>
      <c r="AA918" t="s">
        <v>984</v>
      </c>
      <c r="AB918" t="s">
        <v>984</v>
      </c>
      <c r="AC918" t="s">
        <v>82</v>
      </c>
      <c r="AD918" t="s">
        <v>83</v>
      </c>
      <c r="AE918" t="s">
        <v>66</v>
      </c>
      <c r="AF918" t="s">
        <v>876</v>
      </c>
    </row>
    <row r="919" spans="1:32">
      <c r="A919" t="s">
        <v>4956</v>
      </c>
      <c r="B919" t="s">
        <v>1995</v>
      </c>
      <c r="C919" t="s">
        <v>4957</v>
      </c>
      <c r="D919" t="s">
        <v>66</v>
      </c>
      <c r="E919" t="s">
        <v>67</v>
      </c>
      <c r="F919" t="s">
        <v>110</v>
      </c>
      <c r="G919" t="s">
        <v>111</v>
      </c>
      <c r="H919" t="s">
        <v>66</v>
      </c>
      <c r="I919" t="s">
        <v>66</v>
      </c>
      <c r="J919" t="s">
        <v>67</v>
      </c>
      <c r="K919" t="s">
        <v>71</v>
      </c>
      <c r="L919" t="s">
        <v>72</v>
      </c>
      <c r="M919" t="s">
        <v>73</v>
      </c>
      <c r="N919" t="s">
        <v>66</v>
      </c>
      <c r="O919" t="s">
        <v>73</v>
      </c>
      <c r="P919" t="s">
        <v>66</v>
      </c>
      <c r="Q919" t="s">
        <v>979</v>
      </c>
      <c r="R919" t="s">
        <v>73</v>
      </c>
      <c r="S919" t="s">
        <v>979</v>
      </c>
      <c r="T919" t="s">
        <v>4958</v>
      </c>
      <c r="U919" t="s">
        <v>4959</v>
      </c>
      <c r="V919" t="s">
        <v>982</v>
      </c>
      <c r="W919" t="s">
        <v>66</v>
      </c>
      <c r="X919" t="s">
        <v>78</v>
      </c>
      <c r="Y919" t="s">
        <v>4960</v>
      </c>
      <c r="Z919" t="s">
        <v>182</v>
      </c>
      <c r="AA919" t="s">
        <v>984</v>
      </c>
      <c r="AB919" t="s">
        <v>984</v>
      </c>
      <c r="AC919" t="s">
        <v>82</v>
      </c>
      <c r="AD919" t="s">
        <v>83</v>
      </c>
      <c r="AE919" t="s">
        <v>66</v>
      </c>
      <c r="AF919" t="s">
        <v>876</v>
      </c>
    </row>
    <row r="920" spans="1:32">
      <c r="A920" t="s">
        <v>4961</v>
      </c>
      <c r="B920" t="s">
        <v>1101</v>
      </c>
      <c r="C920" t="s">
        <v>4962</v>
      </c>
      <c r="D920" t="s">
        <v>66</v>
      </c>
      <c r="E920" t="s">
        <v>67</v>
      </c>
      <c r="F920" t="s">
        <v>110</v>
      </c>
      <c r="G920" t="s">
        <v>111</v>
      </c>
      <c r="H920" t="s">
        <v>66</v>
      </c>
      <c r="I920" t="s">
        <v>66</v>
      </c>
      <c r="J920" t="s">
        <v>67</v>
      </c>
      <c r="K920" t="s">
        <v>71</v>
      </c>
      <c r="L920" t="s">
        <v>72</v>
      </c>
      <c r="M920" t="s">
        <v>73</v>
      </c>
      <c r="N920" t="s">
        <v>66</v>
      </c>
      <c r="O920" t="s">
        <v>73</v>
      </c>
      <c r="P920" t="s">
        <v>66</v>
      </c>
      <c r="Q920" t="s">
        <v>979</v>
      </c>
      <c r="R920" t="s">
        <v>73</v>
      </c>
      <c r="S920" t="s">
        <v>979</v>
      </c>
      <c r="T920" t="s">
        <v>4963</v>
      </c>
      <c r="U920" t="s">
        <v>4964</v>
      </c>
      <c r="V920" t="s">
        <v>982</v>
      </c>
      <c r="W920" t="s">
        <v>66</v>
      </c>
      <c r="X920" t="s">
        <v>78</v>
      </c>
      <c r="Y920" t="s">
        <v>4965</v>
      </c>
      <c r="Z920" t="s">
        <v>182</v>
      </c>
      <c r="AA920" t="s">
        <v>984</v>
      </c>
      <c r="AB920" t="s">
        <v>984</v>
      </c>
      <c r="AC920" t="s">
        <v>82</v>
      </c>
      <c r="AD920" t="s">
        <v>83</v>
      </c>
      <c r="AE920" t="s">
        <v>66</v>
      </c>
      <c r="AF920" t="s">
        <v>876</v>
      </c>
    </row>
    <row r="921" spans="1:32">
      <c r="A921" t="s">
        <v>4966</v>
      </c>
      <c r="B921" t="s">
        <v>1101</v>
      </c>
      <c r="C921" t="s">
        <v>4967</v>
      </c>
      <c r="D921" t="s">
        <v>66</v>
      </c>
      <c r="E921" t="s">
        <v>67</v>
      </c>
      <c r="F921" t="s">
        <v>110</v>
      </c>
      <c r="G921" t="s">
        <v>111</v>
      </c>
      <c r="H921" t="s">
        <v>66</v>
      </c>
      <c r="I921" t="s">
        <v>66</v>
      </c>
      <c r="J921" t="s">
        <v>67</v>
      </c>
      <c r="K921" t="s">
        <v>71</v>
      </c>
      <c r="L921" t="s">
        <v>72</v>
      </c>
      <c r="M921" t="s">
        <v>73</v>
      </c>
      <c r="N921" t="s">
        <v>66</v>
      </c>
      <c r="O921" t="s">
        <v>73</v>
      </c>
      <c r="P921" t="s">
        <v>66</v>
      </c>
      <c r="Q921" t="s">
        <v>979</v>
      </c>
      <c r="R921" t="s">
        <v>73</v>
      </c>
      <c r="S921" t="s">
        <v>979</v>
      </c>
      <c r="T921" t="s">
        <v>4968</v>
      </c>
      <c r="U921" t="s">
        <v>4969</v>
      </c>
      <c r="V921" t="s">
        <v>982</v>
      </c>
      <c r="W921" t="s">
        <v>66</v>
      </c>
      <c r="X921" t="s">
        <v>78</v>
      </c>
      <c r="Y921" t="s">
        <v>4970</v>
      </c>
      <c r="Z921" t="s">
        <v>182</v>
      </c>
      <c r="AA921" t="s">
        <v>984</v>
      </c>
      <c r="AB921" t="s">
        <v>984</v>
      </c>
      <c r="AC921" t="s">
        <v>82</v>
      </c>
      <c r="AD921" t="s">
        <v>83</v>
      </c>
      <c r="AE921" t="s">
        <v>66</v>
      </c>
      <c r="AF921" t="s">
        <v>876</v>
      </c>
    </row>
    <row r="922" spans="1:32">
      <c r="A922" t="s">
        <v>4971</v>
      </c>
      <c r="B922" t="s">
        <v>986</v>
      </c>
      <c r="C922" t="s">
        <v>4972</v>
      </c>
      <c r="D922" t="s">
        <v>66</v>
      </c>
      <c r="E922" t="s">
        <v>67</v>
      </c>
      <c r="F922" t="s">
        <v>988</v>
      </c>
      <c r="G922" t="s">
        <v>989</v>
      </c>
      <c r="H922" t="s">
        <v>66</v>
      </c>
      <c r="I922" t="s">
        <v>66</v>
      </c>
      <c r="J922" t="s">
        <v>67</v>
      </c>
      <c r="K922" t="s">
        <v>71</v>
      </c>
      <c r="L922" t="s">
        <v>72</v>
      </c>
      <c r="M922" t="s">
        <v>73</v>
      </c>
      <c r="N922" t="s">
        <v>66</v>
      </c>
      <c r="O922" t="s">
        <v>73</v>
      </c>
      <c r="P922" t="s">
        <v>66</v>
      </c>
      <c r="Q922" t="s">
        <v>979</v>
      </c>
      <c r="R922" t="s">
        <v>73</v>
      </c>
      <c r="S922" t="s">
        <v>979</v>
      </c>
      <c r="T922" t="s">
        <v>4973</v>
      </c>
      <c r="U922" t="s">
        <v>4974</v>
      </c>
      <c r="V922" t="s">
        <v>982</v>
      </c>
      <c r="W922" t="s">
        <v>66</v>
      </c>
      <c r="X922" t="s">
        <v>78</v>
      </c>
      <c r="Y922" t="s">
        <v>4975</v>
      </c>
      <c r="Z922" t="s">
        <v>182</v>
      </c>
      <c r="AA922" t="s">
        <v>984</v>
      </c>
      <c r="AB922" t="s">
        <v>984</v>
      </c>
      <c r="AC922" t="s">
        <v>82</v>
      </c>
      <c r="AD922" t="s">
        <v>83</v>
      </c>
      <c r="AE922" t="s">
        <v>66</v>
      </c>
      <c r="AF922" t="s">
        <v>876</v>
      </c>
    </row>
    <row r="923" spans="1:32">
      <c r="A923" t="s">
        <v>4976</v>
      </c>
      <c r="B923" t="s">
        <v>1058</v>
      </c>
      <c r="C923" t="s">
        <v>4977</v>
      </c>
      <c r="D923" t="s">
        <v>4977</v>
      </c>
      <c r="E923" t="s">
        <v>109</v>
      </c>
      <c r="F923" t="s">
        <v>110</v>
      </c>
      <c r="G923" t="s">
        <v>111</v>
      </c>
      <c r="H923" t="s">
        <v>66</v>
      </c>
      <c r="I923" t="s">
        <v>66</v>
      </c>
      <c r="J923" t="s">
        <v>67</v>
      </c>
      <c r="K923" t="s">
        <v>71</v>
      </c>
      <c r="L923" t="s">
        <v>72</v>
      </c>
      <c r="M923" t="s">
        <v>73</v>
      </c>
      <c r="N923" t="s">
        <v>66</v>
      </c>
      <c r="O923" t="s">
        <v>73</v>
      </c>
      <c r="P923" t="s">
        <v>66</v>
      </c>
      <c r="Q923" t="s">
        <v>979</v>
      </c>
      <c r="R923" t="s">
        <v>73</v>
      </c>
      <c r="S923" t="s">
        <v>979</v>
      </c>
      <c r="T923" t="s">
        <v>4978</v>
      </c>
      <c r="U923" t="s">
        <v>4979</v>
      </c>
      <c r="V923" t="s">
        <v>982</v>
      </c>
      <c r="W923" t="s">
        <v>66</v>
      </c>
      <c r="X923" t="s">
        <v>78</v>
      </c>
      <c r="Y923" t="s">
        <v>4980</v>
      </c>
      <c r="Z923" t="s">
        <v>182</v>
      </c>
      <c r="AA923" t="s">
        <v>984</v>
      </c>
      <c r="AB923" t="s">
        <v>984</v>
      </c>
      <c r="AC923" t="s">
        <v>82</v>
      </c>
      <c r="AD923" t="s">
        <v>83</v>
      </c>
      <c r="AE923" t="s">
        <v>66</v>
      </c>
      <c r="AF923" t="s">
        <v>876</v>
      </c>
    </row>
    <row r="924" spans="1:32">
      <c r="A924" t="s">
        <v>4981</v>
      </c>
      <c r="B924" t="s">
        <v>151</v>
      </c>
      <c r="C924" t="s">
        <v>4982</v>
      </c>
      <c r="D924" t="s">
        <v>66</v>
      </c>
      <c r="E924" t="s">
        <v>67</v>
      </c>
      <c r="F924" t="s">
        <v>68</v>
      </c>
      <c r="G924" t="s">
        <v>69</v>
      </c>
      <c r="H924" t="s">
        <v>66</v>
      </c>
      <c r="I924" t="s">
        <v>66</v>
      </c>
      <c r="J924" t="s">
        <v>67</v>
      </c>
      <c r="K924" t="s">
        <v>71</v>
      </c>
      <c r="L924" t="s">
        <v>72</v>
      </c>
      <c r="M924" t="s">
        <v>73</v>
      </c>
      <c r="N924" t="s">
        <v>66</v>
      </c>
      <c r="O924" t="s">
        <v>73</v>
      </c>
      <c r="P924" t="s">
        <v>66</v>
      </c>
      <c r="Q924" t="s">
        <v>979</v>
      </c>
      <c r="R924" t="s">
        <v>73</v>
      </c>
      <c r="S924" t="s">
        <v>979</v>
      </c>
      <c r="T924" t="s">
        <v>4983</v>
      </c>
      <c r="U924" t="s">
        <v>4984</v>
      </c>
      <c r="V924" t="s">
        <v>982</v>
      </c>
      <c r="W924" t="s">
        <v>66</v>
      </c>
      <c r="X924" t="s">
        <v>78</v>
      </c>
      <c r="Y924" t="s">
        <v>4985</v>
      </c>
      <c r="Z924" t="s">
        <v>182</v>
      </c>
      <c r="AA924" t="s">
        <v>984</v>
      </c>
      <c r="AB924" t="s">
        <v>984</v>
      </c>
      <c r="AC924" t="s">
        <v>82</v>
      </c>
      <c r="AD924" t="s">
        <v>83</v>
      </c>
      <c r="AE924" t="s">
        <v>66</v>
      </c>
      <c r="AF924" t="s">
        <v>876</v>
      </c>
    </row>
    <row r="925" spans="1:32">
      <c r="A925" t="s">
        <v>4986</v>
      </c>
      <c r="B925" t="s">
        <v>308</v>
      </c>
      <c r="C925" t="s">
        <v>4987</v>
      </c>
      <c r="D925" t="s">
        <v>4987</v>
      </c>
      <c r="E925" t="s">
        <v>109</v>
      </c>
      <c r="F925" t="s">
        <v>110</v>
      </c>
      <c r="G925" t="s">
        <v>111</v>
      </c>
      <c r="H925" t="s">
        <v>66</v>
      </c>
      <c r="I925" t="s">
        <v>66</v>
      </c>
      <c r="J925" t="s">
        <v>67</v>
      </c>
      <c r="K925" t="s">
        <v>71</v>
      </c>
      <c r="L925" t="s">
        <v>72</v>
      </c>
      <c r="M925" t="s">
        <v>73</v>
      </c>
      <c r="N925" t="s">
        <v>66</v>
      </c>
      <c r="O925" t="s">
        <v>73</v>
      </c>
      <c r="P925" t="s">
        <v>66</v>
      </c>
      <c r="Q925" t="s">
        <v>979</v>
      </c>
      <c r="R925" t="s">
        <v>73</v>
      </c>
      <c r="S925" t="s">
        <v>979</v>
      </c>
      <c r="T925" t="s">
        <v>4988</v>
      </c>
      <c r="U925" t="s">
        <v>4989</v>
      </c>
      <c r="V925" t="s">
        <v>982</v>
      </c>
      <c r="W925" t="s">
        <v>66</v>
      </c>
      <c r="X925" t="s">
        <v>78</v>
      </c>
      <c r="Y925" t="s">
        <v>4990</v>
      </c>
      <c r="Z925" t="s">
        <v>182</v>
      </c>
      <c r="AA925" t="s">
        <v>984</v>
      </c>
      <c r="AB925" t="s">
        <v>984</v>
      </c>
      <c r="AC925" t="s">
        <v>82</v>
      </c>
      <c r="AD925" t="s">
        <v>83</v>
      </c>
      <c r="AE925" t="s">
        <v>66</v>
      </c>
      <c r="AF925" t="s">
        <v>876</v>
      </c>
    </row>
    <row r="926" spans="1:32">
      <c r="A926" t="s">
        <v>4991</v>
      </c>
      <c r="B926" t="s">
        <v>251</v>
      </c>
      <c r="C926" t="s">
        <v>4992</v>
      </c>
      <c r="D926" t="s">
        <v>66</v>
      </c>
      <c r="E926" t="s">
        <v>67</v>
      </c>
      <c r="F926" t="s">
        <v>253</v>
      </c>
      <c r="G926" t="s">
        <v>254</v>
      </c>
      <c r="H926" t="s">
        <v>66</v>
      </c>
      <c r="I926" t="s">
        <v>66</v>
      </c>
      <c r="J926" t="s">
        <v>67</v>
      </c>
      <c r="K926" t="s">
        <v>71</v>
      </c>
      <c r="L926" t="s">
        <v>72</v>
      </c>
      <c r="M926" t="s">
        <v>73</v>
      </c>
      <c r="N926" t="s">
        <v>66</v>
      </c>
      <c r="O926" t="s">
        <v>73</v>
      </c>
      <c r="P926" t="s">
        <v>66</v>
      </c>
      <c r="Q926" t="s">
        <v>4993</v>
      </c>
      <c r="R926" t="s">
        <v>73</v>
      </c>
      <c r="S926" t="s">
        <v>4993</v>
      </c>
      <c r="T926" t="s">
        <v>4994</v>
      </c>
      <c r="U926" t="s">
        <v>4995</v>
      </c>
      <c r="V926" t="s">
        <v>4996</v>
      </c>
      <c r="W926" t="s">
        <v>66</v>
      </c>
      <c r="X926" t="s">
        <v>78</v>
      </c>
      <c r="Y926" t="s">
        <v>4997</v>
      </c>
      <c r="Z926" t="s">
        <v>287</v>
      </c>
      <c r="AA926" t="s">
        <v>4998</v>
      </c>
      <c r="AB926" t="s">
        <v>4998</v>
      </c>
      <c r="AC926" t="s">
        <v>82</v>
      </c>
      <c r="AD926" t="s">
        <v>83</v>
      </c>
      <c r="AE926" t="s">
        <v>66</v>
      </c>
      <c r="AF926" t="s">
        <v>876</v>
      </c>
    </row>
    <row r="927" spans="1:32">
      <c r="A927" t="s">
        <v>417</v>
      </c>
      <c r="B927" t="s">
        <v>98</v>
      </c>
      <c r="C927" t="s">
        <v>418</v>
      </c>
      <c r="D927" t="s">
        <v>66</v>
      </c>
      <c r="E927" t="s">
        <v>67</v>
      </c>
      <c r="F927" t="s">
        <v>4999</v>
      </c>
      <c r="G927" t="s">
        <v>5000</v>
      </c>
      <c r="H927" t="s">
        <v>66</v>
      </c>
      <c r="I927" t="s">
        <v>66</v>
      </c>
      <c r="J927" t="s">
        <v>67</v>
      </c>
      <c r="K927" t="s">
        <v>71</v>
      </c>
      <c r="L927" t="s">
        <v>72</v>
      </c>
      <c r="M927" t="s">
        <v>73</v>
      </c>
      <c r="N927" t="s">
        <v>66</v>
      </c>
      <c r="O927" t="s">
        <v>73</v>
      </c>
      <c r="P927" t="s">
        <v>66</v>
      </c>
      <c r="Q927" t="s">
        <v>4993</v>
      </c>
      <c r="R927" t="s">
        <v>73</v>
      </c>
      <c r="S927" t="s">
        <v>4993</v>
      </c>
      <c r="T927" t="s">
        <v>5001</v>
      </c>
      <c r="U927" t="s">
        <v>5002</v>
      </c>
      <c r="V927" t="s">
        <v>4996</v>
      </c>
      <c r="W927" t="s">
        <v>66</v>
      </c>
      <c r="X927" t="s">
        <v>78</v>
      </c>
      <c r="Y927" t="s">
        <v>5003</v>
      </c>
      <c r="Z927" t="s">
        <v>287</v>
      </c>
      <c r="AA927" t="s">
        <v>4998</v>
      </c>
      <c r="AB927" t="s">
        <v>4998</v>
      </c>
      <c r="AC927" t="s">
        <v>82</v>
      </c>
      <c r="AD927" t="s">
        <v>83</v>
      </c>
      <c r="AE927" t="s">
        <v>66</v>
      </c>
      <c r="AF927" t="s">
        <v>876</v>
      </c>
    </row>
    <row r="928" spans="1:32">
      <c r="A928" t="s">
        <v>378</v>
      </c>
      <c r="B928" t="s">
        <v>98</v>
      </c>
      <c r="C928" t="s">
        <v>379</v>
      </c>
      <c r="D928" t="s">
        <v>66</v>
      </c>
      <c r="E928" t="s">
        <v>67</v>
      </c>
      <c r="F928" t="s">
        <v>4999</v>
      </c>
      <c r="G928" t="s">
        <v>5000</v>
      </c>
      <c r="H928" t="s">
        <v>66</v>
      </c>
      <c r="I928" t="s">
        <v>66</v>
      </c>
      <c r="J928" t="s">
        <v>67</v>
      </c>
      <c r="K928" t="s">
        <v>71</v>
      </c>
      <c r="L928" t="s">
        <v>72</v>
      </c>
      <c r="M928" t="s">
        <v>73</v>
      </c>
      <c r="N928" t="s">
        <v>66</v>
      </c>
      <c r="O928" t="s">
        <v>73</v>
      </c>
      <c r="P928" t="s">
        <v>66</v>
      </c>
      <c r="Q928" t="s">
        <v>4993</v>
      </c>
      <c r="R928" t="s">
        <v>73</v>
      </c>
      <c r="S928" t="s">
        <v>4993</v>
      </c>
      <c r="T928" t="s">
        <v>5004</v>
      </c>
      <c r="U928" t="s">
        <v>5005</v>
      </c>
      <c r="V928" t="s">
        <v>4996</v>
      </c>
      <c r="W928" t="s">
        <v>66</v>
      </c>
      <c r="X928" t="s">
        <v>78</v>
      </c>
      <c r="Y928" t="s">
        <v>5006</v>
      </c>
      <c r="Z928" t="s">
        <v>287</v>
      </c>
      <c r="AA928" t="s">
        <v>4998</v>
      </c>
      <c r="AB928" t="s">
        <v>4998</v>
      </c>
      <c r="AC928" t="s">
        <v>82</v>
      </c>
      <c r="AD928" t="s">
        <v>83</v>
      </c>
      <c r="AE928" t="s">
        <v>66</v>
      </c>
      <c r="AF928" t="s">
        <v>876</v>
      </c>
    </row>
    <row r="929" spans="1:32">
      <c r="A929" t="s">
        <v>5007</v>
      </c>
      <c r="B929" t="s">
        <v>251</v>
      </c>
      <c r="C929" t="s">
        <v>5008</v>
      </c>
      <c r="D929" t="s">
        <v>66</v>
      </c>
      <c r="E929" t="s">
        <v>67</v>
      </c>
      <c r="F929" t="s">
        <v>253</v>
      </c>
      <c r="G929" t="s">
        <v>254</v>
      </c>
      <c r="H929" t="s">
        <v>66</v>
      </c>
      <c r="I929" t="s">
        <v>66</v>
      </c>
      <c r="J929" t="s">
        <v>67</v>
      </c>
      <c r="K929" t="s">
        <v>71</v>
      </c>
      <c r="L929" t="s">
        <v>72</v>
      </c>
      <c r="M929" t="s">
        <v>73</v>
      </c>
      <c r="N929" t="s">
        <v>66</v>
      </c>
      <c r="O929" t="s">
        <v>73</v>
      </c>
      <c r="P929" t="s">
        <v>66</v>
      </c>
      <c r="Q929" t="s">
        <v>4993</v>
      </c>
      <c r="R929" t="s">
        <v>73</v>
      </c>
      <c r="S929" t="s">
        <v>4993</v>
      </c>
      <c r="T929" t="s">
        <v>5009</v>
      </c>
      <c r="U929" t="s">
        <v>5010</v>
      </c>
      <c r="V929" t="s">
        <v>4996</v>
      </c>
      <c r="W929" t="s">
        <v>66</v>
      </c>
      <c r="X929" t="s">
        <v>78</v>
      </c>
      <c r="Y929" t="s">
        <v>5011</v>
      </c>
      <c r="Z929" t="s">
        <v>287</v>
      </c>
      <c r="AA929" t="s">
        <v>4998</v>
      </c>
      <c r="AB929" t="s">
        <v>4998</v>
      </c>
      <c r="AC929" t="s">
        <v>82</v>
      </c>
      <c r="AD929" t="s">
        <v>83</v>
      </c>
      <c r="AE929" t="s">
        <v>66</v>
      </c>
      <c r="AF929" t="s">
        <v>876</v>
      </c>
    </row>
    <row r="930" spans="1:32">
      <c r="A930" t="s">
        <v>5012</v>
      </c>
      <c r="B930" t="s">
        <v>251</v>
      </c>
      <c r="C930" t="s">
        <v>5013</v>
      </c>
      <c r="D930" t="s">
        <v>66</v>
      </c>
      <c r="E930" t="s">
        <v>67</v>
      </c>
      <c r="F930" t="s">
        <v>253</v>
      </c>
      <c r="G930" t="s">
        <v>254</v>
      </c>
      <c r="H930" t="s">
        <v>66</v>
      </c>
      <c r="I930" t="s">
        <v>66</v>
      </c>
      <c r="J930" t="s">
        <v>67</v>
      </c>
      <c r="K930" t="s">
        <v>71</v>
      </c>
      <c r="L930" t="s">
        <v>72</v>
      </c>
      <c r="M930" t="s">
        <v>73</v>
      </c>
      <c r="N930" t="s">
        <v>66</v>
      </c>
      <c r="O930" t="s">
        <v>73</v>
      </c>
      <c r="P930" t="s">
        <v>66</v>
      </c>
      <c r="Q930" t="s">
        <v>4993</v>
      </c>
      <c r="R930" t="s">
        <v>73</v>
      </c>
      <c r="S930" t="s">
        <v>4993</v>
      </c>
      <c r="T930" t="s">
        <v>5014</v>
      </c>
      <c r="U930" t="s">
        <v>5015</v>
      </c>
      <c r="V930" t="s">
        <v>4996</v>
      </c>
      <c r="W930" t="s">
        <v>66</v>
      </c>
      <c r="X930" t="s">
        <v>78</v>
      </c>
      <c r="Y930" t="s">
        <v>5016</v>
      </c>
      <c r="Z930" t="s">
        <v>287</v>
      </c>
      <c r="AA930" t="s">
        <v>4998</v>
      </c>
      <c r="AB930" t="s">
        <v>4998</v>
      </c>
      <c r="AC930" t="s">
        <v>82</v>
      </c>
      <c r="AD930" t="s">
        <v>83</v>
      </c>
      <c r="AE930" t="s">
        <v>66</v>
      </c>
      <c r="AF930" t="s">
        <v>876</v>
      </c>
    </row>
    <row r="931" spans="1:32">
      <c r="A931" t="s">
        <v>5017</v>
      </c>
      <c r="B931" t="s">
        <v>5018</v>
      </c>
      <c r="C931" t="s">
        <v>5019</v>
      </c>
      <c r="D931" t="s">
        <v>66</v>
      </c>
      <c r="E931" t="s">
        <v>67</v>
      </c>
      <c r="F931" t="s">
        <v>88</v>
      </c>
      <c r="G931" t="s">
        <v>89</v>
      </c>
      <c r="H931" t="s">
        <v>66</v>
      </c>
      <c r="I931" t="s">
        <v>66</v>
      </c>
      <c r="J931" t="s">
        <v>67</v>
      </c>
      <c r="K931" t="s">
        <v>71</v>
      </c>
      <c r="L931" t="s">
        <v>72</v>
      </c>
      <c r="M931" t="s">
        <v>73</v>
      </c>
      <c r="N931" t="s">
        <v>66</v>
      </c>
      <c r="O931" t="s">
        <v>73</v>
      </c>
      <c r="P931" t="s">
        <v>66</v>
      </c>
      <c r="Q931" t="s">
        <v>4993</v>
      </c>
      <c r="R931" t="s">
        <v>73</v>
      </c>
      <c r="S931" t="s">
        <v>4993</v>
      </c>
      <c r="T931" t="s">
        <v>5020</v>
      </c>
      <c r="U931" t="s">
        <v>5021</v>
      </c>
      <c r="V931" t="s">
        <v>4996</v>
      </c>
      <c r="W931" t="s">
        <v>66</v>
      </c>
      <c r="X931" t="s">
        <v>78</v>
      </c>
      <c r="Y931" t="s">
        <v>5022</v>
      </c>
      <c r="Z931" t="s">
        <v>287</v>
      </c>
      <c r="AA931" t="s">
        <v>4998</v>
      </c>
      <c r="AB931" t="s">
        <v>4998</v>
      </c>
      <c r="AC931" t="s">
        <v>82</v>
      </c>
      <c r="AD931" t="s">
        <v>83</v>
      </c>
      <c r="AE931" t="s">
        <v>66</v>
      </c>
      <c r="AF931" t="s">
        <v>876</v>
      </c>
    </row>
    <row r="932" spans="1:32">
      <c r="A932" t="s">
        <v>5023</v>
      </c>
      <c r="B932" t="s">
        <v>5024</v>
      </c>
      <c r="C932" t="s">
        <v>5025</v>
      </c>
      <c r="D932" t="s">
        <v>66</v>
      </c>
      <c r="E932" t="s">
        <v>67</v>
      </c>
      <c r="F932" t="s">
        <v>88</v>
      </c>
      <c r="G932" t="s">
        <v>89</v>
      </c>
      <c r="H932" t="s">
        <v>66</v>
      </c>
      <c r="I932" t="s">
        <v>66</v>
      </c>
      <c r="J932" t="s">
        <v>67</v>
      </c>
      <c r="K932" t="s">
        <v>71</v>
      </c>
      <c r="L932" t="s">
        <v>72</v>
      </c>
      <c r="M932" t="s">
        <v>73</v>
      </c>
      <c r="N932" t="s">
        <v>66</v>
      </c>
      <c r="O932" t="s">
        <v>73</v>
      </c>
      <c r="P932" t="s">
        <v>66</v>
      </c>
      <c r="Q932" t="s">
        <v>4993</v>
      </c>
      <c r="R932" t="s">
        <v>73</v>
      </c>
      <c r="S932" t="s">
        <v>4993</v>
      </c>
      <c r="T932" t="s">
        <v>5026</v>
      </c>
      <c r="U932" t="s">
        <v>5027</v>
      </c>
      <c r="V932" t="s">
        <v>4996</v>
      </c>
      <c r="W932" t="s">
        <v>66</v>
      </c>
      <c r="X932" t="s">
        <v>78</v>
      </c>
      <c r="Y932" t="s">
        <v>5028</v>
      </c>
      <c r="Z932" t="s">
        <v>287</v>
      </c>
      <c r="AA932" t="s">
        <v>4998</v>
      </c>
      <c r="AB932" t="s">
        <v>4998</v>
      </c>
      <c r="AC932" t="s">
        <v>82</v>
      </c>
      <c r="AD932" t="s">
        <v>83</v>
      </c>
      <c r="AE932" t="s">
        <v>66</v>
      </c>
      <c r="AF932" t="s">
        <v>876</v>
      </c>
    </row>
    <row r="933" spans="1:32">
      <c r="A933" t="s">
        <v>507</v>
      </c>
      <c r="B933" t="s">
        <v>98</v>
      </c>
      <c r="C933" t="s">
        <v>508</v>
      </c>
      <c r="D933" t="s">
        <v>66</v>
      </c>
      <c r="E933" t="s">
        <v>67</v>
      </c>
      <c r="F933" t="s">
        <v>4999</v>
      </c>
      <c r="G933" t="s">
        <v>5000</v>
      </c>
      <c r="H933" t="s">
        <v>66</v>
      </c>
      <c r="I933" t="s">
        <v>66</v>
      </c>
      <c r="J933" t="s">
        <v>67</v>
      </c>
      <c r="K933" t="s">
        <v>71</v>
      </c>
      <c r="L933" t="s">
        <v>72</v>
      </c>
      <c r="M933" t="s">
        <v>73</v>
      </c>
      <c r="N933" t="s">
        <v>66</v>
      </c>
      <c r="O933" t="s">
        <v>73</v>
      </c>
      <c r="P933" t="s">
        <v>66</v>
      </c>
      <c r="Q933" t="s">
        <v>4993</v>
      </c>
      <c r="R933" t="s">
        <v>73</v>
      </c>
      <c r="S933" t="s">
        <v>4993</v>
      </c>
      <c r="T933" t="s">
        <v>5029</v>
      </c>
      <c r="U933" t="s">
        <v>5030</v>
      </c>
      <c r="V933" t="s">
        <v>4996</v>
      </c>
      <c r="W933" t="s">
        <v>66</v>
      </c>
      <c r="X933" t="s">
        <v>78</v>
      </c>
      <c r="Y933" t="s">
        <v>5031</v>
      </c>
      <c r="Z933" t="s">
        <v>287</v>
      </c>
      <c r="AA933" t="s">
        <v>4998</v>
      </c>
      <c r="AB933" t="s">
        <v>4998</v>
      </c>
      <c r="AC933" t="s">
        <v>82</v>
      </c>
      <c r="AD933" t="s">
        <v>83</v>
      </c>
      <c r="AE933" t="s">
        <v>66</v>
      </c>
      <c r="AF933" t="s">
        <v>876</v>
      </c>
    </row>
    <row r="934" spans="1:32">
      <c r="A934" t="s">
        <v>5032</v>
      </c>
      <c r="B934" t="s">
        <v>5033</v>
      </c>
      <c r="C934" t="s">
        <v>5034</v>
      </c>
      <c r="D934" t="s">
        <v>66</v>
      </c>
      <c r="E934" t="s">
        <v>67</v>
      </c>
      <c r="F934" t="s">
        <v>253</v>
      </c>
      <c r="G934" t="s">
        <v>254</v>
      </c>
      <c r="H934" t="s">
        <v>66</v>
      </c>
      <c r="I934" t="s">
        <v>66</v>
      </c>
      <c r="J934" t="s">
        <v>67</v>
      </c>
      <c r="K934" t="s">
        <v>71</v>
      </c>
      <c r="L934" t="s">
        <v>72</v>
      </c>
      <c r="M934" t="s">
        <v>73</v>
      </c>
      <c r="N934" t="s">
        <v>66</v>
      </c>
      <c r="O934" t="s">
        <v>73</v>
      </c>
      <c r="P934" t="s">
        <v>66</v>
      </c>
      <c r="Q934" t="s">
        <v>4993</v>
      </c>
      <c r="R934" t="s">
        <v>73</v>
      </c>
      <c r="S934" t="s">
        <v>4993</v>
      </c>
      <c r="T934" t="s">
        <v>5035</v>
      </c>
      <c r="U934" t="s">
        <v>5036</v>
      </c>
      <c r="V934" t="s">
        <v>4996</v>
      </c>
      <c r="W934" t="s">
        <v>66</v>
      </c>
      <c r="X934" t="s">
        <v>78</v>
      </c>
      <c r="Y934" t="s">
        <v>5037</v>
      </c>
      <c r="Z934" t="s">
        <v>287</v>
      </c>
      <c r="AA934" t="s">
        <v>4998</v>
      </c>
      <c r="AB934" t="s">
        <v>4998</v>
      </c>
      <c r="AC934" t="s">
        <v>82</v>
      </c>
      <c r="AD934" t="s">
        <v>83</v>
      </c>
      <c r="AE934" t="s">
        <v>66</v>
      </c>
      <c r="AF934" t="s">
        <v>876</v>
      </c>
    </row>
    <row r="935" spans="1:32">
      <c r="A935" t="s">
        <v>5038</v>
      </c>
      <c r="B935" t="s">
        <v>251</v>
      </c>
      <c r="C935" t="s">
        <v>5039</v>
      </c>
      <c r="D935" t="s">
        <v>66</v>
      </c>
      <c r="E935" t="s">
        <v>67</v>
      </c>
      <c r="F935" t="s">
        <v>253</v>
      </c>
      <c r="G935" t="s">
        <v>254</v>
      </c>
      <c r="H935" t="s">
        <v>66</v>
      </c>
      <c r="I935" t="s">
        <v>66</v>
      </c>
      <c r="J935" t="s">
        <v>67</v>
      </c>
      <c r="K935" t="s">
        <v>71</v>
      </c>
      <c r="L935" t="s">
        <v>72</v>
      </c>
      <c r="M935" t="s">
        <v>73</v>
      </c>
      <c r="N935" t="s">
        <v>66</v>
      </c>
      <c r="O935" t="s">
        <v>73</v>
      </c>
      <c r="P935" t="s">
        <v>66</v>
      </c>
      <c r="Q935" t="s">
        <v>4993</v>
      </c>
      <c r="R935" t="s">
        <v>73</v>
      </c>
      <c r="S935" t="s">
        <v>4993</v>
      </c>
      <c r="T935" t="s">
        <v>5040</v>
      </c>
      <c r="U935" t="s">
        <v>5041</v>
      </c>
      <c r="V935" t="s">
        <v>4996</v>
      </c>
      <c r="W935" t="s">
        <v>66</v>
      </c>
      <c r="X935" t="s">
        <v>78</v>
      </c>
      <c r="Y935" t="s">
        <v>5042</v>
      </c>
      <c r="Z935" t="s">
        <v>287</v>
      </c>
      <c r="AA935" t="s">
        <v>4998</v>
      </c>
      <c r="AB935" t="s">
        <v>4998</v>
      </c>
      <c r="AC935" t="s">
        <v>82</v>
      </c>
      <c r="AD935" t="s">
        <v>83</v>
      </c>
      <c r="AE935" t="s">
        <v>66</v>
      </c>
      <c r="AF935" t="s">
        <v>876</v>
      </c>
    </row>
    <row r="936" spans="1:32">
      <c r="A936" t="s">
        <v>5043</v>
      </c>
      <c r="B936" t="s">
        <v>5044</v>
      </c>
      <c r="C936" t="s">
        <v>5045</v>
      </c>
      <c r="D936" t="s">
        <v>66</v>
      </c>
      <c r="E936" t="s">
        <v>67</v>
      </c>
      <c r="F936" t="s">
        <v>253</v>
      </c>
      <c r="G936" t="s">
        <v>254</v>
      </c>
      <c r="H936" t="s">
        <v>66</v>
      </c>
      <c r="I936" t="s">
        <v>66</v>
      </c>
      <c r="J936" t="s">
        <v>67</v>
      </c>
      <c r="K936" t="s">
        <v>71</v>
      </c>
      <c r="L936" t="s">
        <v>72</v>
      </c>
      <c r="M936" t="s">
        <v>73</v>
      </c>
      <c r="N936" t="s">
        <v>66</v>
      </c>
      <c r="O936" t="s">
        <v>73</v>
      </c>
      <c r="P936" t="s">
        <v>66</v>
      </c>
      <c r="Q936" t="s">
        <v>4993</v>
      </c>
      <c r="R936" t="s">
        <v>73</v>
      </c>
      <c r="S936" t="s">
        <v>4993</v>
      </c>
      <c r="T936" t="s">
        <v>5046</v>
      </c>
      <c r="U936" t="s">
        <v>5047</v>
      </c>
      <c r="V936" t="s">
        <v>4996</v>
      </c>
      <c r="W936" t="s">
        <v>66</v>
      </c>
      <c r="X936" t="s">
        <v>78</v>
      </c>
      <c r="Y936" t="s">
        <v>5048</v>
      </c>
      <c r="Z936" t="s">
        <v>287</v>
      </c>
      <c r="AA936" t="s">
        <v>4998</v>
      </c>
      <c r="AB936" t="s">
        <v>4998</v>
      </c>
      <c r="AC936" t="s">
        <v>82</v>
      </c>
      <c r="AD936" t="s">
        <v>83</v>
      </c>
      <c r="AE936" t="s">
        <v>66</v>
      </c>
      <c r="AF936" t="s">
        <v>876</v>
      </c>
    </row>
    <row r="937" spans="1:32">
      <c r="A937" t="s">
        <v>5049</v>
      </c>
      <c r="B937" t="s">
        <v>86</v>
      </c>
      <c r="C937" t="s">
        <v>5050</v>
      </c>
      <c r="D937" t="s">
        <v>66</v>
      </c>
      <c r="E937" t="s">
        <v>67</v>
      </c>
      <c r="F937" t="s">
        <v>253</v>
      </c>
      <c r="G937" t="s">
        <v>254</v>
      </c>
      <c r="H937" t="s">
        <v>66</v>
      </c>
      <c r="I937" t="s">
        <v>66</v>
      </c>
      <c r="J937" t="s">
        <v>67</v>
      </c>
      <c r="K937" t="s">
        <v>71</v>
      </c>
      <c r="L937" t="s">
        <v>72</v>
      </c>
      <c r="M937" t="s">
        <v>73</v>
      </c>
      <c r="N937" t="s">
        <v>66</v>
      </c>
      <c r="O937" t="s">
        <v>73</v>
      </c>
      <c r="P937" t="s">
        <v>66</v>
      </c>
      <c r="Q937" t="s">
        <v>4993</v>
      </c>
      <c r="R937" t="s">
        <v>73</v>
      </c>
      <c r="S937" t="s">
        <v>4993</v>
      </c>
      <c r="T937" t="s">
        <v>5051</v>
      </c>
      <c r="U937" t="s">
        <v>5052</v>
      </c>
      <c r="V937" t="s">
        <v>4996</v>
      </c>
      <c r="W937" t="s">
        <v>66</v>
      </c>
      <c r="X937" t="s">
        <v>78</v>
      </c>
      <c r="Y937" t="s">
        <v>5053</v>
      </c>
      <c r="Z937" t="s">
        <v>287</v>
      </c>
      <c r="AA937" t="s">
        <v>4998</v>
      </c>
      <c r="AB937" t="s">
        <v>4998</v>
      </c>
      <c r="AC937" t="s">
        <v>82</v>
      </c>
      <c r="AD937" t="s">
        <v>83</v>
      </c>
      <c r="AE937" t="s">
        <v>66</v>
      </c>
      <c r="AF937" t="s">
        <v>876</v>
      </c>
    </row>
    <row r="938" spans="1:32">
      <c r="A938" t="s">
        <v>5054</v>
      </c>
      <c r="B938" t="s">
        <v>5033</v>
      </c>
      <c r="C938" t="s">
        <v>5055</v>
      </c>
      <c r="D938" t="s">
        <v>66</v>
      </c>
      <c r="E938" t="s">
        <v>67</v>
      </c>
      <c r="F938" t="s">
        <v>253</v>
      </c>
      <c r="G938" t="s">
        <v>254</v>
      </c>
      <c r="H938" t="s">
        <v>66</v>
      </c>
      <c r="I938" t="s">
        <v>66</v>
      </c>
      <c r="J938" t="s">
        <v>67</v>
      </c>
      <c r="K938" t="s">
        <v>71</v>
      </c>
      <c r="L938" t="s">
        <v>72</v>
      </c>
      <c r="M938" t="s">
        <v>73</v>
      </c>
      <c r="N938" t="s">
        <v>66</v>
      </c>
      <c r="O938" t="s">
        <v>73</v>
      </c>
      <c r="P938" t="s">
        <v>66</v>
      </c>
      <c r="Q938" t="s">
        <v>4993</v>
      </c>
      <c r="R938" t="s">
        <v>73</v>
      </c>
      <c r="S938" t="s">
        <v>4993</v>
      </c>
      <c r="T938" t="s">
        <v>5056</v>
      </c>
      <c r="U938" t="s">
        <v>5057</v>
      </c>
      <c r="V938" t="s">
        <v>4996</v>
      </c>
      <c r="W938" t="s">
        <v>66</v>
      </c>
      <c r="X938" t="s">
        <v>78</v>
      </c>
      <c r="Y938" t="s">
        <v>5058</v>
      </c>
      <c r="Z938" t="s">
        <v>287</v>
      </c>
      <c r="AA938" t="s">
        <v>4998</v>
      </c>
      <c r="AB938" t="s">
        <v>4998</v>
      </c>
      <c r="AC938" t="s">
        <v>82</v>
      </c>
      <c r="AD938" t="s">
        <v>83</v>
      </c>
      <c r="AE938" t="s">
        <v>66</v>
      </c>
      <c r="AF938" t="s">
        <v>876</v>
      </c>
    </row>
    <row r="939" spans="1:32">
      <c r="A939" t="s">
        <v>5059</v>
      </c>
      <c r="B939" t="s">
        <v>5060</v>
      </c>
      <c r="C939" t="s">
        <v>5060</v>
      </c>
      <c r="D939" t="s">
        <v>66</v>
      </c>
      <c r="E939" t="s">
        <v>5061</v>
      </c>
      <c r="F939" t="s">
        <v>253</v>
      </c>
      <c r="G939" t="s">
        <v>254</v>
      </c>
      <c r="H939" t="s">
        <v>66</v>
      </c>
      <c r="I939" t="s">
        <v>66</v>
      </c>
      <c r="J939" t="s">
        <v>67</v>
      </c>
      <c r="K939" t="s">
        <v>71</v>
      </c>
      <c r="L939" t="s">
        <v>72</v>
      </c>
      <c r="M939" t="s">
        <v>73</v>
      </c>
      <c r="N939" t="s">
        <v>66</v>
      </c>
      <c r="O939" t="s">
        <v>73</v>
      </c>
      <c r="P939" t="s">
        <v>66</v>
      </c>
      <c r="Q939" t="s">
        <v>4993</v>
      </c>
      <c r="R939" t="s">
        <v>73</v>
      </c>
      <c r="S939" t="s">
        <v>4993</v>
      </c>
      <c r="T939" t="s">
        <v>5062</v>
      </c>
      <c r="U939" t="s">
        <v>5063</v>
      </c>
      <c r="V939" t="s">
        <v>4996</v>
      </c>
      <c r="W939" t="s">
        <v>66</v>
      </c>
      <c r="X939" t="s">
        <v>78</v>
      </c>
      <c r="Y939" t="s">
        <v>5064</v>
      </c>
      <c r="Z939" t="s">
        <v>287</v>
      </c>
      <c r="AA939" t="s">
        <v>4998</v>
      </c>
      <c r="AB939" t="s">
        <v>4998</v>
      </c>
      <c r="AC939" t="s">
        <v>82</v>
      </c>
      <c r="AD939" t="s">
        <v>83</v>
      </c>
      <c r="AE939" t="s">
        <v>66</v>
      </c>
      <c r="AF939" t="s">
        <v>876</v>
      </c>
    </row>
    <row r="940" spans="1:32">
      <c r="A940" t="s">
        <v>427</v>
      </c>
      <c r="B940" t="s">
        <v>98</v>
      </c>
      <c r="C940" t="s">
        <v>428</v>
      </c>
      <c r="D940" t="s">
        <v>66</v>
      </c>
      <c r="E940" t="s">
        <v>67</v>
      </c>
      <c r="F940" t="s">
        <v>4999</v>
      </c>
      <c r="G940" t="s">
        <v>5000</v>
      </c>
      <c r="H940" t="s">
        <v>66</v>
      </c>
      <c r="I940" t="s">
        <v>66</v>
      </c>
      <c r="J940" t="s">
        <v>67</v>
      </c>
      <c r="K940" t="s">
        <v>71</v>
      </c>
      <c r="L940" t="s">
        <v>72</v>
      </c>
      <c r="M940" t="s">
        <v>73</v>
      </c>
      <c r="N940" t="s">
        <v>66</v>
      </c>
      <c r="O940" t="s">
        <v>73</v>
      </c>
      <c r="P940" t="s">
        <v>66</v>
      </c>
      <c r="Q940" t="s">
        <v>4993</v>
      </c>
      <c r="R940" t="s">
        <v>73</v>
      </c>
      <c r="S940" t="s">
        <v>4993</v>
      </c>
      <c r="T940" t="s">
        <v>5065</v>
      </c>
      <c r="U940" t="s">
        <v>5066</v>
      </c>
      <c r="V940" t="s">
        <v>4996</v>
      </c>
      <c r="W940" t="s">
        <v>66</v>
      </c>
      <c r="X940" t="s">
        <v>78</v>
      </c>
      <c r="Y940" t="s">
        <v>5067</v>
      </c>
      <c r="Z940" t="s">
        <v>287</v>
      </c>
      <c r="AA940" t="s">
        <v>4998</v>
      </c>
      <c r="AB940" t="s">
        <v>4998</v>
      </c>
      <c r="AC940" t="s">
        <v>82</v>
      </c>
      <c r="AD940" t="s">
        <v>83</v>
      </c>
      <c r="AE940" t="s">
        <v>66</v>
      </c>
      <c r="AF940" t="s">
        <v>876</v>
      </c>
    </row>
    <row r="941" spans="1:32">
      <c r="A941" t="s">
        <v>5068</v>
      </c>
      <c r="B941" t="s">
        <v>86</v>
      </c>
      <c r="C941" t="s">
        <v>5069</v>
      </c>
      <c r="D941" t="s">
        <v>66</v>
      </c>
      <c r="E941" t="s">
        <v>67</v>
      </c>
      <c r="F941" t="s">
        <v>88</v>
      </c>
      <c r="G941" t="s">
        <v>89</v>
      </c>
      <c r="H941" t="s">
        <v>66</v>
      </c>
      <c r="I941" t="s">
        <v>66</v>
      </c>
      <c r="J941" t="s">
        <v>67</v>
      </c>
      <c r="K941" t="s">
        <v>71</v>
      </c>
      <c r="L941" t="s">
        <v>72</v>
      </c>
      <c r="M941" t="s">
        <v>73</v>
      </c>
      <c r="N941" t="s">
        <v>66</v>
      </c>
      <c r="O941" t="s">
        <v>73</v>
      </c>
      <c r="P941" t="s">
        <v>66</v>
      </c>
      <c r="Q941" t="s">
        <v>4993</v>
      </c>
      <c r="R941" t="s">
        <v>73</v>
      </c>
      <c r="S941" t="s">
        <v>4993</v>
      </c>
      <c r="T941" t="s">
        <v>5070</v>
      </c>
      <c r="U941" t="s">
        <v>5071</v>
      </c>
      <c r="V941" t="s">
        <v>4996</v>
      </c>
      <c r="W941" t="s">
        <v>66</v>
      </c>
      <c r="X941" t="s">
        <v>78</v>
      </c>
      <c r="Y941" t="s">
        <v>5072</v>
      </c>
      <c r="Z941" t="s">
        <v>287</v>
      </c>
      <c r="AA941" t="s">
        <v>4998</v>
      </c>
      <c r="AB941" t="s">
        <v>4998</v>
      </c>
      <c r="AC941" t="s">
        <v>82</v>
      </c>
      <c r="AD941" t="s">
        <v>83</v>
      </c>
      <c r="AE941" t="s">
        <v>66</v>
      </c>
      <c r="AF941" t="s">
        <v>876</v>
      </c>
    </row>
    <row r="942" spans="1:32">
      <c r="A942" t="s">
        <v>5073</v>
      </c>
      <c r="B942" t="s">
        <v>5074</v>
      </c>
      <c r="C942" t="s">
        <v>5075</v>
      </c>
      <c r="D942" t="s">
        <v>66</v>
      </c>
      <c r="E942" t="s">
        <v>67</v>
      </c>
      <c r="F942" t="s">
        <v>253</v>
      </c>
      <c r="G942" t="s">
        <v>254</v>
      </c>
      <c r="H942" t="s">
        <v>66</v>
      </c>
      <c r="I942" t="s">
        <v>66</v>
      </c>
      <c r="J942" t="s">
        <v>67</v>
      </c>
      <c r="K942" t="s">
        <v>71</v>
      </c>
      <c r="L942" t="s">
        <v>72</v>
      </c>
      <c r="M942" t="s">
        <v>73</v>
      </c>
      <c r="N942" t="s">
        <v>66</v>
      </c>
      <c r="O942" t="s">
        <v>73</v>
      </c>
      <c r="P942" t="s">
        <v>66</v>
      </c>
      <c r="Q942" t="s">
        <v>4993</v>
      </c>
      <c r="R942" t="s">
        <v>73</v>
      </c>
      <c r="S942" t="s">
        <v>4993</v>
      </c>
      <c r="T942" t="s">
        <v>5076</v>
      </c>
      <c r="U942" t="s">
        <v>5077</v>
      </c>
      <c r="V942" t="s">
        <v>4996</v>
      </c>
      <c r="W942" t="s">
        <v>66</v>
      </c>
      <c r="X942" t="s">
        <v>78</v>
      </c>
      <c r="Y942" t="s">
        <v>5078</v>
      </c>
      <c r="Z942" t="s">
        <v>287</v>
      </c>
      <c r="AA942" t="s">
        <v>4998</v>
      </c>
      <c r="AB942" t="s">
        <v>4998</v>
      </c>
      <c r="AC942" t="s">
        <v>82</v>
      </c>
      <c r="AD942" t="s">
        <v>83</v>
      </c>
      <c r="AE942" t="s">
        <v>66</v>
      </c>
      <c r="AF942" t="s">
        <v>876</v>
      </c>
    </row>
    <row r="943" spans="1:32">
      <c r="A943" t="s">
        <v>5079</v>
      </c>
      <c r="B943" t="s">
        <v>5080</v>
      </c>
      <c r="C943" t="s">
        <v>5081</v>
      </c>
      <c r="D943" t="s">
        <v>66</v>
      </c>
      <c r="E943" t="s">
        <v>67</v>
      </c>
      <c r="F943" t="s">
        <v>88</v>
      </c>
      <c r="G943" t="s">
        <v>89</v>
      </c>
      <c r="H943" t="s">
        <v>66</v>
      </c>
      <c r="I943" t="s">
        <v>66</v>
      </c>
      <c r="J943" t="s">
        <v>67</v>
      </c>
      <c r="K943" t="s">
        <v>71</v>
      </c>
      <c r="L943" t="s">
        <v>72</v>
      </c>
      <c r="M943" t="s">
        <v>73</v>
      </c>
      <c r="N943" t="s">
        <v>66</v>
      </c>
      <c r="O943" t="s">
        <v>73</v>
      </c>
      <c r="P943" t="s">
        <v>66</v>
      </c>
      <c r="Q943" t="s">
        <v>4993</v>
      </c>
      <c r="R943" t="s">
        <v>73</v>
      </c>
      <c r="S943" t="s">
        <v>4993</v>
      </c>
      <c r="T943" t="s">
        <v>5082</v>
      </c>
      <c r="U943" t="s">
        <v>5083</v>
      </c>
      <c r="V943" t="s">
        <v>4996</v>
      </c>
      <c r="W943" t="s">
        <v>66</v>
      </c>
      <c r="X943" t="s">
        <v>78</v>
      </c>
      <c r="Y943" t="s">
        <v>5084</v>
      </c>
      <c r="Z943" t="s">
        <v>287</v>
      </c>
      <c r="AA943" t="s">
        <v>4998</v>
      </c>
      <c r="AB943" t="s">
        <v>4998</v>
      </c>
      <c r="AC943" t="s">
        <v>82</v>
      </c>
      <c r="AD943" t="s">
        <v>83</v>
      </c>
      <c r="AE943" t="s">
        <v>66</v>
      </c>
      <c r="AF943" t="s">
        <v>876</v>
      </c>
    </row>
    <row r="944" spans="1:32">
      <c r="A944" t="s">
        <v>5085</v>
      </c>
      <c r="B944" t="s">
        <v>5044</v>
      </c>
      <c r="C944" t="s">
        <v>5086</v>
      </c>
      <c r="D944" t="s">
        <v>66</v>
      </c>
      <c r="E944" t="s">
        <v>67</v>
      </c>
      <c r="F944" t="s">
        <v>88</v>
      </c>
      <c r="G944" t="s">
        <v>89</v>
      </c>
      <c r="H944" t="s">
        <v>66</v>
      </c>
      <c r="I944" t="s">
        <v>66</v>
      </c>
      <c r="J944" t="s">
        <v>67</v>
      </c>
      <c r="K944" t="s">
        <v>71</v>
      </c>
      <c r="L944" t="s">
        <v>72</v>
      </c>
      <c r="M944" t="s">
        <v>73</v>
      </c>
      <c r="N944" t="s">
        <v>66</v>
      </c>
      <c r="O944" t="s">
        <v>73</v>
      </c>
      <c r="P944" t="s">
        <v>66</v>
      </c>
      <c r="Q944" t="s">
        <v>4993</v>
      </c>
      <c r="R944" t="s">
        <v>73</v>
      </c>
      <c r="S944" t="s">
        <v>4993</v>
      </c>
      <c r="T944" t="s">
        <v>5087</v>
      </c>
      <c r="U944" t="s">
        <v>5088</v>
      </c>
      <c r="V944" t="s">
        <v>4996</v>
      </c>
      <c r="W944" t="s">
        <v>66</v>
      </c>
      <c r="X944" t="s">
        <v>78</v>
      </c>
      <c r="Y944" t="s">
        <v>5089</v>
      </c>
      <c r="Z944" t="s">
        <v>287</v>
      </c>
      <c r="AA944" t="s">
        <v>4998</v>
      </c>
      <c r="AB944" t="s">
        <v>4998</v>
      </c>
      <c r="AC944" t="s">
        <v>82</v>
      </c>
      <c r="AD944" t="s">
        <v>83</v>
      </c>
      <c r="AE944" t="s">
        <v>66</v>
      </c>
      <c r="AF944" t="s">
        <v>876</v>
      </c>
    </row>
    <row r="945" spans="1:32">
      <c r="A945" t="s">
        <v>5090</v>
      </c>
      <c r="B945" t="s">
        <v>5024</v>
      </c>
      <c r="C945" t="s">
        <v>5091</v>
      </c>
      <c r="D945" t="s">
        <v>66</v>
      </c>
      <c r="E945" t="s">
        <v>67</v>
      </c>
      <c r="F945" t="s">
        <v>253</v>
      </c>
      <c r="G945" t="s">
        <v>254</v>
      </c>
      <c r="H945" t="s">
        <v>66</v>
      </c>
      <c r="I945" t="s">
        <v>66</v>
      </c>
      <c r="J945" t="s">
        <v>67</v>
      </c>
      <c r="K945" t="s">
        <v>71</v>
      </c>
      <c r="L945" t="s">
        <v>72</v>
      </c>
      <c r="M945" t="s">
        <v>73</v>
      </c>
      <c r="N945" t="s">
        <v>66</v>
      </c>
      <c r="O945" t="s">
        <v>73</v>
      </c>
      <c r="P945" t="s">
        <v>66</v>
      </c>
      <c r="Q945" t="s">
        <v>4993</v>
      </c>
      <c r="R945" t="s">
        <v>73</v>
      </c>
      <c r="S945" t="s">
        <v>4993</v>
      </c>
      <c r="T945" t="s">
        <v>5092</v>
      </c>
      <c r="U945" t="s">
        <v>5093</v>
      </c>
      <c r="V945" t="s">
        <v>4996</v>
      </c>
      <c r="W945" t="s">
        <v>66</v>
      </c>
      <c r="X945" t="s">
        <v>78</v>
      </c>
      <c r="Y945" t="s">
        <v>5094</v>
      </c>
      <c r="Z945" t="s">
        <v>287</v>
      </c>
      <c r="AA945" t="s">
        <v>4998</v>
      </c>
      <c r="AB945" t="s">
        <v>4998</v>
      </c>
      <c r="AC945" t="s">
        <v>82</v>
      </c>
      <c r="AD945" t="s">
        <v>83</v>
      </c>
      <c r="AE945" t="s">
        <v>66</v>
      </c>
      <c r="AF945" t="s">
        <v>876</v>
      </c>
    </row>
    <row r="946" spans="1:32">
      <c r="A946" t="s">
        <v>5095</v>
      </c>
      <c r="B946" t="s">
        <v>251</v>
      </c>
      <c r="C946" t="s">
        <v>5096</v>
      </c>
      <c r="D946" t="s">
        <v>66</v>
      </c>
      <c r="E946" t="s">
        <v>67</v>
      </c>
      <c r="F946" t="s">
        <v>253</v>
      </c>
      <c r="G946" t="s">
        <v>254</v>
      </c>
      <c r="H946" t="s">
        <v>66</v>
      </c>
      <c r="I946" t="s">
        <v>66</v>
      </c>
      <c r="J946" t="s">
        <v>67</v>
      </c>
      <c r="K946" t="s">
        <v>71</v>
      </c>
      <c r="L946" t="s">
        <v>72</v>
      </c>
      <c r="M946" t="s">
        <v>73</v>
      </c>
      <c r="N946" t="s">
        <v>66</v>
      </c>
      <c r="O946" t="s">
        <v>73</v>
      </c>
      <c r="P946" t="s">
        <v>66</v>
      </c>
      <c r="Q946" t="s">
        <v>4993</v>
      </c>
      <c r="R946" t="s">
        <v>73</v>
      </c>
      <c r="S946" t="s">
        <v>4993</v>
      </c>
      <c r="T946" t="s">
        <v>5097</v>
      </c>
      <c r="U946" t="s">
        <v>5098</v>
      </c>
      <c r="V946" t="s">
        <v>4996</v>
      </c>
      <c r="W946" t="s">
        <v>66</v>
      </c>
      <c r="X946" t="s">
        <v>78</v>
      </c>
      <c r="Y946" t="s">
        <v>5099</v>
      </c>
      <c r="Z946" t="s">
        <v>287</v>
      </c>
      <c r="AA946" t="s">
        <v>4998</v>
      </c>
      <c r="AB946" t="s">
        <v>4998</v>
      </c>
      <c r="AC946" t="s">
        <v>82</v>
      </c>
      <c r="AD946" t="s">
        <v>83</v>
      </c>
      <c r="AE946" t="s">
        <v>66</v>
      </c>
      <c r="AF946" t="s">
        <v>876</v>
      </c>
    </row>
    <row r="947" spans="1:32">
      <c r="A947" t="s">
        <v>5100</v>
      </c>
      <c r="B947" t="s">
        <v>251</v>
      </c>
      <c r="C947" t="s">
        <v>5101</v>
      </c>
      <c r="D947" t="s">
        <v>66</v>
      </c>
      <c r="E947" t="s">
        <v>67</v>
      </c>
      <c r="F947" t="s">
        <v>253</v>
      </c>
      <c r="G947" t="s">
        <v>254</v>
      </c>
      <c r="H947" t="s">
        <v>66</v>
      </c>
      <c r="I947" t="s">
        <v>66</v>
      </c>
      <c r="J947" t="s">
        <v>67</v>
      </c>
      <c r="K947" t="s">
        <v>71</v>
      </c>
      <c r="L947" t="s">
        <v>72</v>
      </c>
      <c r="M947" t="s">
        <v>73</v>
      </c>
      <c r="N947" t="s">
        <v>66</v>
      </c>
      <c r="O947" t="s">
        <v>73</v>
      </c>
      <c r="P947" t="s">
        <v>66</v>
      </c>
      <c r="Q947" t="s">
        <v>4993</v>
      </c>
      <c r="R947" t="s">
        <v>73</v>
      </c>
      <c r="S947" t="s">
        <v>4993</v>
      </c>
      <c r="T947" t="s">
        <v>5102</v>
      </c>
      <c r="U947" t="s">
        <v>5103</v>
      </c>
      <c r="V947" t="s">
        <v>4996</v>
      </c>
      <c r="W947" t="s">
        <v>66</v>
      </c>
      <c r="X947" t="s">
        <v>78</v>
      </c>
      <c r="Y947" t="s">
        <v>5104</v>
      </c>
      <c r="Z947" t="s">
        <v>287</v>
      </c>
      <c r="AA947" t="s">
        <v>4998</v>
      </c>
      <c r="AB947" t="s">
        <v>4998</v>
      </c>
      <c r="AC947" t="s">
        <v>82</v>
      </c>
      <c r="AD947" t="s">
        <v>83</v>
      </c>
      <c r="AE947" t="s">
        <v>66</v>
      </c>
      <c r="AF947" t="s">
        <v>876</v>
      </c>
    </row>
    <row r="948" spans="1:32">
      <c r="A948" t="s">
        <v>5105</v>
      </c>
      <c r="B948" t="s">
        <v>5106</v>
      </c>
      <c r="C948" t="s">
        <v>5107</v>
      </c>
      <c r="D948" t="s">
        <v>66</v>
      </c>
      <c r="E948" t="s">
        <v>67</v>
      </c>
      <c r="F948" t="s">
        <v>88</v>
      </c>
      <c r="G948" t="s">
        <v>89</v>
      </c>
      <c r="H948" t="s">
        <v>66</v>
      </c>
      <c r="I948" t="s">
        <v>66</v>
      </c>
      <c r="J948" t="s">
        <v>67</v>
      </c>
      <c r="K948" t="s">
        <v>71</v>
      </c>
      <c r="L948" t="s">
        <v>72</v>
      </c>
      <c r="M948" t="s">
        <v>73</v>
      </c>
      <c r="N948" t="s">
        <v>66</v>
      </c>
      <c r="O948" t="s">
        <v>73</v>
      </c>
      <c r="P948" t="s">
        <v>66</v>
      </c>
      <c r="Q948" t="s">
        <v>4993</v>
      </c>
      <c r="R948" t="s">
        <v>73</v>
      </c>
      <c r="S948" t="s">
        <v>4993</v>
      </c>
      <c r="T948" t="s">
        <v>5108</v>
      </c>
      <c r="U948" t="s">
        <v>5109</v>
      </c>
      <c r="V948" t="s">
        <v>4996</v>
      </c>
      <c r="W948" t="s">
        <v>66</v>
      </c>
      <c r="X948" t="s">
        <v>78</v>
      </c>
      <c r="Y948" t="s">
        <v>5110</v>
      </c>
      <c r="Z948" t="s">
        <v>287</v>
      </c>
      <c r="AA948" t="s">
        <v>4998</v>
      </c>
      <c r="AB948" t="s">
        <v>4998</v>
      </c>
      <c r="AC948" t="s">
        <v>82</v>
      </c>
      <c r="AD948" t="s">
        <v>83</v>
      </c>
      <c r="AE948" t="s">
        <v>66</v>
      </c>
      <c r="AF948" t="s">
        <v>876</v>
      </c>
    </row>
    <row r="949" spans="1:32">
      <c r="A949" t="s">
        <v>392</v>
      </c>
      <c r="B949" t="s">
        <v>98</v>
      </c>
      <c r="C949" t="s">
        <v>393</v>
      </c>
      <c r="D949" t="s">
        <v>66</v>
      </c>
      <c r="E949" t="s">
        <v>67</v>
      </c>
      <c r="F949" t="s">
        <v>4999</v>
      </c>
      <c r="G949" t="s">
        <v>5000</v>
      </c>
      <c r="H949" t="s">
        <v>66</v>
      </c>
      <c r="I949" t="s">
        <v>66</v>
      </c>
      <c r="J949" t="s">
        <v>67</v>
      </c>
      <c r="K949" t="s">
        <v>71</v>
      </c>
      <c r="L949" t="s">
        <v>72</v>
      </c>
      <c r="M949" t="s">
        <v>73</v>
      </c>
      <c r="N949" t="s">
        <v>66</v>
      </c>
      <c r="O949" t="s">
        <v>73</v>
      </c>
      <c r="P949" t="s">
        <v>66</v>
      </c>
      <c r="Q949" t="s">
        <v>4993</v>
      </c>
      <c r="R949" t="s">
        <v>73</v>
      </c>
      <c r="S949" t="s">
        <v>4993</v>
      </c>
      <c r="T949" t="s">
        <v>5111</v>
      </c>
      <c r="U949" t="s">
        <v>5112</v>
      </c>
      <c r="V949" t="s">
        <v>4996</v>
      </c>
      <c r="W949" t="s">
        <v>66</v>
      </c>
      <c r="X949" t="s">
        <v>78</v>
      </c>
      <c r="Y949" t="s">
        <v>5113</v>
      </c>
      <c r="Z949" t="s">
        <v>287</v>
      </c>
      <c r="AA949" t="s">
        <v>4998</v>
      </c>
      <c r="AB949" t="s">
        <v>4998</v>
      </c>
      <c r="AC949" t="s">
        <v>82</v>
      </c>
      <c r="AD949" t="s">
        <v>83</v>
      </c>
      <c r="AE949" t="s">
        <v>66</v>
      </c>
      <c r="AF949" t="s">
        <v>876</v>
      </c>
    </row>
    <row r="950" spans="1:32">
      <c r="A950" t="s">
        <v>5114</v>
      </c>
      <c r="B950" t="s">
        <v>5115</v>
      </c>
      <c r="C950" t="s">
        <v>5116</v>
      </c>
      <c r="D950" t="s">
        <v>66</v>
      </c>
      <c r="E950" t="s">
        <v>67</v>
      </c>
      <c r="F950" t="s">
        <v>88</v>
      </c>
      <c r="G950" t="s">
        <v>89</v>
      </c>
      <c r="H950" t="s">
        <v>66</v>
      </c>
      <c r="I950" t="s">
        <v>66</v>
      </c>
      <c r="J950" t="s">
        <v>67</v>
      </c>
      <c r="K950" t="s">
        <v>71</v>
      </c>
      <c r="L950" t="s">
        <v>72</v>
      </c>
      <c r="M950" t="s">
        <v>73</v>
      </c>
      <c r="N950" t="s">
        <v>66</v>
      </c>
      <c r="O950" t="s">
        <v>73</v>
      </c>
      <c r="P950" t="s">
        <v>66</v>
      </c>
      <c r="Q950" t="s">
        <v>4993</v>
      </c>
      <c r="R950" t="s">
        <v>73</v>
      </c>
      <c r="S950" t="s">
        <v>4993</v>
      </c>
      <c r="T950" t="s">
        <v>5117</v>
      </c>
      <c r="U950" t="s">
        <v>5118</v>
      </c>
      <c r="V950" t="s">
        <v>4996</v>
      </c>
      <c r="W950" t="s">
        <v>66</v>
      </c>
      <c r="X950" t="s">
        <v>78</v>
      </c>
      <c r="Y950" t="s">
        <v>5119</v>
      </c>
      <c r="Z950" t="s">
        <v>287</v>
      </c>
      <c r="AA950" t="s">
        <v>4998</v>
      </c>
      <c r="AB950" t="s">
        <v>4998</v>
      </c>
      <c r="AC950" t="s">
        <v>82</v>
      </c>
      <c r="AD950" t="s">
        <v>83</v>
      </c>
      <c r="AE950" t="s">
        <v>66</v>
      </c>
      <c r="AF950" t="s">
        <v>876</v>
      </c>
    </row>
    <row r="951" spans="1:32">
      <c r="A951" t="s">
        <v>457</v>
      </c>
      <c r="B951" t="s">
        <v>98</v>
      </c>
      <c r="C951" t="s">
        <v>458</v>
      </c>
      <c r="D951" t="s">
        <v>66</v>
      </c>
      <c r="E951" t="s">
        <v>67</v>
      </c>
      <c r="F951" t="s">
        <v>4999</v>
      </c>
      <c r="G951" t="s">
        <v>5000</v>
      </c>
      <c r="H951" t="s">
        <v>66</v>
      </c>
      <c r="I951" t="s">
        <v>66</v>
      </c>
      <c r="J951" t="s">
        <v>67</v>
      </c>
      <c r="K951" t="s">
        <v>71</v>
      </c>
      <c r="L951" t="s">
        <v>72</v>
      </c>
      <c r="M951" t="s">
        <v>73</v>
      </c>
      <c r="N951" t="s">
        <v>66</v>
      </c>
      <c r="O951" t="s">
        <v>73</v>
      </c>
      <c r="P951" t="s">
        <v>66</v>
      </c>
      <c r="Q951" t="s">
        <v>4993</v>
      </c>
      <c r="R951" t="s">
        <v>73</v>
      </c>
      <c r="S951" t="s">
        <v>4993</v>
      </c>
      <c r="T951" t="s">
        <v>5120</v>
      </c>
      <c r="U951" t="s">
        <v>5121</v>
      </c>
      <c r="V951" t="s">
        <v>4996</v>
      </c>
      <c r="W951" t="s">
        <v>66</v>
      </c>
      <c r="X951" t="s">
        <v>78</v>
      </c>
      <c r="Y951" t="s">
        <v>5122</v>
      </c>
      <c r="Z951" t="s">
        <v>287</v>
      </c>
      <c r="AA951" t="s">
        <v>4998</v>
      </c>
      <c r="AB951" t="s">
        <v>4998</v>
      </c>
      <c r="AC951" t="s">
        <v>82</v>
      </c>
      <c r="AD951" t="s">
        <v>83</v>
      </c>
      <c r="AE951" t="s">
        <v>66</v>
      </c>
      <c r="AF951" t="s">
        <v>876</v>
      </c>
    </row>
    <row r="952" spans="1:32">
      <c r="A952" t="s">
        <v>5123</v>
      </c>
      <c r="B952" t="s">
        <v>251</v>
      </c>
      <c r="C952" t="s">
        <v>5124</v>
      </c>
      <c r="D952" t="s">
        <v>66</v>
      </c>
      <c r="E952" t="s">
        <v>67</v>
      </c>
      <c r="F952" t="s">
        <v>253</v>
      </c>
      <c r="G952" t="s">
        <v>254</v>
      </c>
      <c r="H952" t="s">
        <v>66</v>
      </c>
      <c r="I952" t="s">
        <v>66</v>
      </c>
      <c r="J952" t="s">
        <v>67</v>
      </c>
      <c r="K952" t="s">
        <v>71</v>
      </c>
      <c r="L952" t="s">
        <v>72</v>
      </c>
      <c r="M952" t="s">
        <v>73</v>
      </c>
      <c r="N952" t="s">
        <v>66</v>
      </c>
      <c r="O952" t="s">
        <v>73</v>
      </c>
      <c r="P952" t="s">
        <v>66</v>
      </c>
      <c r="Q952" t="s">
        <v>4993</v>
      </c>
      <c r="R952" t="s">
        <v>73</v>
      </c>
      <c r="S952" t="s">
        <v>4993</v>
      </c>
      <c r="T952" t="s">
        <v>5125</v>
      </c>
      <c r="U952" t="s">
        <v>5126</v>
      </c>
      <c r="V952" t="s">
        <v>4996</v>
      </c>
      <c r="W952" t="s">
        <v>66</v>
      </c>
      <c r="X952" t="s">
        <v>78</v>
      </c>
      <c r="Y952" t="s">
        <v>5127</v>
      </c>
      <c r="Z952" t="s">
        <v>287</v>
      </c>
      <c r="AA952" t="s">
        <v>4998</v>
      </c>
      <c r="AB952" t="s">
        <v>4998</v>
      </c>
      <c r="AC952" t="s">
        <v>82</v>
      </c>
      <c r="AD952" t="s">
        <v>83</v>
      </c>
      <c r="AE952" t="s">
        <v>66</v>
      </c>
      <c r="AF952" t="s">
        <v>876</v>
      </c>
    </row>
    <row r="953" spans="1:32">
      <c r="A953" t="s">
        <v>452</v>
      </c>
      <c r="B953" t="s">
        <v>98</v>
      </c>
      <c r="C953" t="s">
        <v>453</v>
      </c>
      <c r="D953" t="s">
        <v>66</v>
      </c>
      <c r="E953" t="s">
        <v>67</v>
      </c>
      <c r="F953" t="s">
        <v>4999</v>
      </c>
      <c r="G953" t="s">
        <v>5000</v>
      </c>
      <c r="H953" t="s">
        <v>66</v>
      </c>
      <c r="I953" t="s">
        <v>66</v>
      </c>
      <c r="J953" t="s">
        <v>67</v>
      </c>
      <c r="K953" t="s">
        <v>71</v>
      </c>
      <c r="L953" t="s">
        <v>72</v>
      </c>
      <c r="M953" t="s">
        <v>73</v>
      </c>
      <c r="N953" t="s">
        <v>66</v>
      </c>
      <c r="O953" t="s">
        <v>73</v>
      </c>
      <c r="P953" t="s">
        <v>66</v>
      </c>
      <c r="Q953" t="s">
        <v>4993</v>
      </c>
      <c r="R953" t="s">
        <v>73</v>
      </c>
      <c r="S953" t="s">
        <v>4993</v>
      </c>
      <c r="T953" t="s">
        <v>5128</v>
      </c>
      <c r="U953" t="s">
        <v>5129</v>
      </c>
      <c r="V953" t="s">
        <v>4996</v>
      </c>
      <c r="W953" t="s">
        <v>66</v>
      </c>
      <c r="X953" t="s">
        <v>78</v>
      </c>
      <c r="Y953" t="s">
        <v>5130</v>
      </c>
      <c r="Z953" t="s">
        <v>287</v>
      </c>
      <c r="AA953" t="s">
        <v>4998</v>
      </c>
      <c r="AB953" t="s">
        <v>4998</v>
      </c>
      <c r="AC953" t="s">
        <v>82</v>
      </c>
      <c r="AD953" t="s">
        <v>83</v>
      </c>
      <c r="AE953" t="s">
        <v>66</v>
      </c>
      <c r="AF953" t="s">
        <v>876</v>
      </c>
    </row>
    <row r="954" spans="1:32">
      <c r="A954" t="s">
        <v>467</v>
      </c>
      <c r="B954" t="s">
        <v>98</v>
      </c>
      <c r="C954" t="s">
        <v>468</v>
      </c>
      <c r="D954" t="s">
        <v>66</v>
      </c>
      <c r="E954" t="s">
        <v>67</v>
      </c>
      <c r="F954" t="s">
        <v>4999</v>
      </c>
      <c r="G954" t="s">
        <v>5000</v>
      </c>
      <c r="H954" t="s">
        <v>66</v>
      </c>
      <c r="I954" t="s">
        <v>66</v>
      </c>
      <c r="J954" t="s">
        <v>67</v>
      </c>
      <c r="K954" t="s">
        <v>71</v>
      </c>
      <c r="L954" t="s">
        <v>72</v>
      </c>
      <c r="M954" t="s">
        <v>73</v>
      </c>
      <c r="N954" t="s">
        <v>66</v>
      </c>
      <c r="O954" t="s">
        <v>73</v>
      </c>
      <c r="P954" t="s">
        <v>66</v>
      </c>
      <c r="Q954" t="s">
        <v>4993</v>
      </c>
      <c r="R954" t="s">
        <v>73</v>
      </c>
      <c r="S954" t="s">
        <v>4993</v>
      </c>
      <c r="T954" t="s">
        <v>5131</v>
      </c>
      <c r="U954" t="s">
        <v>5132</v>
      </c>
      <c r="V954" t="s">
        <v>4996</v>
      </c>
      <c r="W954" t="s">
        <v>66</v>
      </c>
      <c r="X954" t="s">
        <v>78</v>
      </c>
      <c r="Y954" t="s">
        <v>5133</v>
      </c>
      <c r="Z954" t="s">
        <v>287</v>
      </c>
      <c r="AA954" t="s">
        <v>4998</v>
      </c>
      <c r="AB954" t="s">
        <v>4998</v>
      </c>
      <c r="AC954" t="s">
        <v>82</v>
      </c>
      <c r="AD954" t="s">
        <v>83</v>
      </c>
      <c r="AE954" t="s">
        <v>66</v>
      </c>
      <c r="AF954" t="s">
        <v>876</v>
      </c>
    </row>
    <row r="955" spans="1:32">
      <c r="A955" t="s">
        <v>5134</v>
      </c>
      <c r="B955" t="s">
        <v>251</v>
      </c>
      <c r="C955" t="s">
        <v>5135</v>
      </c>
      <c r="D955" t="s">
        <v>66</v>
      </c>
      <c r="E955" t="s">
        <v>67</v>
      </c>
      <c r="F955" t="s">
        <v>253</v>
      </c>
      <c r="G955" t="s">
        <v>254</v>
      </c>
      <c r="H955" t="s">
        <v>66</v>
      </c>
      <c r="I955" t="s">
        <v>66</v>
      </c>
      <c r="J955" t="s">
        <v>67</v>
      </c>
      <c r="K955" t="s">
        <v>71</v>
      </c>
      <c r="L955" t="s">
        <v>72</v>
      </c>
      <c r="M955" t="s">
        <v>73</v>
      </c>
      <c r="N955" t="s">
        <v>66</v>
      </c>
      <c r="O955" t="s">
        <v>73</v>
      </c>
      <c r="P955" t="s">
        <v>66</v>
      </c>
      <c r="Q955" t="s">
        <v>4993</v>
      </c>
      <c r="R955" t="s">
        <v>73</v>
      </c>
      <c r="S955" t="s">
        <v>4993</v>
      </c>
      <c r="T955" t="s">
        <v>5136</v>
      </c>
      <c r="U955" t="s">
        <v>5137</v>
      </c>
      <c r="V955" t="s">
        <v>4996</v>
      </c>
      <c r="W955" t="s">
        <v>66</v>
      </c>
      <c r="X955" t="s">
        <v>78</v>
      </c>
      <c r="Y955" t="s">
        <v>5138</v>
      </c>
      <c r="Z955" t="s">
        <v>287</v>
      </c>
      <c r="AA955" t="s">
        <v>4998</v>
      </c>
      <c r="AB955" t="s">
        <v>4998</v>
      </c>
      <c r="AC955" t="s">
        <v>82</v>
      </c>
      <c r="AD955" t="s">
        <v>83</v>
      </c>
      <c r="AE955" t="s">
        <v>66</v>
      </c>
      <c r="AF955" t="s">
        <v>876</v>
      </c>
    </row>
    <row r="956" spans="1:32">
      <c r="A956" t="s">
        <v>5139</v>
      </c>
      <c r="B956" t="s">
        <v>298</v>
      </c>
      <c r="C956" t="s">
        <v>5140</v>
      </c>
      <c r="D956" t="s">
        <v>66</v>
      </c>
      <c r="E956" t="s">
        <v>67</v>
      </c>
      <c r="F956" t="s">
        <v>253</v>
      </c>
      <c r="G956" t="s">
        <v>254</v>
      </c>
      <c r="H956" t="s">
        <v>66</v>
      </c>
      <c r="I956" t="s">
        <v>66</v>
      </c>
      <c r="J956" t="s">
        <v>67</v>
      </c>
      <c r="K956" t="s">
        <v>71</v>
      </c>
      <c r="L956" t="s">
        <v>72</v>
      </c>
      <c r="M956" t="s">
        <v>73</v>
      </c>
      <c r="N956" t="s">
        <v>66</v>
      </c>
      <c r="O956" t="s">
        <v>73</v>
      </c>
      <c r="P956" t="s">
        <v>66</v>
      </c>
      <c r="Q956" t="s">
        <v>4993</v>
      </c>
      <c r="R956" t="s">
        <v>73</v>
      </c>
      <c r="S956" t="s">
        <v>4993</v>
      </c>
      <c r="T956" t="s">
        <v>5141</v>
      </c>
      <c r="U956" t="s">
        <v>5142</v>
      </c>
      <c r="V956" t="s">
        <v>4996</v>
      </c>
      <c r="W956" t="s">
        <v>66</v>
      </c>
      <c r="X956" t="s">
        <v>78</v>
      </c>
      <c r="Y956" t="s">
        <v>5143</v>
      </c>
      <c r="Z956" t="s">
        <v>287</v>
      </c>
      <c r="AA956" t="s">
        <v>4998</v>
      </c>
      <c r="AB956" t="s">
        <v>4998</v>
      </c>
      <c r="AC956" t="s">
        <v>82</v>
      </c>
      <c r="AD956" t="s">
        <v>83</v>
      </c>
      <c r="AE956" t="s">
        <v>66</v>
      </c>
      <c r="AF956" t="s">
        <v>876</v>
      </c>
    </row>
    <row r="957" spans="1:32">
      <c r="A957" t="s">
        <v>5144</v>
      </c>
      <c r="B957" t="s">
        <v>86</v>
      </c>
      <c r="C957" t="s">
        <v>5145</v>
      </c>
      <c r="D957" t="s">
        <v>66</v>
      </c>
      <c r="E957" t="s">
        <v>67</v>
      </c>
      <c r="F957" t="s">
        <v>253</v>
      </c>
      <c r="G957" t="s">
        <v>254</v>
      </c>
      <c r="H957" t="s">
        <v>66</v>
      </c>
      <c r="I957" t="s">
        <v>66</v>
      </c>
      <c r="J957" t="s">
        <v>67</v>
      </c>
      <c r="K957" t="s">
        <v>71</v>
      </c>
      <c r="L957" t="s">
        <v>72</v>
      </c>
      <c r="M957" t="s">
        <v>73</v>
      </c>
      <c r="N957" t="s">
        <v>66</v>
      </c>
      <c r="O957" t="s">
        <v>73</v>
      </c>
      <c r="P957" t="s">
        <v>66</v>
      </c>
      <c r="Q957" t="s">
        <v>4993</v>
      </c>
      <c r="R957" t="s">
        <v>73</v>
      </c>
      <c r="S957" t="s">
        <v>4993</v>
      </c>
      <c r="T957" t="s">
        <v>5146</v>
      </c>
      <c r="U957" t="s">
        <v>5147</v>
      </c>
      <c r="V957" t="s">
        <v>4996</v>
      </c>
      <c r="W957" t="s">
        <v>66</v>
      </c>
      <c r="X957" t="s">
        <v>78</v>
      </c>
      <c r="Y957" t="s">
        <v>5148</v>
      </c>
      <c r="Z957" t="s">
        <v>287</v>
      </c>
      <c r="AA957" t="s">
        <v>4998</v>
      </c>
      <c r="AB957" t="s">
        <v>4998</v>
      </c>
      <c r="AC957" t="s">
        <v>82</v>
      </c>
      <c r="AD957" t="s">
        <v>83</v>
      </c>
      <c r="AE957" t="s">
        <v>66</v>
      </c>
      <c r="AF957" t="s">
        <v>876</v>
      </c>
    </row>
    <row r="958" spans="1:32">
      <c r="A958" t="s">
        <v>397</v>
      </c>
      <c r="B958" t="s">
        <v>98</v>
      </c>
      <c r="C958" t="s">
        <v>398</v>
      </c>
      <c r="D958" t="s">
        <v>66</v>
      </c>
      <c r="E958" t="s">
        <v>67</v>
      </c>
      <c r="F958" t="s">
        <v>4999</v>
      </c>
      <c r="G958" t="s">
        <v>5000</v>
      </c>
      <c r="H958" t="s">
        <v>66</v>
      </c>
      <c r="I958" t="s">
        <v>66</v>
      </c>
      <c r="J958" t="s">
        <v>67</v>
      </c>
      <c r="K958" t="s">
        <v>71</v>
      </c>
      <c r="L958" t="s">
        <v>72</v>
      </c>
      <c r="M958" t="s">
        <v>73</v>
      </c>
      <c r="N958" t="s">
        <v>66</v>
      </c>
      <c r="O958" t="s">
        <v>73</v>
      </c>
      <c r="P958" t="s">
        <v>66</v>
      </c>
      <c r="Q958" t="s">
        <v>4993</v>
      </c>
      <c r="R958" t="s">
        <v>73</v>
      </c>
      <c r="S958" t="s">
        <v>4993</v>
      </c>
      <c r="T958" t="s">
        <v>5149</v>
      </c>
      <c r="U958" t="s">
        <v>5150</v>
      </c>
      <c r="V958" t="s">
        <v>4996</v>
      </c>
      <c r="W958" t="s">
        <v>66</v>
      </c>
      <c r="X958" t="s">
        <v>78</v>
      </c>
      <c r="Y958" t="s">
        <v>5151</v>
      </c>
      <c r="Z958" t="s">
        <v>287</v>
      </c>
      <c r="AA958" t="s">
        <v>4998</v>
      </c>
      <c r="AB958" t="s">
        <v>4998</v>
      </c>
      <c r="AC958" t="s">
        <v>82</v>
      </c>
      <c r="AD958" t="s">
        <v>83</v>
      </c>
      <c r="AE958" t="s">
        <v>66</v>
      </c>
      <c r="AF958" t="s">
        <v>876</v>
      </c>
    </row>
    <row r="959" spans="1:32">
      <c r="A959" t="s">
        <v>442</v>
      </c>
      <c r="B959" t="s">
        <v>98</v>
      </c>
      <c r="C959" t="s">
        <v>443</v>
      </c>
      <c r="D959" t="s">
        <v>66</v>
      </c>
      <c r="E959" t="s">
        <v>67</v>
      </c>
      <c r="F959" t="s">
        <v>4999</v>
      </c>
      <c r="G959" t="s">
        <v>5000</v>
      </c>
      <c r="H959" t="s">
        <v>66</v>
      </c>
      <c r="I959" t="s">
        <v>66</v>
      </c>
      <c r="J959" t="s">
        <v>67</v>
      </c>
      <c r="K959" t="s">
        <v>71</v>
      </c>
      <c r="L959" t="s">
        <v>72</v>
      </c>
      <c r="M959" t="s">
        <v>73</v>
      </c>
      <c r="N959" t="s">
        <v>66</v>
      </c>
      <c r="O959" t="s">
        <v>73</v>
      </c>
      <c r="P959" t="s">
        <v>66</v>
      </c>
      <c r="Q959" t="s">
        <v>4993</v>
      </c>
      <c r="R959" t="s">
        <v>73</v>
      </c>
      <c r="S959" t="s">
        <v>4993</v>
      </c>
      <c r="T959" t="s">
        <v>5152</v>
      </c>
      <c r="U959" t="s">
        <v>5153</v>
      </c>
      <c r="V959" t="s">
        <v>4996</v>
      </c>
      <c r="W959" t="s">
        <v>66</v>
      </c>
      <c r="X959" t="s">
        <v>78</v>
      </c>
      <c r="Y959" t="s">
        <v>5154</v>
      </c>
      <c r="Z959" t="s">
        <v>287</v>
      </c>
      <c r="AA959" t="s">
        <v>4998</v>
      </c>
      <c r="AB959" t="s">
        <v>4998</v>
      </c>
      <c r="AC959" t="s">
        <v>82</v>
      </c>
      <c r="AD959" t="s">
        <v>83</v>
      </c>
      <c r="AE959" t="s">
        <v>66</v>
      </c>
      <c r="AF959" t="s">
        <v>876</v>
      </c>
    </row>
    <row r="960" spans="1:32">
      <c r="A960" t="s">
        <v>487</v>
      </c>
      <c r="B960" t="s">
        <v>98</v>
      </c>
      <c r="C960" t="s">
        <v>488</v>
      </c>
      <c r="D960" t="s">
        <v>66</v>
      </c>
      <c r="E960" t="s">
        <v>67</v>
      </c>
      <c r="F960" t="s">
        <v>4999</v>
      </c>
      <c r="G960" t="s">
        <v>5000</v>
      </c>
      <c r="H960" t="s">
        <v>66</v>
      </c>
      <c r="I960" t="s">
        <v>66</v>
      </c>
      <c r="J960" t="s">
        <v>67</v>
      </c>
      <c r="K960" t="s">
        <v>71</v>
      </c>
      <c r="L960" t="s">
        <v>72</v>
      </c>
      <c r="M960" t="s">
        <v>73</v>
      </c>
      <c r="N960" t="s">
        <v>66</v>
      </c>
      <c r="O960" t="s">
        <v>73</v>
      </c>
      <c r="P960" t="s">
        <v>66</v>
      </c>
      <c r="Q960" t="s">
        <v>4993</v>
      </c>
      <c r="R960" t="s">
        <v>73</v>
      </c>
      <c r="S960" t="s">
        <v>4993</v>
      </c>
      <c r="T960" t="s">
        <v>5155</v>
      </c>
      <c r="U960" t="s">
        <v>5156</v>
      </c>
      <c r="V960" t="s">
        <v>4996</v>
      </c>
      <c r="W960" t="s">
        <v>66</v>
      </c>
      <c r="X960" t="s">
        <v>78</v>
      </c>
      <c r="Y960" t="s">
        <v>5157</v>
      </c>
      <c r="Z960" t="s">
        <v>287</v>
      </c>
      <c r="AA960" t="s">
        <v>4998</v>
      </c>
      <c r="AB960" t="s">
        <v>4998</v>
      </c>
      <c r="AC960" t="s">
        <v>82</v>
      </c>
      <c r="AD960" t="s">
        <v>83</v>
      </c>
      <c r="AE960" t="s">
        <v>66</v>
      </c>
      <c r="AF960" t="s">
        <v>876</v>
      </c>
    </row>
    <row r="961" spans="1:32">
      <c r="A961" t="s">
        <v>5158</v>
      </c>
      <c r="B961" t="s">
        <v>5159</v>
      </c>
      <c r="C961" t="s">
        <v>5160</v>
      </c>
      <c r="D961" t="s">
        <v>66</v>
      </c>
      <c r="E961" t="s">
        <v>67</v>
      </c>
      <c r="F961" t="s">
        <v>253</v>
      </c>
      <c r="G961" t="s">
        <v>254</v>
      </c>
      <c r="H961" t="s">
        <v>66</v>
      </c>
      <c r="I961" t="s">
        <v>66</v>
      </c>
      <c r="J961" t="s">
        <v>67</v>
      </c>
      <c r="K961" t="s">
        <v>71</v>
      </c>
      <c r="L961" t="s">
        <v>72</v>
      </c>
      <c r="M961" t="s">
        <v>73</v>
      </c>
      <c r="N961" t="s">
        <v>66</v>
      </c>
      <c r="O961" t="s">
        <v>73</v>
      </c>
      <c r="P961" t="s">
        <v>66</v>
      </c>
      <c r="Q961" t="s">
        <v>4993</v>
      </c>
      <c r="R961" t="s">
        <v>73</v>
      </c>
      <c r="S961" t="s">
        <v>4993</v>
      </c>
      <c r="T961" t="s">
        <v>5161</v>
      </c>
      <c r="U961" t="s">
        <v>5162</v>
      </c>
      <c r="V961" t="s">
        <v>4996</v>
      </c>
      <c r="W961" t="s">
        <v>66</v>
      </c>
      <c r="X961" t="s">
        <v>78</v>
      </c>
      <c r="Y961" t="s">
        <v>5163</v>
      </c>
      <c r="Z961" t="s">
        <v>287</v>
      </c>
      <c r="AA961" t="s">
        <v>4998</v>
      </c>
      <c r="AB961" t="s">
        <v>4998</v>
      </c>
      <c r="AC961" t="s">
        <v>82</v>
      </c>
      <c r="AD961" t="s">
        <v>83</v>
      </c>
      <c r="AE961" t="s">
        <v>66</v>
      </c>
      <c r="AF961" t="s">
        <v>876</v>
      </c>
    </row>
    <row r="962" spans="1:32">
      <c r="A962" t="s">
        <v>437</v>
      </c>
      <c r="B962" t="s">
        <v>98</v>
      </c>
      <c r="C962" t="s">
        <v>438</v>
      </c>
      <c r="D962" t="s">
        <v>66</v>
      </c>
      <c r="E962" t="s">
        <v>67</v>
      </c>
      <c r="F962" t="s">
        <v>4999</v>
      </c>
      <c r="G962" t="s">
        <v>5000</v>
      </c>
      <c r="H962" t="s">
        <v>66</v>
      </c>
      <c r="I962" t="s">
        <v>66</v>
      </c>
      <c r="J962" t="s">
        <v>67</v>
      </c>
      <c r="K962" t="s">
        <v>71</v>
      </c>
      <c r="L962" t="s">
        <v>72</v>
      </c>
      <c r="M962" t="s">
        <v>73</v>
      </c>
      <c r="N962" t="s">
        <v>66</v>
      </c>
      <c r="O962" t="s">
        <v>73</v>
      </c>
      <c r="P962" t="s">
        <v>66</v>
      </c>
      <c r="Q962" t="s">
        <v>4993</v>
      </c>
      <c r="R962" t="s">
        <v>73</v>
      </c>
      <c r="S962" t="s">
        <v>4993</v>
      </c>
      <c r="T962" t="s">
        <v>5164</v>
      </c>
      <c r="U962" t="s">
        <v>5165</v>
      </c>
      <c r="V962" t="s">
        <v>4996</v>
      </c>
      <c r="W962" t="s">
        <v>66</v>
      </c>
      <c r="X962" t="s">
        <v>78</v>
      </c>
      <c r="Y962" t="s">
        <v>5166</v>
      </c>
      <c r="Z962" t="s">
        <v>287</v>
      </c>
      <c r="AA962" t="s">
        <v>4998</v>
      </c>
      <c r="AB962" t="s">
        <v>4998</v>
      </c>
      <c r="AC962" t="s">
        <v>82</v>
      </c>
      <c r="AD962" t="s">
        <v>83</v>
      </c>
      <c r="AE962" t="s">
        <v>66</v>
      </c>
      <c r="AF962" t="s">
        <v>876</v>
      </c>
    </row>
    <row r="963" spans="1:32">
      <c r="A963" t="s">
        <v>5167</v>
      </c>
      <c r="B963" t="s">
        <v>5106</v>
      </c>
      <c r="C963" t="s">
        <v>5168</v>
      </c>
      <c r="D963" t="s">
        <v>66</v>
      </c>
      <c r="E963" t="s">
        <v>67</v>
      </c>
      <c r="F963" t="s">
        <v>253</v>
      </c>
      <c r="G963" t="s">
        <v>254</v>
      </c>
      <c r="H963" t="s">
        <v>66</v>
      </c>
      <c r="I963" t="s">
        <v>66</v>
      </c>
      <c r="J963" t="s">
        <v>67</v>
      </c>
      <c r="K963" t="s">
        <v>71</v>
      </c>
      <c r="L963" t="s">
        <v>72</v>
      </c>
      <c r="M963" t="s">
        <v>73</v>
      </c>
      <c r="N963" t="s">
        <v>66</v>
      </c>
      <c r="O963" t="s">
        <v>73</v>
      </c>
      <c r="P963" t="s">
        <v>66</v>
      </c>
      <c r="Q963" t="s">
        <v>4993</v>
      </c>
      <c r="R963" t="s">
        <v>73</v>
      </c>
      <c r="S963" t="s">
        <v>4993</v>
      </c>
      <c r="T963" t="s">
        <v>5169</v>
      </c>
      <c r="U963" t="s">
        <v>5170</v>
      </c>
      <c r="V963" t="s">
        <v>4996</v>
      </c>
      <c r="W963" t="s">
        <v>66</v>
      </c>
      <c r="X963" t="s">
        <v>78</v>
      </c>
      <c r="Y963" t="s">
        <v>5171</v>
      </c>
      <c r="Z963" t="s">
        <v>287</v>
      </c>
      <c r="AA963" t="s">
        <v>4998</v>
      </c>
      <c r="AB963" t="s">
        <v>4998</v>
      </c>
      <c r="AC963" t="s">
        <v>82</v>
      </c>
      <c r="AD963" t="s">
        <v>83</v>
      </c>
      <c r="AE963" t="s">
        <v>66</v>
      </c>
      <c r="AF963" t="s">
        <v>876</v>
      </c>
    </row>
    <row r="964" spans="1:32">
      <c r="A964" t="s">
        <v>472</v>
      </c>
      <c r="B964" t="s">
        <v>98</v>
      </c>
      <c r="C964" t="s">
        <v>473</v>
      </c>
      <c r="D964" t="s">
        <v>66</v>
      </c>
      <c r="E964" t="s">
        <v>67</v>
      </c>
      <c r="F964" t="s">
        <v>4999</v>
      </c>
      <c r="G964" t="s">
        <v>5000</v>
      </c>
      <c r="H964" t="s">
        <v>66</v>
      </c>
      <c r="I964" t="s">
        <v>66</v>
      </c>
      <c r="J964" t="s">
        <v>67</v>
      </c>
      <c r="K964" t="s">
        <v>71</v>
      </c>
      <c r="L964" t="s">
        <v>72</v>
      </c>
      <c r="M964" t="s">
        <v>73</v>
      </c>
      <c r="N964" t="s">
        <v>66</v>
      </c>
      <c r="O964" t="s">
        <v>73</v>
      </c>
      <c r="P964" t="s">
        <v>66</v>
      </c>
      <c r="Q964" t="s">
        <v>4993</v>
      </c>
      <c r="R964" t="s">
        <v>73</v>
      </c>
      <c r="S964" t="s">
        <v>4993</v>
      </c>
      <c r="T964" t="s">
        <v>5172</v>
      </c>
      <c r="U964" t="s">
        <v>5173</v>
      </c>
      <c r="V964" t="s">
        <v>4996</v>
      </c>
      <c r="W964" t="s">
        <v>66</v>
      </c>
      <c r="X964" t="s">
        <v>78</v>
      </c>
      <c r="Y964" t="s">
        <v>5174</v>
      </c>
      <c r="Z964" t="s">
        <v>287</v>
      </c>
      <c r="AA964" t="s">
        <v>4998</v>
      </c>
      <c r="AB964" t="s">
        <v>4998</v>
      </c>
      <c r="AC964" t="s">
        <v>82</v>
      </c>
      <c r="AD964" t="s">
        <v>83</v>
      </c>
      <c r="AE964" t="s">
        <v>66</v>
      </c>
      <c r="AF964" t="s">
        <v>876</v>
      </c>
    </row>
    <row r="965" spans="1:32">
      <c r="A965" t="s">
        <v>5175</v>
      </c>
      <c r="B965" t="s">
        <v>5033</v>
      </c>
      <c r="C965" t="s">
        <v>5176</v>
      </c>
      <c r="D965" t="s">
        <v>66</v>
      </c>
      <c r="E965" t="s">
        <v>67</v>
      </c>
      <c r="F965" t="s">
        <v>253</v>
      </c>
      <c r="G965" t="s">
        <v>254</v>
      </c>
      <c r="H965" t="s">
        <v>66</v>
      </c>
      <c r="I965" t="s">
        <v>66</v>
      </c>
      <c r="J965" t="s">
        <v>67</v>
      </c>
      <c r="K965" t="s">
        <v>71</v>
      </c>
      <c r="L965" t="s">
        <v>72</v>
      </c>
      <c r="M965" t="s">
        <v>73</v>
      </c>
      <c r="N965" t="s">
        <v>66</v>
      </c>
      <c r="O965" t="s">
        <v>73</v>
      </c>
      <c r="P965" t="s">
        <v>66</v>
      </c>
      <c r="Q965" t="s">
        <v>4993</v>
      </c>
      <c r="R965" t="s">
        <v>73</v>
      </c>
      <c r="S965" t="s">
        <v>4993</v>
      </c>
      <c r="T965" t="s">
        <v>5177</v>
      </c>
      <c r="U965" t="s">
        <v>5178</v>
      </c>
      <c r="V965" t="s">
        <v>4996</v>
      </c>
      <c r="W965" t="s">
        <v>66</v>
      </c>
      <c r="X965" t="s">
        <v>78</v>
      </c>
      <c r="Y965" t="s">
        <v>5179</v>
      </c>
      <c r="Z965" t="s">
        <v>287</v>
      </c>
      <c r="AA965" t="s">
        <v>4998</v>
      </c>
      <c r="AB965" t="s">
        <v>4998</v>
      </c>
      <c r="AC965" t="s">
        <v>82</v>
      </c>
      <c r="AD965" t="s">
        <v>83</v>
      </c>
      <c r="AE965" t="s">
        <v>66</v>
      </c>
      <c r="AF965" t="s">
        <v>876</v>
      </c>
    </row>
    <row r="966" spans="1:32">
      <c r="A966" t="s">
        <v>5180</v>
      </c>
      <c r="B966" t="s">
        <v>5115</v>
      </c>
      <c r="C966" t="s">
        <v>5181</v>
      </c>
      <c r="D966" t="s">
        <v>66</v>
      </c>
      <c r="E966" t="s">
        <v>67</v>
      </c>
      <c r="F966" t="s">
        <v>253</v>
      </c>
      <c r="G966" t="s">
        <v>254</v>
      </c>
      <c r="H966" t="s">
        <v>66</v>
      </c>
      <c r="I966" t="s">
        <v>66</v>
      </c>
      <c r="J966" t="s">
        <v>67</v>
      </c>
      <c r="K966" t="s">
        <v>71</v>
      </c>
      <c r="L966" t="s">
        <v>72</v>
      </c>
      <c r="M966" t="s">
        <v>73</v>
      </c>
      <c r="N966" t="s">
        <v>66</v>
      </c>
      <c r="O966" t="s">
        <v>73</v>
      </c>
      <c r="P966" t="s">
        <v>66</v>
      </c>
      <c r="Q966" t="s">
        <v>4993</v>
      </c>
      <c r="R966" t="s">
        <v>73</v>
      </c>
      <c r="S966" t="s">
        <v>4993</v>
      </c>
      <c r="T966" t="s">
        <v>5182</v>
      </c>
      <c r="U966" t="s">
        <v>5183</v>
      </c>
      <c r="V966" t="s">
        <v>4996</v>
      </c>
      <c r="W966" t="s">
        <v>66</v>
      </c>
      <c r="X966" t="s">
        <v>78</v>
      </c>
      <c r="Y966" t="s">
        <v>5184</v>
      </c>
      <c r="Z966" t="s">
        <v>287</v>
      </c>
      <c r="AA966" t="s">
        <v>4998</v>
      </c>
      <c r="AB966" t="s">
        <v>4998</v>
      </c>
      <c r="AC966" t="s">
        <v>82</v>
      </c>
      <c r="AD966" t="s">
        <v>83</v>
      </c>
      <c r="AE966" t="s">
        <v>66</v>
      </c>
      <c r="AF966" t="s">
        <v>876</v>
      </c>
    </row>
    <row r="967" spans="1:32">
      <c r="A967" t="s">
        <v>5185</v>
      </c>
      <c r="B967" t="s">
        <v>251</v>
      </c>
      <c r="C967" t="s">
        <v>5186</v>
      </c>
      <c r="D967" t="s">
        <v>66</v>
      </c>
      <c r="E967" t="s">
        <v>67</v>
      </c>
      <c r="F967" t="s">
        <v>253</v>
      </c>
      <c r="G967" t="s">
        <v>254</v>
      </c>
      <c r="H967" t="s">
        <v>66</v>
      </c>
      <c r="I967" t="s">
        <v>66</v>
      </c>
      <c r="J967" t="s">
        <v>67</v>
      </c>
      <c r="K967" t="s">
        <v>71</v>
      </c>
      <c r="L967" t="s">
        <v>72</v>
      </c>
      <c r="M967" t="s">
        <v>73</v>
      </c>
      <c r="N967" t="s">
        <v>66</v>
      </c>
      <c r="O967" t="s">
        <v>73</v>
      </c>
      <c r="P967" t="s">
        <v>66</v>
      </c>
      <c r="Q967" t="s">
        <v>4993</v>
      </c>
      <c r="R967" t="s">
        <v>73</v>
      </c>
      <c r="S967" t="s">
        <v>4993</v>
      </c>
      <c r="T967" t="s">
        <v>5187</v>
      </c>
      <c r="U967" t="s">
        <v>5188</v>
      </c>
      <c r="V967" t="s">
        <v>4996</v>
      </c>
      <c r="W967" t="s">
        <v>66</v>
      </c>
      <c r="X967" t="s">
        <v>78</v>
      </c>
      <c r="Y967" t="s">
        <v>5189</v>
      </c>
      <c r="Z967" t="s">
        <v>287</v>
      </c>
      <c r="AA967" t="s">
        <v>4998</v>
      </c>
      <c r="AB967" t="s">
        <v>4998</v>
      </c>
      <c r="AC967" t="s">
        <v>82</v>
      </c>
      <c r="AD967" t="s">
        <v>83</v>
      </c>
      <c r="AE967" t="s">
        <v>66</v>
      </c>
      <c r="AF967" t="s">
        <v>876</v>
      </c>
    </row>
    <row r="968" spans="1:32">
      <c r="A968" t="s">
        <v>5190</v>
      </c>
      <c r="B968" t="s">
        <v>251</v>
      </c>
      <c r="C968" t="s">
        <v>5191</v>
      </c>
      <c r="D968" t="s">
        <v>66</v>
      </c>
      <c r="E968" t="s">
        <v>67</v>
      </c>
      <c r="F968" t="s">
        <v>253</v>
      </c>
      <c r="G968" t="s">
        <v>254</v>
      </c>
      <c r="H968" t="s">
        <v>66</v>
      </c>
      <c r="I968" t="s">
        <v>66</v>
      </c>
      <c r="J968" t="s">
        <v>67</v>
      </c>
      <c r="K968" t="s">
        <v>71</v>
      </c>
      <c r="L968" t="s">
        <v>72</v>
      </c>
      <c r="M968" t="s">
        <v>73</v>
      </c>
      <c r="N968" t="s">
        <v>66</v>
      </c>
      <c r="O968" t="s">
        <v>73</v>
      </c>
      <c r="P968" t="s">
        <v>66</v>
      </c>
      <c r="Q968" t="s">
        <v>4993</v>
      </c>
      <c r="R968" t="s">
        <v>73</v>
      </c>
      <c r="S968" t="s">
        <v>4993</v>
      </c>
      <c r="T968" t="s">
        <v>5192</v>
      </c>
      <c r="U968" t="s">
        <v>5193</v>
      </c>
      <c r="V968" t="s">
        <v>4996</v>
      </c>
      <c r="W968" t="s">
        <v>66</v>
      </c>
      <c r="X968" t="s">
        <v>78</v>
      </c>
      <c r="Y968" t="s">
        <v>5194</v>
      </c>
      <c r="Z968" t="s">
        <v>287</v>
      </c>
      <c r="AA968" t="s">
        <v>4998</v>
      </c>
      <c r="AB968" t="s">
        <v>4998</v>
      </c>
      <c r="AC968" t="s">
        <v>82</v>
      </c>
      <c r="AD968" t="s">
        <v>83</v>
      </c>
      <c r="AE968" t="s">
        <v>66</v>
      </c>
      <c r="AF968" t="s">
        <v>876</v>
      </c>
    </row>
    <row r="969" spans="1:32">
      <c r="A969" t="s">
        <v>5195</v>
      </c>
      <c r="B969" t="s">
        <v>5196</v>
      </c>
      <c r="C969" t="s">
        <v>5197</v>
      </c>
      <c r="D969" t="s">
        <v>66</v>
      </c>
      <c r="E969" t="s">
        <v>67</v>
      </c>
      <c r="F969" t="s">
        <v>253</v>
      </c>
      <c r="G969" t="s">
        <v>254</v>
      </c>
      <c r="H969" t="s">
        <v>66</v>
      </c>
      <c r="I969" t="s">
        <v>66</v>
      </c>
      <c r="J969" t="s">
        <v>67</v>
      </c>
      <c r="K969" t="s">
        <v>71</v>
      </c>
      <c r="L969" t="s">
        <v>72</v>
      </c>
      <c r="M969" t="s">
        <v>73</v>
      </c>
      <c r="N969" t="s">
        <v>66</v>
      </c>
      <c r="O969" t="s">
        <v>73</v>
      </c>
      <c r="P969" t="s">
        <v>66</v>
      </c>
      <c r="Q969" t="s">
        <v>4993</v>
      </c>
      <c r="R969" t="s">
        <v>73</v>
      </c>
      <c r="S969" t="s">
        <v>4993</v>
      </c>
      <c r="T969" t="s">
        <v>5198</v>
      </c>
      <c r="U969" t="s">
        <v>5199</v>
      </c>
      <c r="V969" t="s">
        <v>4996</v>
      </c>
      <c r="W969" t="s">
        <v>66</v>
      </c>
      <c r="X969" t="s">
        <v>78</v>
      </c>
      <c r="Y969" t="s">
        <v>5200</v>
      </c>
      <c r="Z969" t="s">
        <v>287</v>
      </c>
      <c r="AA969" t="s">
        <v>4998</v>
      </c>
      <c r="AB969" t="s">
        <v>4998</v>
      </c>
      <c r="AC969" t="s">
        <v>82</v>
      </c>
      <c r="AD969" t="s">
        <v>83</v>
      </c>
      <c r="AE969" t="s">
        <v>66</v>
      </c>
      <c r="AF969" t="s">
        <v>876</v>
      </c>
    </row>
    <row r="970" spans="1:32">
      <c r="A970" t="s">
        <v>5201</v>
      </c>
      <c r="B970" t="s">
        <v>251</v>
      </c>
      <c r="C970" t="s">
        <v>5202</v>
      </c>
      <c r="D970" t="s">
        <v>66</v>
      </c>
      <c r="E970" t="s">
        <v>67</v>
      </c>
      <c r="F970" t="s">
        <v>253</v>
      </c>
      <c r="G970" t="s">
        <v>254</v>
      </c>
      <c r="H970" t="s">
        <v>66</v>
      </c>
      <c r="I970" t="s">
        <v>66</v>
      </c>
      <c r="J970" t="s">
        <v>67</v>
      </c>
      <c r="K970" t="s">
        <v>71</v>
      </c>
      <c r="L970" t="s">
        <v>72</v>
      </c>
      <c r="M970" t="s">
        <v>73</v>
      </c>
      <c r="N970" t="s">
        <v>66</v>
      </c>
      <c r="O970" t="s">
        <v>73</v>
      </c>
      <c r="P970" t="s">
        <v>66</v>
      </c>
      <c r="Q970" t="s">
        <v>4993</v>
      </c>
      <c r="R970" t="s">
        <v>73</v>
      </c>
      <c r="S970" t="s">
        <v>4993</v>
      </c>
      <c r="T970" t="s">
        <v>5203</v>
      </c>
      <c r="U970" t="s">
        <v>5204</v>
      </c>
      <c r="V970" t="s">
        <v>4996</v>
      </c>
      <c r="W970" t="s">
        <v>66</v>
      </c>
      <c r="X970" t="s">
        <v>78</v>
      </c>
      <c r="Y970" t="s">
        <v>5205</v>
      </c>
      <c r="Z970" t="s">
        <v>287</v>
      </c>
      <c r="AA970" t="s">
        <v>4998</v>
      </c>
      <c r="AB970" t="s">
        <v>4998</v>
      </c>
      <c r="AC970" t="s">
        <v>82</v>
      </c>
      <c r="AD970" t="s">
        <v>83</v>
      </c>
      <c r="AE970" t="s">
        <v>66</v>
      </c>
      <c r="AF970" t="s">
        <v>876</v>
      </c>
    </row>
    <row r="971" spans="1:32">
      <c r="A971" t="s">
        <v>5206</v>
      </c>
      <c r="B971" t="s">
        <v>86</v>
      </c>
      <c r="C971" t="s">
        <v>5207</v>
      </c>
      <c r="D971" t="s">
        <v>66</v>
      </c>
      <c r="E971" t="s">
        <v>67</v>
      </c>
      <c r="F971" t="s">
        <v>253</v>
      </c>
      <c r="G971" t="s">
        <v>254</v>
      </c>
      <c r="H971" t="s">
        <v>66</v>
      </c>
      <c r="I971" t="s">
        <v>66</v>
      </c>
      <c r="J971" t="s">
        <v>67</v>
      </c>
      <c r="K971" t="s">
        <v>71</v>
      </c>
      <c r="L971" t="s">
        <v>72</v>
      </c>
      <c r="M971" t="s">
        <v>73</v>
      </c>
      <c r="N971" t="s">
        <v>66</v>
      </c>
      <c r="O971" t="s">
        <v>73</v>
      </c>
      <c r="P971" t="s">
        <v>66</v>
      </c>
      <c r="Q971" t="s">
        <v>4993</v>
      </c>
      <c r="R971" t="s">
        <v>73</v>
      </c>
      <c r="S971" t="s">
        <v>4993</v>
      </c>
      <c r="T971" t="s">
        <v>5208</v>
      </c>
      <c r="U971" t="s">
        <v>5209</v>
      </c>
      <c r="V971" t="s">
        <v>4996</v>
      </c>
      <c r="W971" t="s">
        <v>66</v>
      </c>
      <c r="X971" t="s">
        <v>78</v>
      </c>
      <c r="Y971" t="s">
        <v>5210</v>
      </c>
      <c r="Z971" t="s">
        <v>287</v>
      </c>
      <c r="AA971" t="s">
        <v>4998</v>
      </c>
      <c r="AB971" t="s">
        <v>4998</v>
      </c>
      <c r="AC971" t="s">
        <v>82</v>
      </c>
      <c r="AD971" t="s">
        <v>83</v>
      </c>
      <c r="AE971" t="s">
        <v>66</v>
      </c>
      <c r="AF971" t="s">
        <v>876</v>
      </c>
    </row>
    <row r="972" spans="1:32">
      <c r="A972" t="s">
        <v>387</v>
      </c>
      <c r="B972" t="s">
        <v>98</v>
      </c>
      <c r="C972" t="s">
        <v>388</v>
      </c>
      <c r="D972" t="s">
        <v>66</v>
      </c>
      <c r="E972" t="s">
        <v>67</v>
      </c>
      <c r="F972" t="s">
        <v>4999</v>
      </c>
      <c r="G972" t="s">
        <v>5000</v>
      </c>
      <c r="H972" t="s">
        <v>66</v>
      </c>
      <c r="I972" t="s">
        <v>66</v>
      </c>
      <c r="J972" t="s">
        <v>67</v>
      </c>
      <c r="K972" t="s">
        <v>71</v>
      </c>
      <c r="L972" t="s">
        <v>72</v>
      </c>
      <c r="M972" t="s">
        <v>73</v>
      </c>
      <c r="N972" t="s">
        <v>66</v>
      </c>
      <c r="O972" t="s">
        <v>73</v>
      </c>
      <c r="P972" t="s">
        <v>66</v>
      </c>
      <c r="Q972" t="s">
        <v>4993</v>
      </c>
      <c r="R972" t="s">
        <v>73</v>
      </c>
      <c r="S972" t="s">
        <v>4993</v>
      </c>
      <c r="T972" t="s">
        <v>5211</v>
      </c>
      <c r="U972" t="s">
        <v>5212</v>
      </c>
      <c r="V972" t="s">
        <v>4996</v>
      </c>
      <c r="W972" t="s">
        <v>66</v>
      </c>
      <c r="X972" t="s">
        <v>78</v>
      </c>
      <c r="Y972" t="s">
        <v>5213</v>
      </c>
      <c r="Z972" t="s">
        <v>287</v>
      </c>
      <c r="AA972" t="s">
        <v>4998</v>
      </c>
      <c r="AB972" t="s">
        <v>4998</v>
      </c>
      <c r="AC972" t="s">
        <v>82</v>
      </c>
      <c r="AD972" t="s">
        <v>83</v>
      </c>
      <c r="AE972" t="s">
        <v>66</v>
      </c>
      <c r="AF972" t="s">
        <v>876</v>
      </c>
    </row>
    <row r="973" spans="1:32">
      <c r="A973" t="s">
        <v>5214</v>
      </c>
      <c r="B973" t="s">
        <v>5215</v>
      </c>
      <c r="C973" t="s">
        <v>5216</v>
      </c>
      <c r="D973" t="s">
        <v>66</v>
      </c>
      <c r="E973" t="s">
        <v>67</v>
      </c>
      <c r="F973" t="s">
        <v>253</v>
      </c>
      <c r="G973" t="s">
        <v>254</v>
      </c>
      <c r="H973" t="s">
        <v>66</v>
      </c>
      <c r="I973" t="s">
        <v>66</v>
      </c>
      <c r="J973" t="s">
        <v>67</v>
      </c>
      <c r="K973" t="s">
        <v>71</v>
      </c>
      <c r="L973" t="s">
        <v>72</v>
      </c>
      <c r="M973" t="s">
        <v>73</v>
      </c>
      <c r="N973" t="s">
        <v>66</v>
      </c>
      <c r="O973" t="s">
        <v>73</v>
      </c>
      <c r="P973" t="s">
        <v>66</v>
      </c>
      <c r="Q973" t="s">
        <v>4993</v>
      </c>
      <c r="R973" t="s">
        <v>73</v>
      </c>
      <c r="S973" t="s">
        <v>4993</v>
      </c>
      <c r="T973" t="s">
        <v>5217</v>
      </c>
      <c r="U973" t="s">
        <v>5218</v>
      </c>
      <c r="V973" t="s">
        <v>4996</v>
      </c>
      <c r="W973" t="s">
        <v>66</v>
      </c>
      <c r="X973" t="s">
        <v>78</v>
      </c>
      <c r="Y973" t="s">
        <v>5219</v>
      </c>
      <c r="Z973" t="s">
        <v>287</v>
      </c>
      <c r="AA973" t="s">
        <v>4998</v>
      </c>
      <c r="AB973" t="s">
        <v>4998</v>
      </c>
      <c r="AC973" t="s">
        <v>82</v>
      </c>
      <c r="AD973" t="s">
        <v>83</v>
      </c>
      <c r="AE973" t="s">
        <v>66</v>
      </c>
      <c r="AF973" t="s">
        <v>876</v>
      </c>
    </row>
    <row r="974" spans="1:32">
      <c r="A974" t="s">
        <v>5220</v>
      </c>
      <c r="B974" t="s">
        <v>251</v>
      </c>
      <c r="C974" t="s">
        <v>5221</v>
      </c>
      <c r="D974" t="s">
        <v>66</v>
      </c>
      <c r="E974" t="s">
        <v>67</v>
      </c>
      <c r="F974" t="s">
        <v>253</v>
      </c>
      <c r="G974" t="s">
        <v>254</v>
      </c>
      <c r="H974" t="s">
        <v>66</v>
      </c>
      <c r="I974" t="s">
        <v>66</v>
      </c>
      <c r="J974" t="s">
        <v>67</v>
      </c>
      <c r="K974" t="s">
        <v>71</v>
      </c>
      <c r="L974" t="s">
        <v>72</v>
      </c>
      <c r="M974" t="s">
        <v>73</v>
      </c>
      <c r="N974" t="s">
        <v>66</v>
      </c>
      <c r="O974" t="s">
        <v>73</v>
      </c>
      <c r="P974" t="s">
        <v>66</v>
      </c>
      <c r="Q974" t="s">
        <v>4993</v>
      </c>
      <c r="R974" t="s">
        <v>73</v>
      </c>
      <c r="S974" t="s">
        <v>4993</v>
      </c>
      <c r="T974" t="s">
        <v>5222</v>
      </c>
      <c r="U974" t="s">
        <v>5223</v>
      </c>
      <c r="V974" t="s">
        <v>4996</v>
      </c>
      <c r="W974" t="s">
        <v>66</v>
      </c>
      <c r="X974" t="s">
        <v>78</v>
      </c>
      <c r="Y974" t="s">
        <v>5224</v>
      </c>
      <c r="Z974" t="s">
        <v>287</v>
      </c>
      <c r="AA974" t="s">
        <v>4998</v>
      </c>
      <c r="AB974" t="s">
        <v>4998</v>
      </c>
      <c r="AC974" t="s">
        <v>82</v>
      </c>
      <c r="AD974" t="s">
        <v>83</v>
      </c>
      <c r="AE974" t="s">
        <v>66</v>
      </c>
      <c r="AF974" t="s">
        <v>876</v>
      </c>
    </row>
    <row r="975" spans="1:32">
      <c r="A975" t="s">
        <v>5225</v>
      </c>
      <c r="B975" t="s">
        <v>251</v>
      </c>
      <c r="C975" t="s">
        <v>5226</v>
      </c>
      <c r="D975" t="s">
        <v>66</v>
      </c>
      <c r="E975" t="s">
        <v>67</v>
      </c>
      <c r="F975" t="s">
        <v>253</v>
      </c>
      <c r="G975" t="s">
        <v>254</v>
      </c>
      <c r="H975" t="s">
        <v>66</v>
      </c>
      <c r="I975" t="s">
        <v>66</v>
      </c>
      <c r="J975" t="s">
        <v>67</v>
      </c>
      <c r="K975" t="s">
        <v>71</v>
      </c>
      <c r="L975" t="s">
        <v>72</v>
      </c>
      <c r="M975" t="s">
        <v>73</v>
      </c>
      <c r="N975" t="s">
        <v>66</v>
      </c>
      <c r="O975" t="s">
        <v>73</v>
      </c>
      <c r="P975" t="s">
        <v>66</v>
      </c>
      <c r="Q975" t="s">
        <v>4993</v>
      </c>
      <c r="R975" t="s">
        <v>73</v>
      </c>
      <c r="S975" t="s">
        <v>4993</v>
      </c>
      <c r="T975" t="s">
        <v>5227</v>
      </c>
      <c r="U975" t="s">
        <v>5228</v>
      </c>
      <c r="V975" t="s">
        <v>4996</v>
      </c>
      <c r="W975" t="s">
        <v>66</v>
      </c>
      <c r="X975" t="s">
        <v>78</v>
      </c>
      <c r="Y975" t="s">
        <v>5229</v>
      </c>
      <c r="Z975" t="s">
        <v>287</v>
      </c>
      <c r="AA975" t="s">
        <v>4998</v>
      </c>
      <c r="AB975" t="s">
        <v>4998</v>
      </c>
      <c r="AC975" t="s">
        <v>82</v>
      </c>
      <c r="AD975" t="s">
        <v>83</v>
      </c>
      <c r="AE975" t="s">
        <v>66</v>
      </c>
      <c r="AF975" t="s">
        <v>876</v>
      </c>
    </row>
    <row r="976" spans="1:32">
      <c r="A976" t="s">
        <v>402</v>
      </c>
      <c r="B976" t="s">
        <v>98</v>
      </c>
      <c r="C976" t="s">
        <v>403</v>
      </c>
      <c r="D976" t="s">
        <v>66</v>
      </c>
      <c r="E976" t="s">
        <v>67</v>
      </c>
      <c r="F976" t="s">
        <v>4999</v>
      </c>
      <c r="G976" t="s">
        <v>5000</v>
      </c>
      <c r="H976" t="s">
        <v>66</v>
      </c>
      <c r="I976" t="s">
        <v>66</v>
      </c>
      <c r="J976" t="s">
        <v>67</v>
      </c>
      <c r="K976" t="s">
        <v>71</v>
      </c>
      <c r="L976" t="s">
        <v>72</v>
      </c>
      <c r="M976" t="s">
        <v>73</v>
      </c>
      <c r="N976" t="s">
        <v>66</v>
      </c>
      <c r="O976" t="s">
        <v>73</v>
      </c>
      <c r="P976" t="s">
        <v>66</v>
      </c>
      <c r="Q976" t="s">
        <v>4993</v>
      </c>
      <c r="R976" t="s">
        <v>73</v>
      </c>
      <c r="S976" t="s">
        <v>4993</v>
      </c>
      <c r="T976" t="s">
        <v>5230</v>
      </c>
      <c r="U976" t="s">
        <v>5231</v>
      </c>
      <c r="V976" t="s">
        <v>4996</v>
      </c>
      <c r="W976" t="s">
        <v>66</v>
      </c>
      <c r="X976" t="s">
        <v>78</v>
      </c>
      <c r="Y976" t="s">
        <v>5232</v>
      </c>
      <c r="Z976" t="s">
        <v>287</v>
      </c>
      <c r="AA976" t="s">
        <v>4998</v>
      </c>
      <c r="AB976" t="s">
        <v>4998</v>
      </c>
      <c r="AC976" t="s">
        <v>82</v>
      </c>
      <c r="AD976" t="s">
        <v>83</v>
      </c>
      <c r="AE976" t="s">
        <v>66</v>
      </c>
      <c r="AF976" t="s">
        <v>876</v>
      </c>
    </row>
    <row r="977" spans="1:32">
      <c r="A977" t="s">
        <v>5233</v>
      </c>
      <c r="B977" t="s">
        <v>5234</v>
      </c>
      <c r="C977" t="s">
        <v>5235</v>
      </c>
      <c r="D977" t="s">
        <v>66</v>
      </c>
      <c r="E977" t="s">
        <v>67</v>
      </c>
      <c r="F977" t="s">
        <v>253</v>
      </c>
      <c r="G977" t="s">
        <v>254</v>
      </c>
      <c r="H977" t="s">
        <v>66</v>
      </c>
      <c r="I977" t="s">
        <v>66</v>
      </c>
      <c r="J977" t="s">
        <v>67</v>
      </c>
      <c r="K977" t="s">
        <v>71</v>
      </c>
      <c r="L977" t="s">
        <v>72</v>
      </c>
      <c r="M977" t="s">
        <v>73</v>
      </c>
      <c r="N977" t="s">
        <v>66</v>
      </c>
      <c r="O977" t="s">
        <v>73</v>
      </c>
      <c r="P977" t="s">
        <v>66</v>
      </c>
      <c r="Q977" t="s">
        <v>4993</v>
      </c>
      <c r="R977" t="s">
        <v>73</v>
      </c>
      <c r="S977" t="s">
        <v>4993</v>
      </c>
      <c r="T977" t="s">
        <v>5236</v>
      </c>
      <c r="U977" t="s">
        <v>5237</v>
      </c>
      <c r="V977" t="s">
        <v>4996</v>
      </c>
      <c r="W977" t="s">
        <v>66</v>
      </c>
      <c r="X977" t="s">
        <v>78</v>
      </c>
      <c r="Y977" t="s">
        <v>5238</v>
      </c>
      <c r="Z977" t="s">
        <v>287</v>
      </c>
      <c r="AA977" t="s">
        <v>4998</v>
      </c>
      <c r="AB977" t="s">
        <v>4998</v>
      </c>
      <c r="AC977" t="s">
        <v>82</v>
      </c>
      <c r="AD977" t="s">
        <v>83</v>
      </c>
      <c r="AE977" t="s">
        <v>66</v>
      </c>
      <c r="AF977" t="s">
        <v>876</v>
      </c>
    </row>
    <row r="978" spans="1:32">
      <c r="A978" t="s">
        <v>447</v>
      </c>
      <c r="B978" t="s">
        <v>98</v>
      </c>
      <c r="C978" t="s">
        <v>448</v>
      </c>
      <c r="D978" t="s">
        <v>66</v>
      </c>
      <c r="E978" t="s">
        <v>67</v>
      </c>
      <c r="F978" t="s">
        <v>4999</v>
      </c>
      <c r="G978" t="s">
        <v>5000</v>
      </c>
      <c r="H978" t="s">
        <v>66</v>
      </c>
      <c r="I978" t="s">
        <v>66</v>
      </c>
      <c r="J978" t="s">
        <v>67</v>
      </c>
      <c r="K978" t="s">
        <v>71</v>
      </c>
      <c r="L978" t="s">
        <v>72</v>
      </c>
      <c r="M978" t="s">
        <v>73</v>
      </c>
      <c r="N978" t="s">
        <v>66</v>
      </c>
      <c r="O978" t="s">
        <v>73</v>
      </c>
      <c r="P978" t="s">
        <v>66</v>
      </c>
      <c r="Q978" t="s">
        <v>4993</v>
      </c>
      <c r="R978" t="s">
        <v>73</v>
      </c>
      <c r="S978" t="s">
        <v>4993</v>
      </c>
      <c r="T978" t="s">
        <v>5239</v>
      </c>
      <c r="U978" t="s">
        <v>5240</v>
      </c>
      <c r="V978" t="s">
        <v>4996</v>
      </c>
      <c r="W978" t="s">
        <v>66</v>
      </c>
      <c r="X978" t="s">
        <v>78</v>
      </c>
      <c r="Y978" t="s">
        <v>5241</v>
      </c>
      <c r="Z978" t="s">
        <v>287</v>
      </c>
      <c r="AA978" t="s">
        <v>4998</v>
      </c>
      <c r="AB978" t="s">
        <v>4998</v>
      </c>
      <c r="AC978" t="s">
        <v>82</v>
      </c>
      <c r="AD978" t="s">
        <v>83</v>
      </c>
      <c r="AE978" t="s">
        <v>66</v>
      </c>
      <c r="AF978" t="s">
        <v>876</v>
      </c>
    </row>
    <row r="979" spans="1:32">
      <c r="A979" t="s">
        <v>5242</v>
      </c>
      <c r="B979" t="s">
        <v>86</v>
      </c>
      <c r="C979" t="s">
        <v>5243</v>
      </c>
      <c r="D979" t="s">
        <v>66</v>
      </c>
      <c r="E979" t="s">
        <v>67</v>
      </c>
      <c r="F979" t="s">
        <v>88</v>
      </c>
      <c r="G979" t="s">
        <v>89</v>
      </c>
      <c r="H979" t="s">
        <v>66</v>
      </c>
      <c r="I979" t="s">
        <v>66</v>
      </c>
      <c r="J979" t="s">
        <v>67</v>
      </c>
      <c r="K979" t="s">
        <v>71</v>
      </c>
      <c r="L979" t="s">
        <v>72</v>
      </c>
      <c r="M979" t="s">
        <v>73</v>
      </c>
      <c r="N979" t="s">
        <v>66</v>
      </c>
      <c r="O979" t="s">
        <v>73</v>
      </c>
      <c r="P979" t="s">
        <v>66</v>
      </c>
      <c r="Q979" t="s">
        <v>4993</v>
      </c>
      <c r="R979" t="s">
        <v>73</v>
      </c>
      <c r="S979" t="s">
        <v>4993</v>
      </c>
      <c r="T979" t="s">
        <v>5244</v>
      </c>
      <c r="U979" t="s">
        <v>5245</v>
      </c>
      <c r="V979" t="s">
        <v>4996</v>
      </c>
      <c r="W979" t="s">
        <v>66</v>
      </c>
      <c r="X979" t="s">
        <v>78</v>
      </c>
      <c r="Y979" t="s">
        <v>5246</v>
      </c>
      <c r="Z979" t="s">
        <v>287</v>
      </c>
      <c r="AA979" t="s">
        <v>4998</v>
      </c>
      <c r="AB979" t="s">
        <v>4998</v>
      </c>
      <c r="AC979" t="s">
        <v>82</v>
      </c>
      <c r="AD979" t="s">
        <v>83</v>
      </c>
      <c r="AE979" t="s">
        <v>66</v>
      </c>
      <c r="AF979" t="s">
        <v>876</v>
      </c>
    </row>
    <row r="980" spans="1:32">
      <c r="A980" t="s">
        <v>5247</v>
      </c>
      <c r="B980" t="s">
        <v>86</v>
      </c>
      <c r="C980" t="s">
        <v>5248</v>
      </c>
      <c r="D980" t="s">
        <v>66</v>
      </c>
      <c r="E980" t="s">
        <v>67</v>
      </c>
      <c r="F980" t="s">
        <v>253</v>
      </c>
      <c r="G980" t="s">
        <v>254</v>
      </c>
      <c r="H980" t="s">
        <v>66</v>
      </c>
      <c r="I980" t="s">
        <v>66</v>
      </c>
      <c r="J980" t="s">
        <v>67</v>
      </c>
      <c r="K980" t="s">
        <v>71</v>
      </c>
      <c r="L980" t="s">
        <v>72</v>
      </c>
      <c r="M980" t="s">
        <v>73</v>
      </c>
      <c r="N980" t="s">
        <v>66</v>
      </c>
      <c r="O980" t="s">
        <v>73</v>
      </c>
      <c r="P980" t="s">
        <v>66</v>
      </c>
      <c r="Q980" t="s">
        <v>4993</v>
      </c>
      <c r="R980" t="s">
        <v>73</v>
      </c>
      <c r="S980" t="s">
        <v>4993</v>
      </c>
      <c r="T980" t="s">
        <v>5249</v>
      </c>
      <c r="U980" t="s">
        <v>5250</v>
      </c>
      <c r="V980" t="s">
        <v>4996</v>
      </c>
      <c r="W980" t="s">
        <v>66</v>
      </c>
      <c r="X980" t="s">
        <v>78</v>
      </c>
      <c r="Y980" t="s">
        <v>5251</v>
      </c>
      <c r="Z980" t="s">
        <v>287</v>
      </c>
      <c r="AA980" t="s">
        <v>4998</v>
      </c>
      <c r="AB980" t="s">
        <v>4998</v>
      </c>
      <c r="AC980" t="s">
        <v>82</v>
      </c>
      <c r="AD980" t="s">
        <v>83</v>
      </c>
      <c r="AE980" t="s">
        <v>66</v>
      </c>
      <c r="AF980" t="s">
        <v>876</v>
      </c>
    </row>
    <row r="981" spans="1:32">
      <c r="A981" t="s">
        <v>5252</v>
      </c>
      <c r="B981" t="s">
        <v>5253</v>
      </c>
      <c r="C981" t="s">
        <v>5254</v>
      </c>
      <c r="D981" t="s">
        <v>66</v>
      </c>
      <c r="E981" t="s">
        <v>67</v>
      </c>
      <c r="F981" t="s">
        <v>253</v>
      </c>
      <c r="G981" t="s">
        <v>254</v>
      </c>
      <c r="H981" t="s">
        <v>66</v>
      </c>
      <c r="I981" t="s">
        <v>66</v>
      </c>
      <c r="J981" t="s">
        <v>67</v>
      </c>
      <c r="K981" t="s">
        <v>71</v>
      </c>
      <c r="L981" t="s">
        <v>72</v>
      </c>
      <c r="M981" t="s">
        <v>73</v>
      </c>
      <c r="N981" t="s">
        <v>66</v>
      </c>
      <c r="O981" t="s">
        <v>73</v>
      </c>
      <c r="P981" t="s">
        <v>66</v>
      </c>
      <c r="Q981" t="s">
        <v>4993</v>
      </c>
      <c r="R981" t="s">
        <v>73</v>
      </c>
      <c r="S981" t="s">
        <v>4993</v>
      </c>
      <c r="T981" t="s">
        <v>5255</v>
      </c>
      <c r="U981" t="s">
        <v>5256</v>
      </c>
      <c r="V981" t="s">
        <v>4996</v>
      </c>
      <c r="W981" t="s">
        <v>66</v>
      </c>
      <c r="X981" t="s">
        <v>78</v>
      </c>
      <c r="Y981" t="s">
        <v>5257</v>
      </c>
      <c r="Z981" t="s">
        <v>287</v>
      </c>
      <c r="AA981" t="s">
        <v>4998</v>
      </c>
      <c r="AB981" t="s">
        <v>4998</v>
      </c>
      <c r="AC981" t="s">
        <v>82</v>
      </c>
      <c r="AD981" t="s">
        <v>83</v>
      </c>
      <c r="AE981" t="s">
        <v>66</v>
      </c>
      <c r="AF981" t="s">
        <v>876</v>
      </c>
    </row>
    <row r="982" spans="1:32">
      <c r="A982" t="s">
        <v>5258</v>
      </c>
      <c r="B982" t="s">
        <v>251</v>
      </c>
      <c r="C982" t="s">
        <v>5259</v>
      </c>
      <c r="D982" t="s">
        <v>66</v>
      </c>
      <c r="E982" t="s">
        <v>67</v>
      </c>
      <c r="F982" t="s">
        <v>253</v>
      </c>
      <c r="G982" t="s">
        <v>254</v>
      </c>
      <c r="H982" t="s">
        <v>66</v>
      </c>
      <c r="I982" t="s">
        <v>66</v>
      </c>
      <c r="J982" t="s">
        <v>67</v>
      </c>
      <c r="K982" t="s">
        <v>71</v>
      </c>
      <c r="L982" t="s">
        <v>72</v>
      </c>
      <c r="M982" t="s">
        <v>73</v>
      </c>
      <c r="N982" t="s">
        <v>66</v>
      </c>
      <c r="O982" t="s">
        <v>73</v>
      </c>
      <c r="P982" t="s">
        <v>66</v>
      </c>
      <c r="Q982" t="s">
        <v>4993</v>
      </c>
      <c r="R982" t="s">
        <v>73</v>
      </c>
      <c r="S982" t="s">
        <v>4993</v>
      </c>
      <c r="T982" t="s">
        <v>5260</v>
      </c>
      <c r="U982" t="s">
        <v>5261</v>
      </c>
      <c r="V982" t="s">
        <v>4996</v>
      </c>
      <c r="W982" t="s">
        <v>66</v>
      </c>
      <c r="X982" t="s">
        <v>78</v>
      </c>
      <c r="Y982" t="s">
        <v>5262</v>
      </c>
      <c r="Z982" t="s">
        <v>287</v>
      </c>
      <c r="AA982" t="s">
        <v>4998</v>
      </c>
      <c r="AB982" t="s">
        <v>4998</v>
      </c>
      <c r="AC982" t="s">
        <v>82</v>
      </c>
      <c r="AD982" t="s">
        <v>83</v>
      </c>
      <c r="AE982" t="s">
        <v>66</v>
      </c>
      <c r="AF982" t="s">
        <v>876</v>
      </c>
    </row>
    <row r="983" spans="1:32">
      <c r="A983" t="s">
        <v>5263</v>
      </c>
      <c r="B983" t="s">
        <v>5264</v>
      </c>
      <c r="C983" t="s">
        <v>5264</v>
      </c>
      <c r="D983" t="s">
        <v>66</v>
      </c>
      <c r="E983" t="s">
        <v>5061</v>
      </c>
      <c r="F983" t="s">
        <v>253</v>
      </c>
      <c r="G983" t="s">
        <v>254</v>
      </c>
      <c r="H983" t="s">
        <v>66</v>
      </c>
      <c r="I983" t="s">
        <v>66</v>
      </c>
      <c r="J983" t="s">
        <v>67</v>
      </c>
      <c r="K983" t="s">
        <v>71</v>
      </c>
      <c r="L983" t="s">
        <v>72</v>
      </c>
      <c r="M983" t="s">
        <v>73</v>
      </c>
      <c r="N983" t="s">
        <v>66</v>
      </c>
      <c r="O983" t="s">
        <v>73</v>
      </c>
      <c r="P983" t="s">
        <v>66</v>
      </c>
      <c r="Q983" t="s">
        <v>4993</v>
      </c>
      <c r="R983" t="s">
        <v>73</v>
      </c>
      <c r="S983" t="s">
        <v>4993</v>
      </c>
      <c r="T983" t="s">
        <v>5265</v>
      </c>
      <c r="U983" t="s">
        <v>5266</v>
      </c>
      <c r="V983" t="s">
        <v>4996</v>
      </c>
      <c r="W983" t="s">
        <v>66</v>
      </c>
      <c r="X983" t="s">
        <v>78</v>
      </c>
      <c r="Y983" t="s">
        <v>5267</v>
      </c>
      <c r="Z983" t="s">
        <v>287</v>
      </c>
      <c r="AA983" t="s">
        <v>4998</v>
      </c>
      <c r="AB983" t="s">
        <v>4998</v>
      </c>
      <c r="AC983" t="s">
        <v>82</v>
      </c>
      <c r="AD983" t="s">
        <v>83</v>
      </c>
      <c r="AE983" t="s">
        <v>66</v>
      </c>
      <c r="AF983" t="s">
        <v>876</v>
      </c>
    </row>
    <row r="984" spans="1:32">
      <c r="A984" t="s">
        <v>5268</v>
      </c>
      <c r="B984" t="s">
        <v>5269</v>
      </c>
      <c r="C984" t="s">
        <v>5270</v>
      </c>
      <c r="D984" t="s">
        <v>66</v>
      </c>
      <c r="E984" t="s">
        <v>67</v>
      </c>
      <c r="F984" t="s">
        <v>253</v>
      </c>
      <c r="G984" t="s">
        <v>254</v>
      </c>
      <c r="H984" t="s">
        <v>66</v>
      </c>
      <c r="I984" t="s">
        <v>66</v>
      </c>
      <c r="J984" t="s">
        <v>67</v>
      </c>
      <c r="K984" t="s">
        <v>71</v>
      </c>
      <c r="L984" t="s">
        <v>72</v>
      </c>
      <c r="M984" t="s">
        <v>73</v>
      </c>
      <c r="N984" t="s">
        <v>66</v>
      </c>
      <c r="O984" t="s">
        <v>73</v>
      </c>
      <c r="P984" t="s">
        <v>66</v>
      </c>
      <c r="Q984" t="s">
        <v>4993</v>
      </c>
      <c r="R984" t="s">
        <v>73</v>
      </c>
      <c r="S984" t="s">
        <v>4993</v>
      </c>
      <c r="T984" t="s">
        <v>5271</v>
      </c>
      <c r="U984" t="s">
        <v>5272</v>
      </c>
      <c r="V984" t="s">
        <v>4996</v>
      </c>
      <c r="W984" t="s">
        <v>66</v>
      </c>
      <c r="X984" t="s">
        <v>78</v>
      </c>
      <c r="Y984" t="s">
        <v>5273</v>
      </c>
      <c r="Z984" t="s">
        <v>287</v>
      </c>
      <c r="AA984" t="s">
        <v>4998</v>
      </c>
      <c r="AB984" t="s">
        <v>4998</v>
      </c>
      <c r="AC984" t="s">
        <v>82</v>
      </c>
      <c r="AD984" t="s">
        <v>83</v>
      </c>
      <c r="AE984" t="s">
        <v>66</v>
      </c>
      <c r="AF984" t="s">
        <v>876</v>
      </c>
    </row>
    <row r="985" spans="1:32">
      <c r="A985" t="s">
        <v>5274</v>
      </c>
      <c r="B985" t="s">
        <v>5033</v>
      </c>
      <c r="C985" t="s">
        <v>5275</v>
      </c>
      <c r="D985" t="s">
        <v>66</v>
      </c>
      <c r="E985" t="s">
        <v>67</v>
      </c>
      <c r="F985" t="s">
        <v>253</v>
      </c>
      <c r="G985" t="s">
        <v>254</v>
      </c>
      <c r="H985" t="s">
        <v>66</v>
      </c>
      <c r="I985" t="s">
        <v>66</v>
      </c>
      <c r="J985" t="s">
        <v>67</v>
      </c>
      <c r="K985" t="s">
        <v>71</v>
      </c>
      <c r="L985" t="s">
        <v>72</v>
      </c>
      <c r="M985" t="s">
        <v>73</v>
      </c>
      <c r="N985" t="s">
        <v>66</v>
      </c>
      <c r="O985" t="s">
        <v>73</v>
      </c>
      <c r="P985" t="s">
        <v>66</v>
      </c>
      <c r="Q985" t="s">
        <v>4993</v>
      </c>
      <c r="R985" t="s">
        <v>73</v>
      </c>
      <c r="S985" t="s">
        <v>4993</v>
      </c>
      <c r="T985" t="s">
        <v>5276</v>
      </c>
      <c r="U985" t="s">
        <v>5277</v>
      </c>
      <c r="V985" t="s">
        <v>4996</v>
      </c>
      <c r="W985" t="s">
        <v>66</v>
      </c>
      <c r="X985" t="s">
        <v>78</v>
      </c>
      <c r="Y985" t="s">
        <v>5278</v>
      </c>
      <c r="Z985" t="s">
        <v>287</v>
      </c>
      <c r="AA985" t="s">
        <v>4998</v>
      </c>
      <c r="AB985" t="s">
        <v>4998</v>
      </c>
      <c r="AC985" t="s">
        <v>82</v>
      </c>
      <c r="AD985" t="s">
        <v>83</v>
      </c>
      <c r="AE985" t="s">
        <v>66</v>
      </c>
      <c r="AF985" t="s">
        <v>876</v>
      </c>
    </row>
    <row r="986" spans="1:32">
      <c r="A986" t="s">
        <v>5279</v>
      </c>
      <c r="B986" t="s">
        <v>86</v>
      </c>
      <c r="C986" t="s">
        <v>5280</v>
      </c>
      <c r="D986" t="s">
        <v>66</v>
      </c>
      <c r="E986" t="s">
        <v>67</v>
      </c>
      <c r="F986" t="s">
        <v>253</v>
      </c>
      <c r="G986" t="s">
        <v>254</v>
      </c>
      <c r="H986" t="s">
        <v>66</v>
      </c>
      <c r="I986" t="s">
        <v>66</v>
      </c>
      <c r="J986" t="s">
        <v>67</v>
      </c>
      <c r="K986" t="s">
        <v>71</v>
      </c>
      <c r="L986" t="s">
        <v>72</v>
      </c>
      <c r="M986" t="s">
        <v>73</v>
      </c>
      <c r="N986" t="s">
        <v>66</v>
      </c>
      <c r="O986" t="s">
        <v>73</v>
      </c>
      <c r="P986" t="s">
        <v>66</v>
      </c>
      <c r="Q986" t="s">
        <v>4993</v>
      </c>
      <c r="R986" t="s">
        <v>73</v>
      </c>
      <c r="S986" t="s">
        <v>4993</v>
      </c>
      <c r="T986" t="s">
        <v>5281</v>
      </c>
      <c r="U986" t="s">
        <v>5282</v>
      </c>
      <c r="V986" t="s">
        <v>4996</v>
      </c>
      <c r="W986" t="s">
        <v>66</v>
      </c>
      <c r="X986" t="s">
        <v>78</v>
      </c>
      <c r="Y986" t="s">
        <v>5283</v>
      </c>
      <c r="Z986" t="s">
        <v>287</v>
      </c>
      <c r="AA986" t="s">
        <v>4998</v>
      </c>
      <c r="AB986" t="s">
        <v>4998</v>
      </c>
      <c r="AC986" t="s">
        <v>82</v>
      </c>
      <c r="AD986" t="s">
        <v>83</v>
      </c>
      <c r="AE986" t="s">
        <v>66</v>
      </c>
      <c r="AF986" t="s">
        <v>876</v>
      </c>
    </row>
    <row r="987" spans="1:32">
      <c r="A987" t="s">
        <v>5284</v>
      </c>
      <c r="B987" t="s">
        <v>5285</v>
      </c>
      <c r="C987" t="s">
        <v>5286</v>
      </c>
      <c r="D987" t="s">
        <v>66</v>
      </c>
      <c r="E987" t="s">
        <v>67</v>
      </c>
      <c r="F987" t="s">
        <v>253</v>
      </c>
      <c r="G987" t="s">
        <v>254</v>
      </c>
      <c r="H987" t="s">
        <v>66</v>
      </c>
      <c r="I987" t="s">
        <v>66</v>
      </c>
      <c r="J987" t="s">
        <v>67</v>
      </c>
      <c r="K987" t="s">
        <v>71</v>
      </c>
      <c r="L987" t="s">
        <v>72</v>
      </c>
      <c r="M987" t="s">
        <v>73</v>
      </c>
      <c r="N987" t="s">
        <v>66</v>
      </c>
      <c r="O987" t="s">
        <v>73</v>
      </c>
      <c r="P987" t="s">
        <v>66</v>
      </c>
      <c r="Q987" t="s">
        <v>4993</v>
      </c>
      <c r="R987" t="s">
        <v>73</v>
      </c>
      <c r="S987" t="s">
        <v>4993</v>
      </c>
      <c r="T987" t="s">
        <v>5287</v>
      </c>
      <c r="U987" t="s">
        <v>5288</v>
      </c>
      <c r="V987" t="s">
        <v>4996</v>
      </c>
      <c r="W987" t="s">
        <v>66</v>
      </c>
      <c r="X987" t="s">
        <v>78</v>
      </c>
      <c r="Y987" t="s">
        <v>5289</v>
      </c>
      <c r="Z987" t="s">
        <v>287</v>
      </c>
      <c r="AA987" t="s">
        <v>4998</v>
      </c>
      <c r="AB987" t="s">
        <v>4998</v>
      </c>
      <c r="AC987" t="s">
        <v>82</v>
      </c>
      <c r="AD987" t="s">
        <v>83</v>
      </c>
      <c r="AE987" t="s">
        <v>66</v>
      </c>
      <c r="AF987" t="s">
        <v>876</v>
      </c>
    </row>
    <row r="988" spans="1:32">
      <c r="A988" t="s">
        <v>5290</v>
      </c>
      <c r="B988" t="s">
        <v>5033</v>
      </c>
      <c r="C988" t="s">
        <v>5291</v>
      </c>
      <c r="D988" t="s">
        <v>66</v>
      </c>
      <c r="E988" t="s">
        <v>67</v>
      </c>
      <c r="F988" t="s">
        <v>253</v>
      </c>
      <c r="G988" t="s">
        <v>254</v>
      </c>
      <c r="H988" t="s">
        <v>66</v>
      </c>
      <c r="I988" t="s">
        <v>66</v>
      </c>
      <c r="J988" t="s">
        <v>67</v>
      </c>
      <c r="K988" t="s">
        <v>71</v>
      </c>
      <c r="L988" t="s">
        <v>72</v>
      </c>
      <c r="M988" t="s">
        <v>73</v>
      </c>
      <c r="N988" t="s">
        <v>66</v>
      </c>
      <c r="O988" t="s">
        <v>73</v>
      </c>
      <c r="P988" t="s">
        <v>66</v>
      </c>
      <c r="Q988" t="s">
        <v>4993</v>
      </c>
      <c r="R988" t="s">
        <v>73</v>
      </c>
      <c r="S988" t="s">
        <v>4993</v>
      </c>
      <c r="T988" t="s">
        <v>5292</v>
      </c>
      <c r="U988" t="s">
        <v>5293</v>
      </c>
      <c r="V988" t="s">
        <v>4996</v>
      </c>
      <c r="W988" t="s">
        <v>66</v>
      </c>
      <c r="X988" t="s">
        <v>78</v>
      </c>
      <c r="Y988" t="s">
        <v>5294</v>
      </c>
      <c r="Z988" t="s">
        <v>287</v>
      </c>
      <c r="AA988" t="s">
        <v>4998</v>
      </c>
      <c r="AB988" t="s">
        <v>4998</v>
      </c>
      <c r="AC988" t="s">
        <v>82</v>
      </c>
      <c r="AD988" t="s">
        <v>83</v>
      </c>
      <c r="AE988" t="s">
        <v>66</v>
      </c>
      <c r="AF988" t="s">
        <v>876</v>
      </c>
    </row>
    <row r="989" spans="1:32">
      <c r="A989" t="s">
        <v>5295</v>
      </c>
      <c r="B989" t="s">
        <v>86</v>
      </c>
      <c r="C989" t="s">
        <v>5296</v>
      </c>
      <c r="D989" t="s">
        <v>66</v>
      </c>
      <c r="E989" t="s">
        <v>67</v>
      </c>
      <c r="F989" t="s">
        <v>253</v>
      </c>
      <c r="G989" t="s">
        <v>254</v>
      </c>
      <c r="H989" t="s">
        <v>66</v>
      </c>
      <c r="I989" t="s">
        <v>66</v>
      </c>
      <c r="J989" t="s">
        <v>67</v>
      </c>
      <c r="K989" t="s">
        <v>71</v>
      </c>
      <c r="L989" t="s">
        <v>72</v>
      </c>
      <c r="M989" t="s">
        <v>73</v>
      </c>
      <c r="N989" t="s">
        <v>66</v>
      </c>
      <c r="O989" t="s">
        <v>73</v>
      </c>
      <c r="P989" t="s">
        <v>66</v>
      </c>
      <c r="Q989" t="s">
        <v>4993</v>
      </c>
      <c r="R989" t="s">
        <v>73</v>
      </c>
      <c r="S989" t="s">
        <v>4993</v>
      </c>
      <c r="T989" t="s">
        <v>5297</v>
      </c>
      <c r="U989" t="s">
        <v>5298</v>
      </c>
      <c r="V989" t="s">
        <v>4996</v>
      </c>
      <c r="W989" t="s">
        <v>66</v>
      </c>
      <c r="X989" t="s">
        <v>78</v>
      </c>
      <c r="Y989" t="s">
        <v>5299</v>
      </c>
      <c r="Z989" t="s">
        <v>287</v>
      </c>
      <c r="AA989" t="s">
        <v>4998</v>
      </c>
      <c r="AB989" t="s">
        <v>4998</v>
      </c>
      <c r="AC989" t="s">
        <v>82</v>
      </c>
      <c r="AD989" t="s">
        <v>83</v>
      </c>
      <c r="AE989" t="s">
        <v>66</v>
      </c>
      <c r="AF989" t="s">
        <v>876</v>
      </c>
    </row>
    <row r="990" spans="1:32">
      <c r="A990" t="s">
        <v>5300</v>
      </c>
      <c r="B990" t="s">
        <v>251</v>
      </c>
      <c r="C990" t="s">
        <v>5301</v>
      </c>
      <c r="D990" t="s">
        <v>66</v>
      </c>
      <c r="E990" t="s">
        <v>67</v>
      </c>
      <c r="F990" t="s">
        <v>253</v>
      </c>
      <c r="G990" t="s">
        <v>254</v>
      </c>
      <c r="H990" t="s">
        <v>66</v>
      </c>
      <c r="I990" t="s">
        <v>66</v>
      </c>
      <c r="J990" t="s">
        <v>67</v>
      </c>
      <c r="K990" t="s">
        <v>71</v>
      </c>
      <c r="L990" t="s">
        <v>72</v>
      </c>
      <c r="M990" t="s">
        <v>73</v>
      </c>
      <c r="N990" t="s">
        <v>66</v>
      </c>
      <c r="O990" t="s">
        <v>73</v>
      </c>
      <c r="P990" t="s">
        <v>66</v>
      </c>
      <c r="Q990" t="s">
        <v>4993</v>
      </c>
      <c r="R990" t="s">
        <v>73</v>
      </c>
      <c r="S990" t="s">
        <v>4993</v>
      </c>
      <c r="T990" t="s">
        <v>5302</v>
      </c>
      <c r="U990" t="s">
        <v>5303</v>
      </c>
      <c r="V990" t="s">
        <v>4996</v>
      </c>
      <c r="W990" t="s">
        <v>66</v>
      </c>
      <c r="X990" t="s">
        <v>78</v>
      </c>
      <c r="Y990" t="s">
        <v>5304</v>
      </c>
      <c r="Z990" t="s">
        <v>287</v>
      </c>
      <c r="AA990" t="s">
        <v>4998</v>
      </c>
      <c r="AB990" t="s">
        <v>4998</v>
      </c>
      <c r="AC990" t="s">
        <v>82</v>
      </c>
      <c r="AD990" t="s">
        <v>83</v>
      </c>
      <c r="AE990" t="s">
        <v>66</v>
      </c>
      <c r="AF990" t="s">
        <v>876</v>
      </c>
    </row>
    <row r="991" spans="1:32">
      <c r="A991" t="s">
        <v>5305</v>
      </c>
      <c r="B991" t="s">
        <v>5285</v>
      </c>
      <c r="C991" t="s">
        <v>5306</v>
      </c>
      <c r="D991" t="s">
        <v>66</v>
      </c>
      <c r="E991" t="s">
        <v>67</v>
      </c>
      <c r="F991" t="s">
        <v>88</v>
      </c>
      <c r="G991" t="s">
        <v>89</v>
      </c>
      <c r="H991" t="s">
        <v>66</v>
      </c>
      <c r="I991" t="s">
        <v>66</v>
      </c>
      <c r="J991" t="s">
        <v>67</v>
      </c>
      <c r="K991" t="s">
        <v>71</v>
      </c>
      <c r="L991" t="s">
        <v>72</v>
      </c>
      <c r="M991" t="s">
        <v>73</v>
      </c>
      <c r="N991" t="s">
        <v>66</v>
      </c>
      <c r="O991" t="s">
        <v>73</v>
      </c>
      <c r="P991" t="s">
        <v>66</v>
      </c>
      <c r="Q991" t="s">
        <v>4993</v>
      </c>
      <c r="R991" t="s">
        <v>73</v>
      </c>
      <c r="S991" t="s">
        <v>4993</v>
      </c>
      <c r="T991" t="s">
        <v>5307</v>
      </c>
      <c r="U991" t="s">
        <v>5308</v>
      </c>
      <c r="V991" t="s">
        <v>4996</v>
      </c>
      <c r="W991" t="s">
        <v>66</v>
      </c>
      <c r="X991" t="s">
        <v>78</v>
      </c>
      <c r="Y991" t="s">
        <v>5309</v>
      </c>
      <c r="Z991" t="s">
        <v>287</v>
      </c>
      <c r="AA991" t="s">
        <v>4998</v>
      </c>
      <c r="AB991" t="s">
        <v>4998</v>
      </c>
      <c r="AC991" t="s">
        <v>82</v>
      </c>
      <c r="AD991" t="s">
        <v>83</v>
      </c>
      <c r="AE991" t="s">
        <v>66</v>
      </c>
      <c r="AF991" t="s">
        <v>876</v>
      </c>
    </row>
    <row r="992" spans="1:32">
      <c r="A992" t="s">
        <v>5310</v>
      </c>
      <c r="B992" t="s">
        <v>5311</v>
      </c>
      <c r="C992" t="s">
        <v>5312</v>
      </c>
      <c r="D992" t="s">
        <v>66</v>
      </c>
      <c r="E992" t="s">
        <v>67</v>
      </c>
      <c r="F992" t="s">
        <v>253</v>
      </c>
      <c r="G992" t="s">
        <v>254</v>
      </c>
      <c r="H992" t="s">
        <v>66</v>
      </c>
      <c r="I992" t="s">
        <v>66</v>
      </c>
      <c r="J992" t="s">
        <v>67</v>
      </c>
      <c r="K992" t="s">
        <v>71</v>
      </c>
      <c r="L992" t="s">
        <v>72</v>
      </c>
      <c r="M992" t="s">
        <v>73</v>
      </c>
      <c r="N992" t="s">
        <v>66</v>
      </c>
      <c r="O992" t="s">
        <v>73</v>
      </c>
      <c r="P992" t="s">
        <v>66</v>
      </c>
      <c r="Q992" t="s">
        <v>4993</v>
      </c>
      <c r="R992" t="s">
        <v>73</v>
      </c>
      <c r="S992" t="s">
        <v>4993</v>
      </c>
      <c r="T992" t="s">
        <v>5313</v>
      </c>
      <c r="U992" t="s">
        <v>5314</v>
      </c>
      <c r="V992" t="s">
        <v>4996</v>
      </c>
      <c r="W992" t="s">
        <v>66</v>
      </c>
      <c r="X992" t="s">
        <v>78</v>
      </c>
      <c r="Y992" t="s">
        <v>5315</v>
      </c>
      <c r="Z992" t="s">
        <v>287</v>
      </c>
      <c r="AA992" t="s">
        <v>4998</v>
      </c>
      <c r="AB992" t="s">
        <v>4998</v>
      </c>
      <c r="AC992" t="s">
        <v>82</v>
      </c>
      <c r="AD992" t="s">
        <v>83</v>
      </c>
      <c r="AE992" t="s">
        <v>66</v>
      </c>
      <c r="AF992" t="s">
        <v>876</v>
      </c>
    </row>
    <row r="993" spans="1:32">
      <c r="A993" t="s">
        <v>477</v>
      </c>
      <c r="B993" t="s">
        <v>98</v>
      </c>
      <c r="C993" t="s">
        <v>478</v>
      </c>
      <c r="D993" t="s">
        <v>66</v>
      </c>
      <c r="E993" t="s">
        <v>67</v>
      </c>
      <c r="F993" t="s">
        <v>4999</v>
      </c>
      <c r="G993" t="s">
        <v>5000</v>
      </c>
      <c r="H993" t="s">
        <v>66</v>
      </c>
      <c r="I993" t="s">
        <v>66</v>
      </c>
      <c r="J993" t="s">
        <v>67</v>
      </c>
      <c r="K993" t="s">
        <v>71</v>
      </c>
      <c r="L993" t="s">
        <v>72</v>
      </c>
      <c r="M993" t="s">
        <v>73</v>
      </c>
      <c r="N993" t="s">
        <v>66</v>
      </c>
      <c r="O993" t="s">
        <v>73</v>
      </c>
      <c r="P993" t="s">
        <v>66</v>
      </c>
      <c r="Q993" t="s">
        <v>4993</v>
      </c>
      <c r="R993" t="s">
        <v>73</v>
      </c>
      <c r="S993" t="s">
        <v>4993</v>
      </c>
      <c r="T993" t="s">
        <v>5316</v>
      </c>
      <c r="U993" t="s">
        <v>5317</v>
      </c>
      <c r="V993" t="s">
        <v>4996</v>
      </c>
      <c r="W993" t="s">
        <v>66</v>
      </c>
      <c r="X993" t="s">
        <v>78</v>
      </c>
      <c r="Y993" t="s">
        <v>5318</v>
      </c>
      <c r="Z993" t="s">
        <v>287</v>
      </c>
      <c r="AA993" t="s">
        <v>4998</v>
      </c>
      <c r="AB993" t="s">
        <v>4998</v>
      </c>
      <c r="AC993" t="s">
        <v>82</v>
      </c>
      <c r="AD993" t="s">
        <v>83</v>
      </c>
      <c r="AE993" t="s">
        <v>66</v>
      </c>
      <c r="AF993" t="s">
        <v>876</v>
      </c>
    </row>
    <row r="994" spans="1:32">
      <c r="A994" t="s">
        <v>5319</v>
      </c>
      <c r="B994" t="s">
        <v>5320</v>
      </c>
      <c r="C994" t="s">
        <v>5321</v>
      </c>
      <c r="D994" t="s">
        <v>66</v>
      </c>
      <c r="E994" t="s">
        <v>67</v>
      </c>
      <c r="F994" t="s">
        <v>253</v>
      </c>
      <c r="G994" t="s">
        <v>254</v>
      </c>
      <c r="H994" t="s">
        <v>66</v>
      </c>
      <c r="I994" t="s">
        <v>66</v>
      </c>
      <c r="J994" t="s">
        <v>67</v>
      </c>
      <c r="K994" t="s">
        <v>71</v>
      </c>
      <c r="L994" t="s">
        <v>72</v>
      </c>
      <c r="M994" t="s">
        <v>73</v>
      </c>
      <c r="N994" t="s">
        <v>66</v>
      </c>
      <c r="O994" t="s">
        <v>73</v>
      </c>
      <c r="P994" t="s">
        <v>66</v>
      </c>
      <c r="Q994" t="s">
        <v>4993</v>
      </c>
      <c r="R994" t="s">
        <v>73</v>
      </c>
      <c r="S994" t="s">
        <v>4993</v>
      </c>
      <c r="T994" t="s">
        <v>5322</v>
      </c>
      <c r="U994" t="s">
        <v>5323</v>
      </c>
      <c r="V994" t="s">
        <v>4996</v>
      </c>
      <c r="W994" t="s">
        <v>66</v>
      </c>
      <c r="X994" t="s">
        <v>78</v>
      </c>
      <c r="Y994" t="s">
        <v>5324</v>
      </c>
      <c r="Z994" t="s">
        <v>287</v>
      </c>
      <c r="AA994" t="s">
        <v>4998</v>
      </c>
      <c r="AB994" t="s">
        <v>4998</v>
      </c>
      <c r="AC994" t="s">
        <v>82</v>
      </c>
      <c r="AD994" t="s">
        <v>83</v>
      </c>
      <c r="AE994" t="s">
        <v>66</v>
      </c>
      <c r="AF994" t="s">
        <v>876</v>
      </c>
    </row>
    <row r="995" spans="1:32">
      <c r="A995" t="s">
        <v>432</v>
      </c>
      <c r="B995" t="s">
        <v>98</v>
      </c>
      <c r="C995" t="s">
        <v>433</v>
      </c>
      <c r="D995" t="s">
        <v>66</v>
      </c>
      <c r="E995" t="s">
        <v>67</v>
      </c>
      <c r="F995" t="s">
        <v>4999</v>
      </c>
      <c r="G995" t="s">
        <v>5000</v>
      </c>
      <c r="H995" t="s">
        <v>66</v>
      </c>
      <c r="I995" t="s">
        <v>66</v>
      </c>
      <c r="J995" t="s">
        <v>67</v>
      </c>
      <c r="K995" t="s">
        <v>71</v>
      </c>
      <c r="L995" t="s">
        <v>72</v>
      </c>
      <c r="M995" t="s">
        <v>73</v>
      </c>
      <c r="N995" t="s">
        <v>66</v>
      </c>
      <c r="O995" t="s">
        <v>73</v>
      </c>
      <c r="P995" t="s">
        <v>66</v>
      </c>
      <c r="Q995" t="s">
        <v>4993</v>
      </c>
      <c r="R995" t="s">
        <v>73</v>
      </c>
      <c r="S995" t="s">
        <v>4993</v>
      </c>
      <c r="T995" t="s">
        <v>5325</v>
      </c>
      <c r="U995" t="s">
        <v>5326</v>
      </c>
      <c r="V995" t="s">
        <v>4996</v>
      </c>
      <c r="W995" t="s">
        <v>66</v>
      </c>
      <c r="X995" t="s">
        <v>78</v>
      </c>
      <c r="Y995" t="s">
        <v>5327</v>
      </c>
      <c r="Z995" t="s">
        <v>287</v>
      </c>
      <c r="AA995" t="s">
        <v>4998</v>
      </c>
      <c r="AB995" t="s">
        <v>4998</v>
      </c>
      <c r="AC995" t="s">
        <v>82</v>
      </c>
      <c r="AD995" t="s">
        <v>83</v>
      </c>
      <c r="AE995" t="s">
        <v>66</v>
      </c>
      <c r="AF995" t="s">
        <v>876</v>
      </c>
    </row>
    <row r="996" spans="1:32">
      <c r="A996" t="s">
        <v>5328</v>
      </c>
      <c r="B996" t="s">
        <v>86</v>
      </c>
      <c r="C996" t="s">
        <v>5329</v>
      </c>
      <c r="D996" t="s">
        <v>66</v>
      </c>
      <c r="E996" t="s">
        <v>67</v>
      </c>
      <c r="F996" t="s">
        <v>253</v>
      </c>
      <c r="G996" t="s">
        <v>254</v>
      </c>
      <c r="H996" t="s">
        <v>66</v>
      </c>
      <c r="I996" t="s">
        <v>66</v>
      </c>
      <c r="J996" t="s">
        <v>67</v>
      </c>
      <c r="K996" t="s">
        <v>71</v>
      </c>
      <c r="L996" t="s">
        <v>72</v>
      </c>
      <c r="M996" t="s">
        <v>73</v>
      </c>
      <c r="N996" t="s">
        <v>66</v>
      </c>
      <c r="O996" t="s">
        <v>73</v>
      </c>
      <c r="P996" t="s">
        <v>66</v>
      </c>
      <c r="Q996" t="s">
        <v>4993</v>
      </c>
      <c r="R996" t="s">
        <v>73</v>
      </c>
      <c r="S996" t="s">
        <v>4993</v>
      </c>
      <c r="T996" t="s">
        <v>5330</v>
      </c>
      <c r="U996" t="s">
        <v>5331</v>
      </c>
      <c r="V996" t="s">
        <v>4996</v>
      </c>
      <c r="W996" t="s">
        <v>66</v>
      </c>
      <c r="X996" t="s">
        <v>78</v>
      </c>
      <c r="Y996" t="s">
        <v>5332</v>
      </c>
      <c r="Z996" t="s">
        <v>287</v>
      </c>
      <c r="AA996" t="s">
        <v>4998</v>
      </c>
      <c r="AB996" t="s">
        <v>4998</v>
      </c>
      <c r="AC996" t="s">
        <v>82</v>
      </c>
      <c r="AD996" t="s">
        <v>83</v>
      </c>
      <c r="AE996" t="s">
        <v>66</v>
      </c>
      <c r="AF996" t="s">
        <v>876</v>
      </c>
    </row>
    <row r="997" spans="1:32">
      <c r="A997" t="s">
        <v>5333</v>
      </c>
      <c r="B997" t="s">
        <v>5334</v>
      </c>
      <c r="C997" t="s">
        <v>5335</v>
      </c>
      <c r="D997" t="s">
        <v>66</v>
      </c>
      <c r="E997" t="s">
        <v>67</v>
      </c>
      <c r="F997" t="s">
        <v>88</v>
      </c>
      <c r="G997" t="s">
        <v>89</v>
      </c>
      <c r="H997" t="s">
        <v>66</v>
      </c>
      <c r="I997" t="s">
        <v>66</v>
      </c>
      <c r="J997" t="s">
        <v>67</v>
      </c>
      <c r="K997" t="s">
        <v>71</v>
      </c>
      <c r="L997" t="s">
        <v>72</v>
      </c>
      <c r="M997" t="s">
        <v>73</v>
      </c>
      <c r="N997" t="s">
        <v>66</v>
      </c>
      <c r="O997" t="s">
        <v>73</v>
      </c>
      <c r="P997" t="s">
        <v>66</v>
      </c>
      <c r="Q997" t="s">
        <v>4993</v>
      </c>
      <c r="R997" t="s">
        <v>73</v>
      </c>
      <c r="S997" t="s">
        <v>4993</v>
      </c>
      <c r="T997" t="s">
        <v>5336</v>
      </c>
      <c r="U997" t="s">
        <v>5337</v>
      </c>
      <c r="V997" t="s">
        <v>4996</v>
      </c>
      <c r="W997" t="s">
        <v>66</v>
      </c>
      <c r="X997" t="s">
        <v>78</v>
      </c>
      <c r="Y997" t="s">
        <v>5338</v>
      </c>
      <c r="Z997" t="s">
        <v>287</v>
      </c>
      <c r="AA997" t="s">
        <v>4998</v>
      </c>
      <c r="AB997" t="s">
        <v>4998</v>
      </c>
      <c r="AC997" t="s">
        <v>82</v>
      </c>
      <c r="AD997" t="s">
        <v>83</v>
      </c>
      <c r="AE997" t="s">
        <v>66</v>
      </c>
      <c r="AF997" t="s">
        <v>876</v>
      </c>
    </row>
    <row r="998" spans="1:32">
      <c r="A998" t="s">
        <v>5339</v>
      </c>
      <c r="B998" t="s">
        <v>251</v>
      </c>
      <c r="C998" t="s">
        <v>5340</v>
      </c>
      <c r="D998" t="s">
        <v>66</v>
      </c>
      <c r="E998" t="s">
        <v>67</v>
      </c>
      <c r="F998" t="s">
        <v>253</v>
      </c>
      <c r="G998" t="s">
        <v>254</v>
      </c>
      <c r="H998" t="s">
        <v>66</v>
      </c>
      <c r="I998" t="s">
        <v>66</v>
      </c>
      <c r="J998" t="s">
        <v>67</v>
      </c>
      <c r="K998" t="s">
        <v>71</v>
      </c>
      <c r="L998" t="s">
        <v>72</v>
      </c>
      <c r="M998" t="s">
        <v>73</v>
      </c>
      <c r="N998" t="s">
        <v>66</v>
      </c>
      <c r="O998" t="s">
        <v>73</v>
      </c>
      <c r="P998" t="s">
        <v>66</v>
      </c>
      <c r="Q998" t="s">
        <v>4993</v>
      </c>
      <c r="R998" t="s">
        <v>73</v>
      </c>
      <c r="S998" t="s">
        <v>4993</v>
      </c>
      <c r="T998" t="s">
        <v>5341</v>
      </c>
      <c r="U998" t="s">
        <v>5342</v>
      </c>
      <c r="V998" t="s">
        <v>4996</v>
      </c>
      <c r="W998" t="s">
        <v>66</v>
      </c>
      <c r="X998" t="s">
        <v>78</v>
      </c>
      <c r="Y998" t="s">
        <v>5343</v>
      </c>
      <c r="Z998" t="s">
        <v>287</v>
      </c>
      <c r="AA998" t="s">
        <v>4998</v>
      </c>
      <c r="AB998" t="s">
        <v>4998</v>
      </c>
      <c r="AC998" t="s">
        <v>82</v>
      </c>
      <c r="AD998" t="s">
        <v>83</v>
      </c>
      <c r="AE998" t="s">
        <v>66</v>
      </c>
      <c r="AF998" t="s">
        <v>876</v>
      </c>
    </row>
    <row r="999" spans="1:32">
      <c r="A999" t="s">
        <v>5344</v>
      </c>
      <c r="B999" t="s">
        <v>251</v>
      </c>
      <c r="C999" t="s">
        <v>5345</v>
      </c>
      <c r="D999" t="s">
        <v>66</v>
      </c>
      <c r="E999" t="s">
        <v>67</v>
      </c>
      <c r="F999" t="s">
        <v>253</v>
      </c>
      <c r="G999" t="s">
        <v>254</v>
      </c>
      <c r="H999" t="s">
        <v>66</v>
      </c>
      <c r="I999" t="s">
        <v>66</v>
      </c>
      <c r="J999" t="s">
        <v>67</v>
      </c>
      <c r="K999" t="s">
        <v>71</v>
      </c>
      <c r="L999" t="s">
        <v>72</v>
      </c>
      <c r="M999" t="s">
        <v>73</v>
      </c>
      <c r="N999" t="s">
        <v>66</v>
      </c>
      <c r="O999" t="s">
        <v>73</v>
      </c>
      <c r="P999" t="s">
        <v>66</v>
      </c>
      <c r="Q999" t="s">
        <v>4993</v>
      </c>
      <c r="R999" t="s">
        <v>73</v>
      </c>
      <c r="S999" t="s">
        <v>4993</v>
      </c>
      <c r="T999" t="s">
        <v>5346</v>
      </c>
      <c r="U999" t="s">
        <v>5347</v>
      </c>
      <c r="V999" t="s">
        <v>4996</v>
      </c>
      <c r="W999" t="s">
        <v>66</v>
      </c>
      <c r="X999" t="s">
        <v>78</v>
      </c>
      <c r="Y999" t="s">
        <v>5348</v>
      </c>
      <c r="Z999" t="s">
        <v>287</v>
      </c>
      <c r="AA999" t="s">
        <v>4998</v>
      </c>
      <c r="AB999" t="s">
        <v>4998</v>
      </c>
      <c r="AC999" t="s">
        <v>82</v>
      </c>
      <c r="AD999" t="s">
        <v>83</v>
      </c>
      <c r="AE999" t="s">
        <v>66</v>
      </c>
      <c r="AF999" t="s">
        <v>876</v>
      </c>
    </row>
    <row r="1000" spans="1:32">
      <c r="A1000" t="s">
        <v>5349</v>
      </c>
      <c r="B1000" t="s">
        <v>86</v>
      </c>
      <c r="C1000" t="s">
        <v>5350</v>
      </c>
      <c r="D1000" t="s">
        <v>66</v>
      </c>
      <c r="E1000" t="s">
        <v>67</v>
      </c>
      <c r="F1000" t="s">
        <v>253</v>
      </c>
      <c r="G1000" t="s">
        <v>254</v>
      </c>
      <c r="H1000" t="s">
        <v>66</v>
      </c>
      <c r="I1000" t="s">
        <v>66</v>
      </c>
      <c r="J1000" t="s">
        <v>67</v>
      </c>
      <c r="K1000" t="s">
        <v>71</v>
      </c>
      <c r="L1000" t="s">
        <v>72</v>
      </c>
      <c r="M1000" t="s">
        <v>73</v>
      </c>
      <c r="N1000" t="s">
        <v>66</v>
      </c>
      <c r="O1000" t="s">
        <v>73</v>
      </c>
      <c r="P1000" t="s">
        <v>66</v>
      </c>
      <c r="Q1000" t="s">
        <v>4993</v>
      </c>
      <c r="R1000" t="s">
        <v>73</v>
      </c>
      <c r="S1000" t="s">
        <v>4993</v>
      </c>
      <c r="T1000" t="s">
        <v>5351</v>
      </c>
      <c r="U1000" t="s">
        <v>5352</v>
      </c>
      <c r="V1000" t="s">
        <v>4996</v>
      </c>
      <c r="W1000" t="s">
        <v>66</v>
      </c>
      <c r="X1000" t="s">
        <v>78</v>
      </c>
      <c r="Y1000" t="s">
        <v>5353</v>
      </c>
      <c r="Z1000" t="s">
        <v>287</v>
      </c>
      <c r="AA1000" t="s">
        <v>4998</v>
      </c>
      <c r="AB1000" t="s">
        <v>4998</v>
      </c>
      <c r="AC1000" t="s">
        <v>82</v>
      </c>
      <c r="AD1000" t="s">
        <v>83</v>
      </c>
      <c r="AE1000" t="s">
        <v>66</v>
      </c>
      <c r="AF1000" t="s">
        <v>876</v>
      </c>
    </row>
    <row r="1001" spans="1:32">
      <c r="A1001" t="s">
        <v>422</v>
      </c>
      <c r="B1001" t="s">
        <v>98</v>
      </c>
      <c r="C1001" t="s">
        <v>423</v>
      </c>
      <c r="D1001" t="s">
        <v>66</v>
      </c>
      <c r="E1001" t="s">
        <v>67</v>
      </c>
      <c r="F1001" t="s">
        <v>4999</v>
      </c>
      <c r="G1001" t="s">
        <v>5000</v>
      </c>
      <c r="H1001" t="s">
        <v>66</v>
      </c>
      <c r="I1001" t="s">
        <v>66</v>
      </c>
      <c r="J1001" t="s">
        <v>67</v>
      </c>
      <c r="K1001" t="s">
        <v>71</v>
      </c>
      <c r="L1001" t="s">
        <v>72</v>
      </c>
      <c r="M1001" t="s">
        <v>73</v>
      </c>
      <c r="N1001" t="s">
        <v>66</v>
      </c>
      <c r="O1001" t="s">
        <v>73</v>
      </c>
      <c r="P1001" t="s">
        <v>66</v>
      </c>
      <c r="Q1001" t="s">
        <v>4993</v>
      </c>
      <c r="R1001" t="s">
        <v>73</v>
      </c>
      <c r="S1001" t="s">
        <v>4993</v>
      </c>
      <c r="T1001" t="s">
        <v>5354</v>
      </c>
      <c r="U1001" t="s">
        <v>5355</v>
      </c>
      <c r="V1001" t="s">
        <v>4996</v>
      </c>
      <c r="W1001" t="s">
        <v>66</v>
      </c>
      <c r="X1001" t="s">
        <v>78</v>
      </c>
      <c r="Y1001" t="s">
        <v>5356</v>
      </c>
      <c r="Z1001" t="s">
        <v>287</v>
      </c>
      <c r="AA1001" t="s">
        <v>4998</v>
      </c>
      <c r="AB1001" t="s">
        <v>4998</v>
      </c>
      <c r="AC1001" t="s">
        <v>82</v>
      </c>
      <c r="AD1001" t="s">
        <v>83</v>
      </c>
      <c r="AE1001" t="s">
        <v>66</v>
      </c>
      <c r="AF1001" t="s">
        <v>876</v>
      </c>
    </row>
    <row r="1002" spans="1:32">
      <c r="A1002" t="s">
        <v>5357</v>
      </c>
      <c r="B1002" t="s">
        <v>251</v>
      </c>
      <c r="C1002" t="s">
        <v>5358</v>
      </c>
      <c r="D1002" t="s">
        <v>66</v>
      </c>
      <c r="E1002" t="s">
        <v>67</v>
      </c>
      <c r="F1002" t="s">
        <v>253</v>
      </c>
      <c r="G1002" t="s">
        <v>254</v>
      </c>
      <c r="H1002" t="s">
        <v>66</v>
      </c>
      <c r="I1002" t="s">
        <v>66</v>
      </c>
      <c r="J1002" t="s">
        <v>67</v>
      </c>
      <c r="K1002" t="s">
        <v>71</v>
      </c>
      <c r="L1002" t="s">
        <v>72</v>
      </c>
      <c r="M1002" t="s">
        <v>73</v>
      </c>
      <c r="N1002" t="s">
        <v>66</v>
      </c>
      <c r="O1002" t="s">
        <v>73</v>
      </c>
      <c r="P1002" t="s">
        <v>66</v>
      </c>
      <c r="Q1002" t="s">
        <v>4993</v>
      </c>
      <c r="R1002" t="s">
        <v>73</v>
      </c>
      <c r="S1002" t="s">
        <v>4993</v>
      </c>
      <c r="T1002" t="s">
        <v>5359</v>
      </c>
      <c r="U1002" t="s">
        <v>5360</v>
      </c>
      <c r="V1002" t="s">
        <v>4996</v>
      </c>
      <c r="W1002" t="s">
        <v>66</v>
      </c>
      <c r="X1002" t="s">
        <v>78</v>
      </c>
      <c r="Y1002" t="s">
        <v>5361</v>
      </c>
      <c r="Z1002" t="s">
        <v>287</v>
      </c>
      <c r="AA1002" t="s">
        <v>4998</v>
      </c>
      <c r="AB1002" t="s">
        <v>4998</v>
      </c>
      <c r="AC1002" t="s">
        <v>82</v>
      </c>
      <c r="AD1002" t="s">
        <v>83</v>
      </c>
      <c r="AE1002" t="s">
        <v>66</v>
      </c>
      <c r="AF1002" t="s">
        <v>876</v>
      </c>
    </row>
    <row r="1003" spans="1:32">
      <c r="A1003" t="s">
        <v>512</v>
      </c>
      <c r="B1003" t="s">
        <v>98</v>
      </c>
      <c r="C1003" t="s">
        <v>513</v>
      </c>
      <c r="D1003" t="s">
        <v>66</v>
      </c>
      <c r="E1003" t="s">
        <v>67</v>
      </c>
      <c r="F1003" t="s">
        <v>4999</v>
      </c>
      <c r="G1003" t="s">
        <v>5000</v>
      </c>
      <c r="H1003" t="s">
        <v>66</v>
      </c>
      <c r="I1003" t="s">
        <v>66</v>
      </c>
      <c r="J1003" t="s">
        <v>67</v>
      </c>
      <c r="K1003" t="s">
        <v>71</v>
      </c>
      <c r="L1003" t="s">
        <v>72</v>
      </c>
      <c r="M1003" t="s">
        <v>73</v>
      </c>
      <c r="N1003" t="s">
        <v>66</v>
      </c>
      <c r="O1003" t="s">
        <v>73</v>
      </c>
      <c r="P1003" t="s">
        <v>66</v>
      </c>
      <c r="Q1003" t="s">
        <v>4993</v>
      </c>
      <c r="R1003" t="s">
        <v>73</v>
      </c>
      <c r="S1003" t="s">
        <v>4993</v>
      </c>
      <c r="T1003" t="s">
        <v>5362</v>
      </c>
      <c r="U1003" t="s">
        <v>5363</v>
      </c>
      <c r="V1003" t="s">
        <v>4996</v>
      </c>
      <c r="W1003" t="s">
        <v>66</v>
      </c>
      <c r="X1003" t="s">
        <v>78</v>
      </c>
      <c r="Y1003" t="s">
        <v>5364</v>
      </c>
      <c r="Z1003" t="s">
        <v>287</v>
      </c>
      <c r="AA1003" t="s">
        <v>4998</v>
      </c>
      <c r="AB1003" t="s">
        <v>4998</v>
      </c>
      <c r="AC1003" t="s">
        <v>82</v>
      </c>
      <c r="AD1003" t="s">
        <v>83</v>
      </c>
      <c r="AE1003" t="s">
        <v>66</v>
      </c>
      <c r="AF1003" t="s">
        <v>876</v>
      </c>
    </row>
    <row r="1004" spans="1:32">
      <c r="A1004" t="s">
        <v>5365</v>
      </c>
      <c r="B1004" t="s">
        <v>5366</v>
      </c>
      <c r="C1004" t="s">
        <v>5367</v>
      </c>
      <c r="D1004" t="s">
        <v>66</v>
      </c>
      <c r="E1004" t="s">
        <v>67</v>
      </c>
      <c r="F1004" t="s">
        <v>253</v>
      </c>
      <c r="G1004" t="s">
        <v>254</v>
      </c>
      <c r="H1004" t="s">
        <v>66</v>
      </c>
      <c r="I1004" t="s">
        <v>66</v>
      </c>
      <c r="J1004" t="s">
        <v>67</v>
      </c>
      <c r="K1004" t="s">
        <v>71</v>
      </c>
      <c r="L1004" t="s">
        <v>72</v>
      </c>
      <c r="M1004" t="s">
        <v>73</v>
      </c>
      <c r="N1004" t="s">
        <v>66</v>
      </c>
      <c r="O1004" t="s">
        <v>73</v>
      </c>
      <c r="P1004" t="s">
        <v>66</v>
      </c>
      <c r="Q1004" t="s">
        <v>4993</v>
      </c>
      <c r="R1004" t="s">
        <v>73</v>
      </c>
      <c r="S1004" t="s">
        <v>4993</v>
      </c>
      <c r="T1004" t="s">
        <v>5368</v>
      </c>
      <c r="U1004" t="s">
        <v>5369</v>
      </c>
      <c r="V1004" t="s">
        <v>4996</v>
      </c>
      <c r="W1004" t="s">
        <v>66</v>
      </c>
      <c r="X1004" t="s">
        <v>78</v>
      </c>
      <c r="Y1004" t="s">
        <v>5370</v>
      </c>
      <c r="Z1004" t="s">
        <v>287</v>
      </c>
      <c r="AA1004" t="s">
        <v>4998</v>
      </c>
      <c r="AB1004" t="s">
        <v>4998</v>
      </c>
      <c r="AC1004" t="s">
        <v>82</v>
      </c>
      <c r="AD1004" t="s">
        <v>83</v>
      </c>
      <c r="AE1004" t="s">
        <v>66</v>
      </c>
      <c r="AF1004" t="s">
        <v>876</v>
      </c>
    </row>
    <row r="1005" spans="1:32">
      <c r="A1005" t="s">
        <v>5371</v>
      </c>
      <c r="B1005" t="s">
        <v>5372</v>
      </c>
      <c r="C1005" t="s">
        <v>5372</v>
      </c>
      <c r="D1005" t="s">
        <v>66</v>
      </c>
      <c r="E1005" t="s">
        <v>5061</v>
      </c>
      <c r="F1005" t="s">
        <v>253</v>
      </c>
      <c r="G1005" t="s">
        <v>254</v>
      </c>
      <c r="H1005" t="s">
        <v>66</v>
      </c>
      <c r="I1005" t="s">
        <v>66</v>
      </c>
      <c r="J1005" t="s">
        <v>67</v>
      </c>
      <c r="K1005" t="s">
        <v>71</v>
      </c>
      <c r="L1005" t="s">
        <v>72</v>
      </c>
      <c r="M1005" t="s">
        <v>73</v>
      </c>
      <c r="N1005" t="s">
        <v>66</v>
      </c>
      <c r="O1005" t="s">
        <v>73</v>
      </c>
      <c r="P1005" t="s">
        <v>66</v>
      </c>
      <c r="Q1005" t="s">
        <v>4993</v>
      </c>
      <c r="R1005" t="s">
        <v>73</v>
      </c>
      <c r="S1005" t="s">
        <v>4993</v>
      </c>
      <c r="T1005" t="s">
        <v>5373</v>
      </c>
      <c r="U1005" t="s">
        <v>5374</v>
      </c>
      <c r="V1005" t="s">
        <v>4996</v>
      </c>
      <c r="W1005" t="s">
        <v>66</v>
      </c>
      <c r="X1005" t="s">
        <v>78</v>
      </c>
      <c r="Y1005" t="s">
        <v>5375</v>
      </c>
      <c r="Z1005" t="s">
        <v>287</v>
      </c>
      <c r="AA1005" t="s">
        <v>4998</v>
      </c>
      <c r="AB1005" t="s">
        <v>4998</v>
      </c>
      <c r="AC1005" t="s">
        <v>82</v>
      </c>
      <c r="AD1005" t="s">
        <v>83</v>
      </c>
      <c r="AE1005" t="s">
        <v>66</v>
      </c>
      <c r="AF1005" t="s">
        <v>876</v>
      </c>
    </row>
    <row r="1006" spans="1:32">
      <c r="A1006" t="s">
        <v>5376</v>
      </c>
      <c r="B1006" t="s">
        <v>251</v>
      </c>
      <c r="C1006" t="s">
        <v>5377</v>
      </c>
      <c r="D1006" t="s">
        <v>66</v>
      </c>
      <c r="E1006" t="s">
        <v>67</v>
      </c>
      <c r="F1006" t="s">
        <v>253</v>
      </c>
      <c r="G1006" t="s">
        <v>254</v>
      </c>
      <c r="H1006" t="s">
        <v>66</v>
      </c>
      <c r="I1006" t="s">
        <v>66</v>
      </c>
      <c r="J1006" t="s">
        <v>67</v>
      </c>
      <c r="K1006" t="s">
        <v>71</v>
      </c>
      <c r="L1006" t="s">
        <v>72</v>
      </c>
      <c r="M1006" t="s">
        <v>73</v>
      </c>
      <c r="N1006" t="s">
        <v>66</v>
      </c>
      <c r="O1006" t="s">
        <v>73</v>
      </c>
      <c r="P1006" t="s">
        <v>66</v>
      </c>
      <c r="Q1006" t="s">
        <v>4993</v>
      </c>
      <c r="R1006" t="s">
        <v>73</v>
      </c>
      <c r="S1006" t="s">
        <v>4993</v>
      </c>
      <c r="T1006" t="s">
        <v>5378</v>
      </c>
      <c r="U1006" t="s">
        <v>5379</v>
      </c>
      <c r="V1006" t="s">
        <v>4996</v>
      </c>
      <c r="W1006" t="s">
        <v>66</v>
      </c>
      <c r="X1006" t="s">
        <v>78</v>
      </c>
      <c r="Y1006" t="s">
        <v>5380</v>
      </c>
      <c r="Z1006" t="s">
        <v>287</v>
      </c>
      <c r="AA1006" t="s">
        <v>4998</v>
      </c>
      <c r="AB1006" t="s">
        <v>4998</v>
      </c>
      <c r="AC1006" t="s">
        <v>82</v>
      </c>
      <c r="AD1006" t="s">
        <v>83</v>
      </c>
      <c r="AE1006" t="s">
        <v>66</v>
      </c>
      <c r="AF1006" t="s">
        <v>876</v>
      </c>
    </row>
    <row r="1007" spans="1:32">
      <c r="A1007" t="s">
        <v>5381</v>
      </c>
      <c r="B1007" t="s">
        <v>86</v>
      </c>
      <c r="C1007" t="s">
        <v>5382</v>
      </c>
      <c r="D1007" t="s">
        <v>66</v>
      </c>
      <c r="E1007" t="s">
        <v>67</v>
      </c>
      <c r="F1007" t="s">
        <v>253</v>
      </c>
      <c r="G1007" t="s">
        <v>254</v>
      </c>
      <c r="H1007" t="s">
        <v>66</v>
      </c>
      <c r="I1007" t="s">
        <v>66</v>
      </c>
      <c r="J1007" t="s">
        <v>67</v>
      </c>
      <c r="K1007" t="s">
        <v>71</v>
      </c>
      <c r="L1007" t="s">
        <v>72</v>
      </c>
      <c r="M1007" t="s">
        <v>73</v>
      </c>
      <c r="N1007" t="s">
        <v>66</v>
      </c>
      <c r="O1007" t="s">
        <v>73</v>
      </c>
      <c r="P1007" t="s">
        <v>66</v>
      </c>
      <c r="Q1007" t="s">
        <v>4993</v>
      </c>
      <c r="R1007" t="s">
        <v>73</v>
      </c>
      <c r="S1007" t="s">
        <v>4993</v>
      </c>
      <c r="T1007" t="s">
        <v>5383</v>
      </c>
      <c r="U1007" t="s">
        <v>5384</v>
      </c>
      <c r="V1007" t="s">
        <v>4996</v>
      </c>
      <c r="W1007" t="s">
        <v>66</v>
      </c>
      <c r="X1007" t="s">
        <v>78</v>
      </c>
      <c r="Y1007" t="s">
        <v>5385</v>
      </c>
      <c r="Z1007" t="s">
        <v>287</v>
      </c>
      <c r="AA1007" t="s">
        <v>4998</v>
      </c>
      <c r="AB1007" t="s">
        <v>4998</v>
      </c>
      <c r="AC1007" t="s">
        <v>82</v>
      </c>
      <c r="AD1007" t="s">
        <v>83</v>
      </c>
      <c r="AE1007" t="s">
        <v>66</v>
      </c>
      <c r="AF1007" t="s">
        <v>876</v>
      </c>
    </row>
    <row r="1008" spans="1:32">
      <c r="A1008" t="s">
        <v>5386</v>
      </c>
      <c r="B1008" t="s">
        <v>5387</v>
      </c>
      <c r="C1008" t="s">
        <v>5388</v>
      </c>
      <c r="D1008" t="s">
        <v>66</v>
      </c>
      <c r="E1008" t="s">
        <v>67</v>
      </c>
      <c r="F1008" t="s">
        <v>253</v>
      </c>
      <c r="G1008" t="s">
        <v>254</v>
      </c>
      <c r="H1008" t="s">
        <v>66</v>
      </c>
      <c r="I1008" t="s">
        <v>66</v>
      </c>
      <c r="J1008" t="s">
        <v>67</v>
      </c>
      <c r="K1008" t="s">
        <v>71</v>
      </c>
      <c r="L1008" t="s">
        <v>72</v>
      </c>
      <c r="M1008" t="s">
        <v>73</v>
      </c>
      <c r="N1008" t="s">
        <v>66</v>
      </c>
      <c r="O1008" t="s">
        <v>73</v>
      </c>
      <c r="P1008" t="s">
        <v>66</v>
      </c>
      <c r="Q1008" t="s">
        <v>4993</v>
      </c>
      <c r="R1008" t="s">
        <v>73</v>
      </c>
      <c r="S1008" t="s">
        <v>4993</v>
      </c>
      <c r="T1008" t="s">
        <v>5389</v>
      </c>
      <c r="U1008" t="s">
        <v>5390</v>
      </c>
      <c r="V1008" t="s">
        <v>4996</v>
      </c>
      <c r="W1008" t="s">
        <v>66</v>
      </c>
      <c r="X1008" t="s">
        <v>78</v>
      </c>
      <c r="Y1008" t="s">
        <v>5391</v>
      </c>
      <c r="Z1008" t="s">
        <v>287</v>
      </c>
      <c r="AA1008" t="s">
        <v>4998</v>
      </c>
      <c r="AB1008" t="s">
        <v>4998</v>
      </c>
      <c r="AC1008" t="s">
        <v>82</v>
      </c>
      <c r="AD1008" t="s">
        <v>83</v>
      </c>
      <c r="AE1008" t="s">
        <v>66</v>
      </c>
      <c r="AF1008" t="s">
        <v>876</v>
      </c>
    </row>
    <row r="1009" spans="1:32">
      <c r="A1009" t="s">
        <v>5392</v>
      </c>
      <c r="B1009" t="s">
        <v>86</v>
      </c>
      <c r="C1009" t="s">
        <v>5393</v>
      </c>
      <c r="D1009" t="s">
        <v>66</v>
      </c>
      <c r="E1009" t="s">
        <v>67</v>
      </c>
      <c r="F1009" t="s">
        <v>88</v>
      </c>
      <c r="G1009" t="s">
        <v>89</v>
      </c>
      <c r="H1009" t="s">
        <v>66</v>
      </c>
      <c r="I1009" t="s">
        <v>66</v>
      </c>
      <c r="J1009" t="s">
        <v>67</v>
      </c>
      <c r="K1009" t="s">
        <v>71</v>
      </c>
      <c r="L1009" t="s">
        <v>72</v>
      </c>
      <c r="M1009" t="s">
        <v>73</v>
      </c>
      <c r="N1009" t="s">
        <v>66</v>
      </c>
      <c r="O1009" t="s">
        <v>73</v>
      </c>
      <c r="P1009" t="s">
        <v>66</v>
      </c>
      <c r="Q1009" t="s">
        <v>4993</v>
      </c>
      <c r="R1009" t="s">
        <v>73</v>
      </c>
      <c r="S1009" t="s">
        <v>4993</v>
      </c>
      <c r="T1009" t="s">
        <v>5394</v>
      </c>
      <c r="U1009" t="s">
        <v>5395</v>
      </c>
      <c r="V1009" t="s">
        <v>4996</v>
      </c>
      <c r="W1009" t="s">
        <v>66</v>
      </c>
      <c r="X1009" t="s">
        <v>78</v>
      </c>
      <c r="Y1009" t="s">
        <v>5396</v>
      </c>
      <c r="Z1009" t="s">
        <v>287</v>
      </c>
      <c r="AA1009" t="s">
        <v>4998</v>
      </c>
      <c r="AB1009" t="s">
        <v>4998</v>
      </c>
      <c r="AC1009" t="s">
        <v>82</v>
      </c>
      <c r="AD1009" t="s">
        <v>83</v>
      </c>
      <c r="AE1009" t="s">
        <v>66</v>
      </c>
      <c r="AF1009" t="s">
        <v>876</v>
      </c>
    </row>
    <row r="1010" spans="1:32">
      <c r="A1010" t="s">
        <v>5397</v>
      </c>
      <c r="B1010" t="s">
        <v>251</v>
      </c>
      <c r="C1010" t="s">
        <v>5398</v>
      </c>
      <c r="D1010" t="s">
        <v>66</v>
      </c>
      <c r="E1010" t="s">
        <v>67</v>
      </c>
      <c r="F1010" t="s">
        <v>253</v>
      </c>
      <c r="G1010" t="s">
        <v>254</v>
      </c>
      <c r="H1010" t="s">
        <v>66</v>
      </c>
      <c r="I1010" t="s">
        <v>66</v>
      </c>
      <c r="J1010" t="s">
        <v>67</v>
      </c>
      <c r="K1010" t="s">
        <v>71</v>
      </c>
      <c r="L1010" t="s">
        <v>72</v>
      </c>
      <c r="M1010" t="s">
        <v>73</v>
      </c>
      <c r="N1010" t="s">
        <v>66</v>
      </c>
      <c r="O1010" t="s">
        <v>73</v>
      </c>
      <c r="P1010" t="s">
        <v>66</v>
      </c>
      <c r="Q1010" t="s">
        <v>4993</v>
      </c>
      <c r="R1010" t="s">
        <v>73</v>
      </c>
      <c r="S1010" t="s">
        <v>4993</v>
      </c>
      <c r="T1010" t="s">
        <v>5399</v>
      </c>
      <c r="U1010" t="s">
        <v>5400</v>
      </c>
      <c r="V1010" t="s">
        <v>4996</v>
      </c>
      <c r="W1010" t="s">
        <v>66</v>
      </c>
      <c r="X1010" t="s">
        <v>78</v>
      </c>
      <c r="Y1010" t="s">
        <v>5401</v>
      </c>
      <c r="Z1010" t="s">
        <v>287</v>
      </c>
      <c r="AA1010" t="s">
        <v>4998</v>
      </c>
      <c r="AB1010" t="s">
        <v>4998</v>
      </c>
      <c r="AC1010" t="s">
        <v>82</v>
      </c>
      <c r="AD1010" t="s">
        <v>83</v>
      </c>
      <c r="AE1010" t="s">
        <v>66</v>
      </c>
      <c r="AF1010" t="s">
        <v>876</v>
      </c>
    </row>
    <row r="1011" spans="1:32">
      <c r="A1011" t="s">
        <v>462</v>
      </c>
      <c r="B1011" t="s">
        <v>98</v>
      </c>
      <c r="C1011" t="s">
        <v>463</v>
      </c>
      <c r="D1011" t="s">
        <v>66</v>
      </c>
      <c r="E1011" t="s">
        <v>67</v>
      </c>
      <c r="F1011" t="s">
        <v>4999</v>
      </c>
      <c r="G1011" t="s">
        <v>5000</v>
      </c>
      <c r="H1011" t="s">
        <v>66</v>
      </c>
      <c r="I1011" t="s">
        <v>66</v>
      </c>
      <c r="J1011" t="s">
        <v>67</v>
      </c>
      <c r="K1011" t="s">
        <v>71</v>
      </c>
      <c r="L1011" t="s">
        <v>72</v>
      </c>
      <c r="M1011" t="s">
        <v>73</v>
      </c>
      <c r="N1011" t="s">
        <v>66</v>
      </c>
      <c r="O1011" t="s">
        <v>73</v>
      </c>
      <c r="P1011" t="s">
        <v>66</v>
      </c>
      <c r="Q1011" t="s">
        <v>4993</v>
      </c>
      <c r="R1011" t="s">
        <v>73</v>
      </c>
      <c r="S1011" t="s">
        <v>4993</v>
      </c>
      <c r="T1011" t="s">
        <v>5402</v>
      </c>
      <c r="U1011" t="s">
        <v>5403</v>
      </c>
      <c r="V1011" t="s">
        <v>4996</v>
      </c>
      <c r="W1011" t="s">
        <v>66</v>
      </c>
      <c r="X1011" t="s">
        <v>78</v>
      </c>
      <c r="Y1011" t="s">
        <v>5404</v>
      </c>
      <c r="Z1011" t="s">
        <v>287</v>
      </c>
      <c r="AA1011" t="s">
        <v>4998</v>
      </c>
      <c r="AB1011" t="s">
        <v>4998</v>
      </c>
      <c r="AC1011" t="s">
        <v>82</v>
      </c>
      <c r="AD1011" t="s">
        <v>83</v>
      </c>
      <c r="AE1011" t="s">
        <v>66</v>
      </c>
      <c r="AF1011" t="s">
        <v>876</v>
      </c>
    </row>
    <row r="1012" spans="1:32">
      <c r="A1012" t="s">
        <v>5405</v>
      </c>
      <c r="B1012" t="s">
        <v>251</v>
      </c>
      <c r="C1012" t="s">
        <v>5406</v>
      </c>
      <c r="D1012" t="s">
        <v>66</v>
      </c>
      <c r="E1012" t="s">
        <v>67</v>
      </c>
      <c r="F1012" t="s">
        <v>253</v>
      </c>
      <c r="G1012" t="s">
        <v>254</v>
      </c>
      <c r="H1012" t="s">
        <v>66</v>
      </c>
      <c r="I1012" t="s">
        <v>66</v>
      </c>
      <c r="J1012" t="s">
        <v>67</v>
      </c>
      <c r="K1012" t="s">
        <v>71</v>
      </c>
      <c r="L1012" t="s">
        <v>72</v>
      </c>
      <c r="M1012" t="s">
        <v>73</v>
      </c>
      <c r="N1012" t="s">
        <v>66</v>
      </c>
      <c r="O1012" t="s">
        <v>73</v>
      </c>
      <c r="P1012" t="s">
        <v>66</v>
      </c>
      <c r="Q1012" t="s">
        <v>4993</v>
      </c>
      <c r="R1012" t="s">
        <v>73</v>
      </c>
      <c r="S1012" t="s">
        <v>4993</v>
      </c>
      <c r="T1012" t="s">
        <v>5407</v>
      </c>
      <c r="U1012" t="s">
        <v>5408</v>
      </c>
      <c r="V1012" t="s">
        <v>4996</v>
      </c>
      <c r="W1012" t="s">
        <v>66</v>
      </c>
      <c r="X1012" t="s">
        <v>78</v>
      </c>
      <c r="Y1012" t="s">
        <v>5409</v>
      </c>
      <c r="Z1012" t="s">
        <v>287</v>
      </c>
      <c r="AA1012" t="s">
        <v>4998</v>
      </c>
      <c r="AB1012" t="s">
        <v>4998</v>
      </c>
      <c r="AC1012" t="s">
        <v>82</v>
      </c>
      <c r="AD1012" t="s">
        <v>83</v>
      </c>
      <c r="AE1012" t="s">
        <v>66</v>
      </c>
      <c r="AF1012" t="s">
        <v>876</v>
      </c>
    </row>
    <row r="1013" spans="1:32">
      <c r="A1013" t="s">
        <v>5410</v>
      </c>
      <c r="B1013" t="s">
        <v>5411</v>
      </c>
      <c r="C1013" t="s">
        <v>5411</v>
      </c>
      <c r="D1013" t="s">
        <v>66</v>
      </c>
      <c r="E1013" t="s">
        <v>5061</v>
      </c>
      <c r="F1013" t="s">
        <v>253</v>
      </c>
      <c r="G1013" t="s">
        <v>254</v>
      </c>
      <c r="H1013" t="s">
        <v>66</v>
      </c>
      <c r="I1013" t="s">
        <v>66</v>
      </c>
      <c r="J1013" t="s">
        <v>67</v>
      </c>
      <c r="K1013" t="s">
        <v>71</v>
      </c>
      <c r="L1013" t="s">
        <v>72</v>
      </c>
      <c r="M1013" t="s">
        <v>73</v>
      </c>
      <c r="N1013" t="s">
        <v>66</v>
      </c>
      <c r="O1013" t="s">
        <v>73</v>
      </c>
      <c r="P1013" t="s">
        <v>66</v>
      </c>
      <c r="Q1013" t="s">
        <v>4993</v>
      </c>
      <c r="R1013" t="s">
        <v>73</v>
      </c>
      <c r="S1013" t="s">
        <v>4993</v>
      </c>
      <c r="T1013" t="s">
        <v>5412</v>
      </c>
      <c r="U1013" t="s">
        <v>5413</v>
      </c>
      <c r="V1013" t="s">
        <v>4996</v>
      </c>
      <c r="W1013" t="s">
        <v>66</v>
      </c>
      <c r="X1013" t="s">
        <v>78</v>
      </c>
      <c r="Y1013" t="s">
        <v>5414</v>
      </c>
      <c r="Z1013" t="s">
        <v>287</v>
      </c>
      <c r="AA1013" t="s">
        <v>4998</v>
      </c>
      <c r="AB1013" t="s">
        <v>4998</v>
      </c>
      <c r="AC1013" t="s">
        <v>82</v>
      </c>
      <c r="AD1013" t="s">
        <v>83</v>
      </c>
      <c r="AE1013" t="s">
        <v>66</v>
      </c>
      <c r="AF1013" t="s">
        <v>876</v>
      </c>
    </row>
    <row r="1014" spans="1:32">
      <c r="A1014" t="s">
        <v>412</v>
      </c>
      <c r="B1014" t="s">
        <v>98</v>
      </c>
      <c r="C1014" t="s">
        <v>413</v>
      </c>
      <c r="D1014" t="s">
        <v>66</v>
      </c>
      <c r="E1014" t="s">
        <v>67</v>
      </c>
      <c r="F1014" t="s">
        <v>4999</v>
      </c>
      <c r="G1014" t="s">
        <v>5000</v>
      </c>
      <c r="H1014" t="s">
        <v>66</v>
      </c>
      <c r="I1014" t="s">
        <v>66</v>
      </c>
      <c r="J1014" t="s">
        <v>67</v>
      </c>
      <c r="K1014" t="s">
        <v>71</v>
      </c>
      <c r="L1014" t="s">
        <v>72</v>
      </c>
      <c r="M1014" t="s">
        <v>73</v>
      </c>
      <c r="N1014" t="s">
        <v>66</v>
      </c>
      <c r="O1014" t="s">
        <v>73</v>
      </c>
      <c r="P1014" t="s">
        <v>66</v>
      </c>
      <c r="Q1014" t="s">
        <v>4993</v>
      </c>
      <c r="R1014" t="s">
        <v>73</v>
      </c>
      <c r="S1014" t="s">
        <v>4993</v>
      </c>
      <c r="T1014" t="s">
        <v>5415</v>
      </c>
      <c r="U1014" t="s">
        <v>5416</v>
      </c>
      <c r="V1014" t="s">
        <v>4996</v>
      </c>
      <c r="W1014" t="s">
        <v>66</v>
      </c>
      <c r="X1014" t="s">
        <v>78</v>
      </c>
      <c r="Y1014" t="s">
        <v>5417</v>
      </c>
      <c r="Z1014" t="s">
        <v>287</v>
      </c>
      <c r="AA1014" t="s">
        <v>4998</v>
      </c>
      <c r="AB1014" t="s">
        <v>4998</v>
      </c>
      <c r="AC1014" t="s">
        <v>82</v>
      </c>
      <c r="AD1014" t="s">
        <v>83</v>
      </c>
      <c r="AE1014" t="s">
        <v>66</v>
      </c>
      <c r="AF1014" t="s">
        <v>876</v>
      </c>
    </row>
    <row r="1015" spans="1:32">
      <c r="A1015" t="s">
        <v>5418</v>
      </c>
      <c r="B1015" t="s">
        <v>5334</v>
      </c>
      <c r="C1015" t="s">
        <v>5419</v>
      </c>
      <c r="D1015" t="s">
        <v>66</v>
      </c>
      <c r="E1015" t="s">
        <v>67</v>
      </c>
      <c r="F1015" t="s">
        <v>253</v>
      </c>
      <c r="G1015" t="s">
        <v>254</v>
      </c>
      <c r="H1015" t="s">
        <v>66</v>
      </c>
      <c r="I1015" t="s">
        <v>66</v>
      </c>
      <c r="J1015" t="s">
        <v>67</v>
      </c>
      <c r="K1015" t="s">
        <v>71</v>
      </c>
      <c r="L1015" t="s">
        <v>72</v>
      </c>
      <c r="M1015" t="s">
        <v>73</v>
      </c>
      <c r="N1015" t="s">
        <v>66</v>
      </c>
      <c r="O1015" t="s">
        <v>73</v>
      </c>
      <c r="P1015" t="s">
        <v>66</v>
      </c>
      <c r="Q1015" t="s">
        <v>4993</v>
      </c>
      <c r="R1015" t="s">
        <v>73</v>
      </c>
      <c r="S1015" t="s">
        <v>4993</v>
      </c>
      <c r="T1015" t="s">
        <v>5420</v>
      </c>
      <c r="U1015" t="s">
        <v>5421</v>
      </c>
      <c r="V1015" t="s">
        <v>4996</v>
      </c>
      <c r="W1015" t="s">
        <v>66</v>
      </c>
      <c r="X1015" t="s">
        <v>78</v>
      </c>
      <c r="Y1015" t="s">
        <v>5422</v>
      </c>
      <c r="Z1015" t="s">
        <v>287</v>
      </c>
      <c r="AA1015" t="s">
        <v>4998</v>
      </c>
      <c r="AB1015" t="s">
        <v>4998</v>
      </c>
      <c r="AC1015" t="s">
        <v>82</v>
      </c>
      <c r="AD1015" t="s">
        <v>83</v>
      </c>
      <c r="AE1015" t="s">
        <v>66</v>
      </c>
      <c r="AF1015" t="s">
        <v>876</v>
      </c>
    </row>
    <row r="1016" spans="1:32">
      <c r="A1016" t="s">
        <v>5423</v>
      </c>
      <c r="B1016" t="s">
        <v>5033</v>
      </c>
      <c r="C1016" t="s">
        <v>5424</v>
      </c>
      <c r="D1016" t="s">
        <v>66</v>
      </c>
      <c r="E1016" t="s">
        <v>67</v>
      </c>
      <c r="F1016" t="s">
        <v>253</v>
      </c>
      <c r="G1016" t="s">
        <v>254</v>
      </c>
      <c r="H1016" t="s">
        <v>66</v>
      </c>
      <c r="I1016" t="s">
        <v>66</v>
      </c>
      <c r="J1016" t="s">
        <v>67</v>
      </c>
      <c r="K1016" t="s">
        <v>71</v>
      </c>
      <c r="L1016" t="s">
        <v>72</v>
      </c>
      <c r="M1016" t="s">
        <v>73</v>
      </c>
      <c r="N1016" t="s">
        <v>66</v>
      </c>
      <c r="O1016" t="s">
        <v>73</v>
      </c>
      <c r="P1016" t="s">
        <v>66</v>
      </c>
      <c r="Q1016" t="s">
        <v>4993</v>
      </c>
      <c r="R1016" t="s">
        <v>73</v>
      </c>
      <c r="S1016" t="s">
        <v>4993</v>
      </c>
      <c r="T1016" t="s">
        <v>5425</v>
      </c>
      <c r="U1016" t="s">
        <v>5426</v>
      </c>
      <c r="V1016" t="s">
        <v>4996</v>
      </c>
      <c r="W1016" t="s">
        <v>66</v>
      </c>
      <c r="X1016" t="s">
        <v>78</v>
      </c>
      <c r="Y1016" t="s">
        <v>5427</v>
      </c>
      <c r="Z1016" t="s">
        <v>287</v>
      </c>
      <c r="AA1016" t="s">
        <v>4998</v>
      </c>
      <c r="AB1016" t="s">
        <v>4998</v>
      </c>
      <c r="AC1016" t="s">
        <v>82</v>
      </c>
      <c r="AD1016" t="s">
        <v>83</v>
      </c>
      <c r="AE1016" t="s">
        <v>66</v>
      </c>
      <c r="AF1016" t="s">
        <v>876</v>
      </c>
    </row>
    <row r="1017" spans="1:32">
      <c r="A1017" t="s">
        <v>492</v>
      </c>
      <c r="B1017" t="s">
        <v>98</v>
      </c>
      <c r="C1017" t="s">
        <v>493</v>
      </c>
      <c r="D1017" t="s">
        <v>66</v>
      </c>
      <c r="E1017" t="s">
        <v>67</v>
      </c>
      <c r="F1017" t="s">
        <v>4999</v>
      </c>
      <c r="G1017" t="s">
        <v>5000</v>
      </c>
      <c r="H1017" t="s">
        <v>66</v>
      </c>
      <c r="I1017" t="s">
        <v>66</v>
      </c>
      <c r="J1017" t="s">
        <v>67</v>
      </c>
      <c r="K1017" t="s">
        <v>71</v>
      </c>
      <c r="L1017" t="s">
        <v>72</v>
      </c>
      <c r="M1017" t="s">
        <v>73</v>
      </c>
      <c r="N1017" t="s">
        <v>66</v>
      </c>
      <c r="O1017" t="s">
        <v>73</v>
      </c>
      <c r="P1017" t="s">
        <v>66</v>
      </c>
      <c r="Q1017" t="s">
        <v>4993</v>
      </c>
      <c r="R1017" t="s">
        <v>73</v>
      </c>
      <c r="S1017" t="s">
        <v>4993</v>
      </c>
      <c r="T1017" t="s">
        <v>5428</v>
      </c>
      <c r="U1017" t="s">
        <v>5429</v>
      </c>
      <c r="V1017" t="s">
        <v>4996</v>
      </c>
      <c r="W1017" t="s">
        <v>66</v>
      </c>
      <c r="X1017" t="s">
        <v>78</v>
      </c>
      <c r="Y1017" t="s">
        <v>5430</v>
      </c>
      <c r="Z1017" t="s">
        <v>287</v>
      </c>
      <c r="AA1017" t="s">
        <v>4998</v>
      </c>
      <c r="AB1017" t="s">
        <v>4998</v>
      </c>
      <c r="AC1017" t="s">
        <v>82</v>
      </c>
      <c r="AD1017" t="s">
        <v>83</v>
      </c>
      <c r="AE1017" t="s">
        <v>66</v>
      </c>
      <c r="AF1017" t="s">
        <v>876</v>
      </c>
    </row>
    <row r="1018" spans="1:32">
      <c r="A1018" t="s">
        <v>5431</v>
      </c>
      <c r="B1018" t="s">
        <v>5432</v>
      </c>
      <c r="C1018" t="s">
        <v>5433</v>
      </c>
      <c r="D1018" t="s">
        <v>66</v>
      </c>
      <c r="E1018" t="s">
        <v>5434</v>
      </c>
      <c r="F1018" t="s">
        <v>253</v>
      </c>
      <c r="G1018" t="s">
        <v>254</v>
      </c>
      <c r="H1018" t="s">
        <v>66</v>
      </c>
      <c r="I1018" t="s">
        <v>66</v>
      </c>
      <c r="J1018" t="s">
        <v>67</v>
      </c>
      <c r="K1018" t="s">
        <v>71</v>
      </c>
      <c r="L1018" t="s">
        <v>72</v>
      </c>
      <c r="M1018" t="s">
        <v>73</v>
      </c>
      <c r="N1018" t="s">
        <v>66</v>
      </c>
      <c r="O1018" t="s">
        <v>73</v>
      </c>
      <c r="P1018" t="s">
        <v>66</v>
      </c>
      <c r="Q1018" t="s">
        <v>4993</v>
      </c>
      <c r="R1018" t="s">
        <v>73</v>
      </c>
      <c r="S1018" t="s">
        <v>4993</v>
      </c>
      <c r="T1018" t="s">
        <v>5435</v>
      </c>
      <c r="U1018" t="s">
        <v>5436</v>
      </c>
      <c r="V1018" t="s">
        <v>4996</v>
      </c>
      <c r="W1018" t="s">
        <v>66</v>
      </c>
      <c r="X1018" t="s">
        <v>78</v>
      </c>
      <c r="Y1018" t="s">
        <v>5437</v>
      </c>
      <c r="Z1018" t="s">
        <v>287</v>
      </c>
      <c r="AA1018" t="s">
        <v>4998</v>
      </c>
      <c r="AB1018" t="s">
        <v>4998</v>
      </c>
      <c r="AC1018" t="s">
        <v>82</v>
      </c>
      <c r="AD1018" t="s">
        <v>83</v>
      </c>
      <c r="AE1018" t="s">
        <v>66</v>
      </c>
      <c r="AF1018" t="s">
        <v>876</v>
      </c>
    </row>
    <row r="1019" spans="1:32">
      <c r="A1019" t="s">
        <v>5438</v>
      </c>
      <c r="B1019" t="s">
        <v>86</v>
      </c>
      <c r="C1019" t="s">
        <v>5439</v>
      </c>
      <c r="D1019" t="s">
        <v>66</v>
      </c>
      <c r="E1019" t="s">
        <v>67</v>
      </c>
      <c r="F1019" t="s">
        <v>253</v>
      </c>
      <c r="G1019" t="s">
        <v>254</v>
      </c>
      <c r="H1019" t="s">
        <v>66</v>
      </c>
      <c r="I1019" t="s">
        <v>66</v>
      </c>
      <c r="J1019" t="s">
        <v>67</v>
      </c>
      <c r="K1019" t="s">
        <v>71</v>
      </c>
      <c r="L1019" t="s">
        <v>72</v>
      </c>
      <c r="M1019" t="s">
        <v>73</v>
      </c>
      <c r="N1019" t="s">
        <v>66</v>
      </c>
      <c r="O1019" t="s">
        <v>73</v>
      </c>
      <c r="P1019" t="s">
        <v>66</v>
      </c>
      <c r="Q1019" t="s">
        <v>4993</v>
      </c>
      <c r="R1019" t="s">
        <v>73</v>
      </c>
      <c r="S1019" t="s">
        <v>4993</v>
      </c>
      <c r="T1019" t="s">
        <v>5440</v>
      </c>
      <c r="U1019" t="s">
        <v>5441</v>
      </c>
      <c r="V1019" t="s">
        <v>4996</v>
      </c>
      <c r="W1019" t="s">
        <v>66</v>
      </c>
      <c r="X1019" t="s">
        <v>78</v>
      </c>
      <c r="Y1019" t="s">
        <v>5442</v>
      </c>
      <c r="Z1019" t="s">
        <v>287</v>
      </c>
      <c r="AA1019" t="s">
        <v>4998</v>
      </c>
      <c r="AB1019" t="s">
        <v>4998</v>
      </c>
      <c r="AC1019" t="s">
        <v>82</v>
      </c>
      <c r="AD1019" t="s">
        <v>83</v>
      </c>
      <c r="AE1019" t="s">
        <v>66</v>
      </c>
      <c r="AF1019" t="s">
        <v>876</v>
      </c>
    </row>
    <row r="1020" spans="1:32">
      <c r="A1020" t="s">
        <v>5443</v>
      </c>
      <c r="B1020" t="s">
        <v>5033</v>
      </c>
      <c r="C1020" t="s">
        <v>5444</v>
      </c>
      <c r="D1020" t="s">
        <v>66</v>
      </c>
      <c r="E1020" t="s">
        <v>67</v>
      </c>
      <c r="F1020" t="s">
        <v>253</v>
      </c>
      <c r="G1020" t="s">
        <v>254</v>
      </c>
      <c r="H1020" t="s">
        <v>66</v>
      </c>
      <c r="I1020" t="s">
        <v>66</v>
      </c>
      <c r="J1020" t="s">
        <v>67</v>
      </c>
      <c r="K1020" t="s">
        <v>71</v>
      </c>
      <c r="L1020" t="s">
        <v>72</v>
      </c>
      <c r="M1020" t="s">
        <v>73</v>
      </c>
      <c r="N1020" t="s">
        <v>66</v>
      </c>
      <c r="O1020" t="s">
        <v>73</v>
      </c>
      <c r="P1020" t="s">
        <v>66</v>
      </c>
      <c r="Q1020" t="s">
        <v>4993</v>
      </c>
      <c r="R1020" t="s">
        <v>73</v>
      </c>
      <c r="S1020" t="s">
        <v>4993</v>
      </c>
      <c r="T1020" t="s">
        <v>5445</v>
      </c>
      <c r="U1020" t="s">
        <v>5446</v>
      </c>
      <c r="V1020" t="s">
        <v>4996</v>
      </c>
      <c r="W1020" t="s">
        <v>66</v>
      </c>
      <c r="X1020" t="s">
        <v>78</v>
      </c>
      <c r="Y1020" t="s">
        <v>5447</v>
      </c>
      <c r="Z1020" t="s">
        <v>287</v>
      </c>
      <c r="AA1020" t="s">
        <v>4998</v>
      </c>
      <c r="AB1020" t="s">
        <v>4998</v>
      </c>
      <c r="AC1020" t="s">
        <v>82</v>
      </c>
      <c r="AD1020" t="s">
        <v>83</v>
      </c>
      <c r="AE1020" t="s">
        <v>66</v>
      </c>
      <c r="AF1020" t="s">
        <v>876</v>
      </c>
    </row>
    <row r="1021" spans="1:32">
      <c r="A1021" t="s">
        <v>497</v>
      </c>
      <c r="B1021" t="s">
        <v>98</v>
      </c>
      <c r="C1021" t="s">
        <v>498</v>
      </c>
      <c r="D1021" t="s">
        <v>66</v>
      </c>
      <c r="E1021" t="s">
        <v>67</v>
      </c>
      <c r="F1021" t="s">
        <v>4999</v>
      </c>
      <c r="G1021" t="s">
        <v>5000</v>
      </c>
      <c r="H1021" t="s">
        <v>66</v>
      </c>
      <c r="I1021" t="s">
        <v>66</v>
      </c>
      <c r="J1021" t="s">
        <v>67</v>
      </c>
      <c r="K1021" t="s">
        <v>71</v>
      </c>
      <c r="L1021" t="s">
        <v>72</v>
      </c>
      <c r="M1021" t="s">
        <v>73</v>
      </c>
      <c r="N1021" t="s">
        <v>66</v>
      </c>
      <c r="O1021" t="s">
        <v>73</v>
      </c>
      <c r="P1021" t="s">
        <v>66</v>
      </c>
      <c r="Q1021" t="s">
        <v>4993</v>
      </c>
      <c r="R1021" t="s">
        <v>73</v>
      </c>
      <c r="S1021" t="s">
        <v>4993</v>
      </c>
      <c r="T1021" t="s">
        <v>5448</v>
      </c>
      <c r="U1021" t="s">
        <v>5449</v>
      </c>
      <c r="V1021" t="s">
        <v>4996</v>
      </c>
      <c r="W1021" t="s">
        <v>66</v>
      </c>
      <c r="X1021" t="s">
        <v>78</v>
      </c>
      <c r="Y1021" t="s">
        <v>5450</v>
      </c>
      <c r="Z1021" t="s">
        <v>287</v>
      </c>
      <c r="AA1021" t="s">
        <v>4998</v>
      </c>
      <c r="AB1021" t="s">
        <v>4998</v>
      </c>
      <c r="AC1021" t="s">
        <v>82</v>
      </c>
      <c r="AD1021" t="s">
        <v>83</v>
      </c>
      <c r="AE1021" t="s">
        <v>66</v>
      </c>
      <c r="AF1021" t="s">
        <v>876</v>
      </c>
    </row>
    <row r="1022" spans="1:32">
      <c r="A1022" t="s">
        <v>502</v>
      </c>
      <c r="B1022" t="s">
        <v>98</v>
      </c>
      <c r="C1022" t="s">
        <v>503</v>
      </c>
      <c r="D1022" t="s">
        <v>66</v>
      </c>
      <c r="E1022" t="s">
        <v>67</v>
      </c>
      <c r="F1022" t="s">
        <v>4999</v>
      </c>
      <c r="G1022" t="s">
        <v>5000</v>
      </c>
      <c r="H1022" t="s">
        <v>66</v>
      </c>
      <c r="I1022" t="s">
        <v>66</v>
      </c>
      <c r="J1022" t="s">
        <v>67</v>
      </c>
      <c r="K1022" t="s">
        <v>71</v>
      </c>
      <c r="L1022" t="s">
        <v>72</v>
      </c>
      <c r="M1022" t="s">
        <v>73</v>
      </c>
      <c r="N1022" t="s">
        <v>66</v>
      </c>
      <c r="O1022" t="s">
        <v>73</v>
      </c>
      <c r="P1022" t="s">
        <v>66</v>
      </c>
      <c r="Q1022" t="s">
        <v>4993</v>
      </c>
      <c r="R1022" t="s">
        <v>73</v>
      </c>
      <c r="S1022" t="s">
        <v>4993</v>
      </c>
      <c r="T1022" t="s">
        <v>5451</v>
      </c>
      <c r="U1022" t="s">
        <v>5452</v>
      </c>
      <c r="V1022" t="s">
        <v>4996</v>
      </c>
      <c r="W1022" t="s">
        <v>66</v>
      </c>
      <c r="X1022" t="s">
        <v>78</v>
      </c>
      <c r="Y1022" t="s">
        <v>5453</v>
      </c>
      <c r="Z1022" t="s">
        <v>287</v>
      </c>
      <c r="AA1022" t="s">
        <v>4998</v>
      </c>
      <c r="AB1022" t="s">
        <v>4998</v>
      </c>
      <c r="AC1022" t="s">
        <v>82</v>
      </c>
      <c r="AD1022" t="s">
        <v>83</v>
      </c>
      <c r="AE1022" t="s">
        <v>66</v>
      </c>
      <c r="AF1022" t="s">
        <v>876</v>
      </c>
    </row>
    <row r="1023" spans="1:32">
      <c r="A1023" t="s">
        <v>5454</v>
      </c>
      <c r="B1023" t="s">
        <v>5455</v>
      </c>
      <c r="C1023" t="s">
        <v>5456</v>
      </c>
      <c r="D1023" t="s">
        <v>66</v>
      </c>
      <c r="E1023" t="s">
        <v>67</v>
      </c>
      <c r="F1023" t="s">
        <v>253</v>
      </c>
      <c r="G1023" t="s">
        <v>254</v>
      </c>
      <c r="H1023" t="s">
        <v>66</v>
      </c>
      <c r="I1023" t="s">
        <v>66</v>
      </c>
      <c r="J1023" t="s">
        <v>67</v>
      </c>
      <c r="K1023" t="s">
        <v>71</v>
      </c>
      <c r="L1023" t="s">
        <v>72</v>
      </c>
      <c r="M1023" t="s">
        <v>73</v>
      </c>
      <c r="N1023" t="s">
        <v>66</v>
      </c>
      <c r="O1023" t="s">
        <v>73</v>
      </c>
      <c r="P1023" t="s">
        <v>66</v>
      </c>
      <c r="Q1023" t="s">
        <v>4993</v>
      </c>
      <c r="R1023" t="s">
        <v>73</v>
      </c>
      <c r="S1023" t="s">
        <v>4993</v>
      </c>
      <c r="T1023" t="s">
        <v>5457</v>
      </c>
      <c r="U1023" t="s">
        <v>5458</v>
      </c>
      <c r="V1023" t="s">
        <v>4996</v>
      </c>
      <c r="W1023" t="s">
        <v>66</v>
      </c>
      <c r="X1023" t="s">
        <v>78</v>
      </c>
      <c r="Y1023" t="s">
        <v>5459</v>
      </c>
      <c r="Z1023" t="s">
        <v>287</v>
      </c>
      <c r="AA1023" t="s">
        <v>4998</v>
      </c>
      <c r="AB1023" t="s">
        <v>4998</v>
      </c>
      <c r="AC1023" t="s">
        <v>82</v>
      </c>
      <c r="AD1023" t="s">
        <v>83</v>
      </c>
      <c r="AE1023" t="s">
        <v>66</v>
      </c>
      <c r="AF1023" t="s">
        <v>876</v>
      </c>
    </row>
    <row r="1024" spans="1:32">
      <c r="A1024" t="s">
        <v>407</v>
      </c>
      <c r="B1024" t="s">
        <v>98</v>
      </c>
      <c r="C1024" t="s">
        <v>408</v>
      </c>
      <c r="D1024" t="s">
        <v>66</v>
      </c>
      <c r="E1024" t="s">
        <v>67</v>
      </c>
      <c r="F1024" t="s">
        <v>4999</v>
      </c>
      <c r="G1024" t="s">
        <v>5000</v>
      </c>
      <c r="H1024" t="s">
        <v>66</v>
      </c>
      <c r="I1024" t="s">
        <v>66</v>
      </c>
      <c r="J1024" t="s">
        <v>67</v>
      </c>
      <c r="K1024" t="s">
        <v>71</v>
      </c>
      <c r="L1024" t="s">
        <v>72</v>
      </c>
      <c r="M1024" t="s">
        <v>73</v>
      </c>
      <c r="N1024" t="s">
        <v>66</v>
      </c>
      <c r="O1024" t="s">
        <v>73</v>
      </c>
      <c r="P1024" t="s">
        <v>66</v>
      </c>
      <c r="Q1024" t="s">
        <v>4993</v>
      </c>
      <c r="R1024" t="s">
        <v>73</v>
      </c>
      <c r="S1024" t="s">
        <v>4993</v>
      </c>
      <c r="T1024" t="s">
        <v>5460</v>
      </c>
      <c r="U1024" t="s">
        <v>5461</v>
      </c>
      <c r="V1024" t="s">
        <v>4996</v>
      </c>
      <c r="W1024" t="s">
        <v>66</v>
      </c>
      <c r="X1024" t="s">
        <v>78</v>
      </c>
      <c r="Y1024" t="s">
        <v>5462</v>
      </c>
      <c r="Z1024" t="s">
        <v>287</v>
      </c>
      <c r="AA1024" t="s">
        <v>4998</v>
      </c>
      <c r="AB1024" t="s">
        <v>4998</v>
      </c>
      <c r="AC1024" t="s">
        <v>82</v>
      </c>
      <c r="AD1024" t="s">
        <v>83</v>
      </c>
      <c r="AE1024" t="s">
        <v>66</v>
      </c>
      <c r="AF1024" t="s">
        <v>876</v>
      </c>
    </row>
    <row r="1025" spans="1:32">
      <c r="A1025" t="s">
        <v>5463</v>
      </c>
      <c r="B1025" t="s">
        <v>5311</v>
      </c>
      <c r="C1025" t="s">
        <v>5464</v>
      </c>
      <c r="D1025" t="s">
        <v>66</v>
      </c>
      <c r="E1025" t="s">
        <v>67</v>
      </c>
      <c r="F1025" t="s">
        <v>88</v>
      </c>
      <c r="G1025" t="s">
        <v>89</v>
      </c>
      <c r="H1025" t="s">
        <v>66</v>
      </c>
      <c r="I1025" t="s">
        <v>66</v>
      </c>
      <c r="J1025" t="s">
        <v>67</v>
      </c>
      <c r="K1025" t="s">
        <v>71</v>
      </c>
      <c r="L1025" t="s">
        <v>72</v>
      </c>
      <c r="M1025" t="s">
        <v>73</v>
      </c>
      <c r="N1025" t="s">
        <v>66</v>
      </c>
      <c r="O1025" t="s">
        <v>73</v>
      </c>
      <c r="P1025" t="s">
        <v>66</v>
      </c>
      <c r="Q1025" t="s">
        <v>4993</v>
      </c>
      <c r="R1025" t="s">
        <v>73</v>
      </c>
      <c r="S1025" t="s">
        <v>4993</v>
      </c>
      <c r="T1025" t="s">
        <v>5465</v>
      </c>
      <c r="U1025" t="s">
        <v>5466</v>
      </c>
      <c r="V1025" t="s">
        <v>4996</v>
      </c>
      <c r="W1025" t="s">
        <v>66</v>
      </c>
      <c r="X1025" t="s">
        <v>78</v>
      </c>
      <c r="Y1025" t="s">
        <v>5467</v>
      </c>
      <c r="Z1025" t="s">
        <v>287</v>
      </c>
      <c r="AA1025" t="s">
        <v>4998</v>
      </c>
      <c r="AB1025" t="s">
        <v>4998</v>
      </c>
      <c r="AC1025" t="s">
        <v>82</v>
      </c>
      <c r="AD1025" t="s">
        <v>83</v>
      </c>
      <c r="AE1025" t="s">
        <v>66</v>
      </c>
      <c r="AF1025" t="s">
        <v>876</v>
      </c>
    </row>
    <row r="1026" spans="1:32">
      <c r="A1026" t="s">
        <v>5468</v>
      </c>
      <c r="B1026" t="s">
        <v>5080</v>
      </c>
      <c r="C1026" t="s">
        <v>5469</v>
      </c>
      <c r="D1026" t="s">
        <v>66</v>
      </c>
      <c r="E1026" t="s">
        <v>67</v>
      </c>
      <c r="F1026" t="s">
        <v>253</v>
      </c>
      <c r="G1026" t="s">
        <v>254</v>
      </c>
      <c r="H1026" t="s">
        <v>66</v>
      </c>
      <c r="I1026" t="s">
        <v>66</v>
      </c>
      <c r="J1026" t="s">
        <v>67</v>
      </c>
      <c r="K1026" t="s">
        <v>71</v>
      </c>
      <c r="L1026" t="s">
        <v>72</v>
      </c>
      <c r="M1026" t="s">
        <v>73</v>
      </c>
      <c r="N1026" t="s">
        <v>66</v>
      </c>
      <c r="O1026" t="s">
        <v>73</v>
      </c>
      <c r="P1026" t="s">
        <v>66</v>
      </c>
      <c r="Q1026" t="s">
        <v>4993</v>
      </c>
      <c r="R1026" t="s">
        <v>73</v>
      </c>
      <c r="S1026" t="s">
        <v>4993</v>
      </c>
      <c r="T1026" t="s">
        <v>5470</v>
      </c>
      <c r="U1026" t="s">
        <v>5471</v>
      </c>
      <c r="V1026" t="s">
        <v>4996</v>
      </c>
      <c r="W1026" t="s">
        <v>66</v>
      </c>
      <c r="X1026" t="s">
        <v>78</v>
      </c>
      <c r="Y1026" t="s">
        <v>5472</v>
      </c>
      <c r="Z1026" t="s">
        <v>287</v>
      </c>
      <c r="AA1026" t="s">
        <v>4998</v>
      </c>
      <c r="AB1026" t="s">
        <v>4998</v>
      </c>
      <c r="AC1026" t="s">
        <v>82</v>
      </c>
      <c r="AD1026" t="s">
        <v>83</v>
      </c>
      <c r="AE1026" t="s">
        <v>66</v>
      </c>
      <c r="AF1026" t="s">
        <v>876</v>
      </c>
    </row>
    <row r="1027" spans="1:32">
      <c r="A1027" t="s">
        <v>5473</v>
      </c>
      <c r="B1027" t="s">
        <v>5234</v>
      </c>
      <c r="C1027" t="s">
        <v>5474</v>
      </c>
      <c r="D1027" t="s">
        <v>66</v>
      </c>
      <c r="E1027" t="s">
        <v>67</v>
      </c>
      <c r="F1027" t="s">
        <v>88</v>
      </c>
      <c r="G1027" t="s">
        <v>89</v>
      </c>
      <c r="H1027" t="s">
        <v>66</v>
      </c>
      <c r="I1027" t="s">
        <v>66</v>
      </c>
      <c r="J1027" t="s">
        <v>67</v>
      </c>
      <c r="K1027" t="s">
        <v>71</v>
      </c>
      <c r="L1027" t="s">
        <v>72</v>
      </c>
      <c r="M1027" t="s">
        <v>73</v>
      </c>
      <c r="N1027" t="s">
        <v>66</v>
      </c>
      <c r="O1027" t="s">
        <v>73</v>
      </c>
      <c r="P1027" t="s">
        <v>66</v>
      </c>
      <c r="Q1027" t="s">
        <v>4993</v>
      </c>
      <c r="R1027" t="s">
        <v>73</v>
      </c>
      <c r="S1027" t="s">
        <v>4993</v>
      </c>
      <c r="T1027" t="s">
        <v>5475</v>
      </c>
      <c r="U1027" t="s">
        <v>5476</v>
      </c>
      <c r="V1027" t="s">
        <v>4996</v>
      </c>
      <c r="W1027" t="s">
        <v>66</v>
      </c>
      <c r="X1027" t="s">
        <v>78</v>
      </c>
      <c r="Y1027" t="s">
        <v>5477</v>
      </c>
      <c r="Z1027" t="s">
        <v>287</v>
      </c>
      <c r="AA1027" t="s">
        <v>4998</v>
      </c>
      <c r="AB1027" t="s">
        <v>4998</v>
      </c>
      <c r="AC1027" t="s">
        <v>82</v>
      </c>
      <c r="AD1027" t="s">
        <v>83</v>
      </c>
      <c r="AE1027" t="s">
        <v>66</v>
      </c>
      <c r="AF1027" t="s">
        <v>876</v>
      </c>
    </row>
    <row r="1028" spans="1:32">
      <c r="A1028" t="s">
        <v>482</v>
      </c>
      <c r="B1028" t="s">
        <v>98</v>
      </c>
      <c r="C1028" t="s">
        <v>483</v>
      </c>
      <c r="D1028" t="s">
        <v>66</v>
      </c>
      <c r="E1028" t="s">
        <v>67</v>
      </c>
      <c r="F1028" t="s">
        <v>4999</v>
      </c>
      <c r="G1028" t="s">
        <v>5000</v>
      </c>
      <c r="H1028" t="s">
        <v>66</v>
      </c>
      <c r="I1028" t="s">
        <v>66</v>
      </c>
      <c r="J1028" t="s">
        <v>67</v>
      </c>
      <c r="K1028" t="s">
        <v>71</v>
      </c>
      <c r="L1028" t="s">
        <v>72</v>
      </c>
      <c r="M1028" t="s">
        <v>73</v>
      </c>
      <c r="N1028" t="s">
        <v>66</v>
      </c>
      <c r="O1028" t="s">
        <v>73</v>
      </c>
      <c r="P1028" t="s">
        <v>66</v>
      </c>
      <c r="Q1028" t="s">
        <v>4993</v>
      </c>
      <c r="R1028" t="s">
        <v>73</v>
      </c>
      <c r="S1028" t="s">
        <v>4993</v>
      </c>
      <c r="T1028" t="s">
        <v>5478</v>
      </c>
      <c r="U1028" t="s">
        <v>5479</v>
      </c>
      <c r="V1028" t="s">
        <v>4996</v>
      </c>
      <c r="W1028" t="s">
        <v>66</v>
      </c>
      <c r="X1028" t="s">
        <v>78</v>
      </c>
      <c r="Y1028" t="s">
        <v>5480</v>
      </c>
      <c r="Z1028" t="s">
        <v>287</v>
      </c>
      <c r="AA1028" t="s">
        <v>4998</v>
      </c>
      <c r="AB1028" t="s">
        <v>4998</v>
      </c>
      <c r="AC1028" t="s">
        <v>82</v>
      </c>
      <c r="AD1028" t="s">
        <v>83</v>
      </c>
      <c r="AE1028" t="s">
        <v>66</v>
      </c>
      <c r="AF1028" t="s">
        <v>876</v>
      </c>
    </row>
    <row r="1029" spans="1:32">
      <c r="A1029" t="s">
        <v>5481</v>
      </c>
      <c r="B1029" t="s">
        <v>5018</v>
      </c>
      <c r="C1029" t="s">
        <v>5482</v>
      </c>
      <c r="D1029" t="s">
        <v>66</v>
      </c>
      <c r="E1029" t="s">
        <v>67</v>
      </c>
      <c r="F1029" t="s">
        <v>253</v>
      </c>
      <c r="G1029" t="s">
        <v>254</v>
      </c>
      <c r="H1029" t="s">
        <v>66</v>
      </c>
      <c r="I1029" t="s">
        <v>66</v>
      </c>
      <c r="J1029" t="s">
        <v>67</v>
      </c>
      <c r="K1029" t="s">
        <v>71</v>
      </c>
      <c r="L1029" t="s">
        <v>72</v>
      </c>
      <c r="M1029" t="s">
        <v>73</v>
      </c>
      <c r="N1029" t="s">
        <v>66</v>
      </c>
      <c r="O1029" t="s">
        <v>73</v>
      </c>
      <c r="P1029" t="s">
        <v>66</v>
      </c>
      <c r="Q1029" t="s">
        <v>4993</v>
      </c>
      <c r="R1029" t="s">
        <v>73</v>
      </c>
      <c r="S1029" t="s">
        <v>4993</v>
      </c>
      <c r="T1029" t="s">
        <v>5483</v>
      </c>
      <c r="U1029" t="s">
        <v>5484</v>
      </c>
      <c r="V1029" t="s">
        <v>4996</v>
      </c>
      <c r="W1029" t="s">
        <v>66</v>
      </c>
      <c r="X1029" t="s">
        <v>78</v>
      </c>
      <c r="Y1029" t="s">
        <v>5485</v>
      </c>
      <c r="Z1029" t="s">
        <v>287</v>
      </c>
      <c r="AA1029" t="s">
        <v>4998</v>
      </c>
      <c r="AB1029" t="s">
        <v>4998</v>
      </c>
      <c r="AC1029" t="s">
        <v>82</v>
      </c>
      <c r="AD1029" t="s">
        <v>83</v>
      </c>
      <c r="AE1029" t="s">
        <v>66</v>
      </c>
      <c r="AF1029" t="s">
        <v>876</v>
      </c>
    </row>
  </sheetData>
  <autoFilter xmlns:etc="http://www.wps.cn/officeDocument/2017/etCustomData" ref="A2:AF1029" etc:filterBottomFollowUsedRange="0">
    <extLst/>
  </autoFilter>
  <mergeCells count="32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pageMargins left="0.7" right="0.7" top="0.75" bottom="0.75" header="0.3" footer="0.3"/>
  <headerFooter/>
  <customProperties>
    <customPr name="BudgetSheetCodeNam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N13"/>
  <sheetViews>
    <sheetView tabSelected="1" workbookViewId="0">
      <selection activeCell="C33" sqref="C33"/>
    </sheetView>
  </sheetViews>
  <sheetFormatPr defaultColWidth="9" defaultRowHeight="13.5"/>
  <cols>
    <col min="1" max="1" width="16.5" customWidth="1"/>
    <col min="2" max="3" width="26"/>
    <col min="4" max="4" width="13.625" customWidth="1"/>
    <col min="5" max="5" width="19.5" customWidth="1"/>
    <col min="6" max="7" width="13.125" customWidth="1"/>
    <col min="9" max="9" width="16.875" customWidth="1"/>
    <col min="10" max="10" width="26.875" customWidth="1"/>
    <col min="11" max="11" width="12.625"/>
    <col min="12" max="12" width="15.75" customWidth="1"/>
    <col min="13" max="13" width="9.375"/>
  </cols>
  <sheetData>
    <row r="1" ht="17.25" spans="1:14">
      <c r="A1" s="219" t="s">
        <v>37</v>
      </c>
      <c r="B1" s="219" t="s">
        <v>38</v>
      </c>
      <c r="C1" s="219" t="s">
        <v>39</v>
      </c>
      <c r="D1" s="219" t="s">
        <v>41</v>
      </c>
      <c r="E1" s="219" t="s">
        <v>5486</v>
      </c>
      <c r="F1" s="220" t="s">
        <v>5487</v>
      </c>
      <c r="G1" s="219" t="s">
        <v>5488</v>
      </c>
      <c r="H1" s="219" t="s">
        <v>5489</v>
      </c>
      <c r="I1" s="219" t="s">
        <v>5490</v>
      </c>
      <c r="J1" s="221" t="s">
        <v>5491</v>
      </c>
      <c r="L1" s="222" t="s">
        <v>5492</v>
      </c>
      <c r="M1" s="223">
        <f>'2026.10.1-'!AA5</f>
        <v>90</v>
      </c>
      <c r="N1" s="222" t="s">
        <v>5493</v>
      </c>
    </row>
    <row r="2" spans="1:14">
      <c r="A2" s="222" t="s">
        <v>68</v>
      </c>
      <c r="B2" s="222" t="s">
        <v>69</v>
      </c>
      <c r="C2" s="222" t="s">
        <v>70</v>
      </c>
      <c r="D2" s="222" t="s">
        <v>67</v>
      </c>
      <c r="E2" s="222"/>
      <c r="F2" s="224">
        <v>7.566</v>
      </c>
      <c r="G2" s="222" t="s">
        <v>5494</v>
      </c>
      <c r="H2" s="225" t="s">
        <v>5495</v>
      </c>
      <c r="I2" s="225" t="s">
        <v>5496</v>
      </c>
      <c r="J2" s="225" t="s">
        <v>5497</v>
      </c>
      <c r="L2" s="222" t="s">
        <v>5498</v>
      </c>
      <c r="M2" s="226">
        <f>'2026.10.1-'!AA11</f>
        <v>52.6630228222902</v>
      </c>
      <c r="N2" s="222" t="s">
        <v>5493</v>
      </c>
    </row>
    <row r="3" spans="1:14">
      <c r="A3" s="222" t="s">
        <v>88</v>
      </c>
      <c r="B3" s="222" t="s">
        <v>89</v>
      </c>
      <c r="C3" s="222" t="s">
        <v>89</v>
      </c>
      <c r="D3" s="222" t="s">
        <v>67</v>
      </c>
      <c r="E3" s="222"/>
      <c r="F3" s="222">
        <v>17.522</v>
      </c>
      <c r="G3" s="222" t="s">
        <v>5494</v>
      </c>
      <c r="H3" s="222" t="s">
        <v>5495</v>
      </c>
      <c r="I3" s="222" t="s">
        <v>5496</v>
      </c>
      <c r="J3" s="222" t="s">
        <v>5499</v>
      </c>
      <c r="L3" s="222" t="s">
        <v>5500</v>
      </c>
      <c r="M3" s="227">
        <f>'2026.10.1-'!Y7</f>
        <v>24.26</v>
      </c>
      <c r="N3" s="222" t="s">
        <v>5493</v>
      </c>
    </row>
    <row r="4" spans="1:14">
      <c r="A4" s="222" t="s">
        <v>100</v>
      </c>
      <c r="B4" s="222" t="s">
        <v>101</v>
      </c>
      <c r="C4" s="222" t="s">
        <v>102</v>
      </c>
      <c r="D4" s="222" t="s">
        <v>67</v>
      </c>
      <c r="E4" s="222" t="s">
        <v>5501</v>
      </c>
      <c r="F4" s="228">
        <f>($M$1*0.982)/1.13</f>
        <v>78.212389380531</v>
      </c>
      <c r="G4" s="222" t="s">
        <v>5502</v>
      </c>
      <c r="H4" s="222"/>
      <c r="I4" s="222"/>
      <c r="J4" s="222"/>
    </row>
    <row r="5" spans="1:14">
      <c r="A5" s="222" t="s">
        <v>110</v>
      </c>
      <c r="B5" s="222" t="s">
        <v>111</v>
      </c>
      <c r="C5" s="222" t="s">
        <v>66</v>
      </c>
      <c r="D5" s="222" t="s">
        <v>67</v>
      </c>
      <c r="E5" s="222" t="s">
        <v>5503</v>
      </c>
      <c r="F5" s="228">
        <f>($M$2*1.039)/1.13</f>
        <v>48.4220183295217</v>
      </c>
      <c r="G5" s="222" t="s">
        <v>5502</v>
      </c>
      <c r="H5" s="222"/>
      <c r="I5" s="222"/>
      <c r="J5" s="222"/>
    </row>
    <row r="6" spans="1:14">
      <c r="A6" s="229" t="s">
        <v>164</v>
      </c>
      <c r="B6" s="229" t="s">
        <v>165</v>
      </c>
      <c r="C6" s="229" t="s">
        <v>166</v>
      </c>
      <c r="D6" s="222" t="s">
        <v>67</v>
      </c>
      <c r="E6" s="222" t="s">
        <v>5504</v>
      </c>
      <c r="F6" s="228">
        <f>($M$1*0.965)/1.13</f>
        <v>76.858407079646</v>
      </c>
      <c r="G6" s="222" t="s">
        <v>5502</v>
      </c>
      <c r="H6" s="222"/>
      <c r="I6" s="222"/>
      <c r="J6" s="222"/>
    </row>
    <row r="7" spans="1:14">
      <c r="A7" s="222" t="s">
        <v>175</v>
      </c>
      <c r="B7" s="222" t="s">
        <v>176</v>
      </c>
      <c r="C7" s="222"/>
      <c r="D7" s="222" t="s">
        <v>67</v>
      </c>
      <c r="E7" s="222" t="s">
        <v>5505</v>
      </c>
      <c r="F7" s="228">
        <f>($M$1*0.9845)/1.13</f>
        <v>78.4115044247788</v>
      </c>
      <c r="G7" s="222" t="s">
        <v>5502</v>
      </c>
      <c r="H7" s="222"/>
      <c r="I7" s="222"/>
      <c r="J7" s="222"/>
    </row>
    <row r="8" spans="1:14">
      <c r="A8" s="222" t="s">
        <v>253</v>
      </c>
      <c r="B8" s="222" t="s">
        <v>254</v>
      </c>
      <c r="C8" s="222"/>
      <c r="D8" s="222" t="s">
        <v>67</v>
      </c>
      <c r="E8" s="222"/>
      <c r="F8" s="224">
        <v>10.177</v>
      </c>
      <c r="G8" s="222" t="s">
        <v>5494</v>
      </c>
      <c r="H8" s="222" t="s">
        <v>5495</v>
      </c>
      <c r="I8" s="222" t="s">
        <v>5496</v>
      </c>
      <c r="J8" s="222" t="s">
        <v>5497</v>
      </c>
    </row>
    <row r="9" spans="1:14">
      <c r="A9" s="222" t="s">
        <v>935</v>
      </c>
      <c r="B9" s="222" t="s">
        <v>936</v>
      </c>
      <c r="C9" s="222" t="s">
        <v>937</v>
      </c>
      <c r="D9" s="222" t="s">
        <v>67</v>
      </c>
      <c r="E9" s="222"/>
      <c r="F9" s="222">
        <v>172.832</v>
      </c>
      <c r="G9" s="222" t="s">
        <v>5494</v>
      </c>
      <c r="H9" s="222" t="s">
        <v>5495</v>
      </c>
      <c r="I9" s="222" t="s">
        <v>5496</v>
      </c>
      <c r="J9" s="222" t="s">
        <v>5506</v>
      </c>
    </row>
    <row r="10" spans="1:14">
      <c r="A10" s="222" t="s">
        <v>947</v>
      </c>
      <c r="B10" s="222" t="s">
        <v>948</v>
      </c>
      <c r="C10" s="222"/>
      <c r="D10" s="222" t="s">
        <v>67</v>
      </c>
      <c r="E10" s="222"/>
      <c r="F10" s="224">
        <v>1.673</v>
      </c>
      <c r="G10" s="222" t="s">
        <v>5494</v>
      </c>
      <c r="H10" s="222" t="s">
        <v>5495</v>
      </c>
      <c r="I10" s="222" t="s">
        <v>5496</v>
      </c>
      <c r="J10" s="222" t="s">
        <v>5497</v>
      </c>
    </row>
    <row r="11" s="218" customFormat="1" spans="1:14">
      <c r="A11" s="230" t="s">
        <v>988</v>
      </c>
      <c r="B11" s="230" t="s">
        <v>989</v>
      </c>
      <c r="C11" s="230"/>
      <c r="D11" s="230" t="s">
        <v>67</v>
      </c>
      <c r="E11" s="230"/>
      <c r="F11" s="231">
        <v>2.6283185840708</v>
      </c>
      <c r="G11" s="230" t="s">
        <v>5494</v>
      </c>
      <c r="H11" s="230" t="s">
        <v>5495</v>
      </c>
      <c r="I11" s="230" t="s">
        <v>5496</v>
      </c>
      <c r="J11" s="230" t="s">
        <v>5497</v>
      </c>
    </row>
    <row r="12" spans="1:14">
      <c r="A12" s="222" t="s">
        <v>1321</v>
      </c>
      <c r="B12" s="222" t="s">
        <v>1322</v>
      </c>
      <c r="C12" s="222"/>
      <c r="D12" s="222" t="s">
        <v>67</v>
      </c>
      <c r="E12" s="222" t="s">
        <v>5507</v>
      </c>
      <c r="F12" s="228">
        <f>($M$3*0.76)/1.13</f>
        <v>16.3164601769912</v>
      </c>
      <c r="G12" s="222" t="s">
        <v>5502</v>
      </c>
      <c r="H12" s="222"/>
      <c r="I12" s="222"/>
      <c r="J12" s="222"/>
    </row>
    <row r="13" spans="1:14">
      <c r="A13" s="222" t="s">
        <v>4999</v>
      </c>
      <c r="B13" s="222" t="s">
        <v>5000</v>
      </c>
      <c r="C13" s="222"/>
      <c r="D13" s="222" t="s">
        <v>67</v>
      </c>
      <c r="E13" s="222" t="s">
        <v>5501</v>
      </c>
      <c r="F13" s="228">
        <f>($M$1*0.982)/1.13</f>
        <v>78.212389380531</v>
      </c>
      <c r="G13" s="222" t="s">
        <v>5502</v>
      </c>
      <c r="H13" s="222"/>
      <c r="I13" s="222"/>
      <c r="J13" s="222"/>
    </row>
  </sheetData>
  <autoFilter xmlns:etc="http://www.wps.cn/officeDocument/2017/etCustomData" ref="A1:D13" etc:filterBottomFollowUsedRange="0">
    <extLst/>
  </autoFilter>
  <pageMargins left="0.75" right="0.75" top="1" bottom="1" header="0.5" footer="0.5"/>
  <headerFooter/>
  <customProperties>
    <customPr name="BudgetSheetCodeName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G105"/>
  <sheetViews>
    <sheetView zoomScale="120" zoomScaleNormal="120" workbookViewId="0">
      <pane xSplit="2" ySplit="4" topLeftCell="D5" activePane="bottomRight" state="frozen"/>
      <selection/>
      <selection pane="topRight"/>
      <selection pane="bottomLeft"/>
      <selection pane="bottomRight" activeCell="AE24" sqref="AE24"/>
    </sheetView>
  </sheetViews>
  <sheetFormatPr defaultColWidth="9" defaultRowHeight="15" customHeight="1"/>
  <cols>
    <col min="1" max="1" width="5.75" style="4" hidden="1" customWidth="1"/>
    <col min="2" max="2" width="18.75" style="5" hidden="1" customWidth="1"/>
    <col min="3" max="3" width="10.2833333333333" style="6" hidden="1" customWidth="1"/>
    <col min="4" max="4" width="8.75" style="7" hidden="1" customWidth="1"/>
    <col min="5" max="5" width="31.3" style="8" hidden="1" customWidth="1"/>
    <col min="6" max="6" width="22.4" style="9" hidden="1" customWidth="1"/>
    <col min="7" max="7" width="10.6166666666667" style="10" hidden="1" customWidth="1"/>
    <col min="8" max="8" width="9.70833333333333" style="10" hidden="1" customWidth="1"/>
    <col min="9" max="9" width="13.8" style="11" hidden="1" customWidth="1"/>
    <col min="10" max="10" width="2.80833333333333" style="12" hidden="1" customWidth="1"/>
    <col min="11" max="11" width="3.225" style="12" hidden="1" customWidth="1"/>
    <col min="12" max="12" width="16.975" style="12" hidden="1" customWidth="1"/>
    <col min="13" max="13" width="9.89166666666667" style="1" hidden="1" customWidth="1"/>
    <col min="14" max="14" width="10.0916666666667" style="12" hidden="1" customWidth="1"/>
    <col min="15" max="15" width="8.125" style="12" hidden="1" customWidth="1"/>
    <col min="16" max="16" width="7.80833333333333" style="12" hidden="1" customWidth="1"/>
    <col min="17" max="17" width="12.9166666666667" style="12" hidden="1" customWidth="1"/>
    <col min="18" max="18" width="7.91666666666667" style="12" hidden="1" customWidth="1"/>
    <col min="19" max="19" width="7.80833333333333" style="12" hidden="1" customWidth="1"/>
    <col min="20" max="20" width="6.86666666666667" style="12" hidden="1" customWidth="1"/>
    <col min="21" max="21" width="5.1" style="12" hidden="1" customWidth="1"/>
    <col min="22" max="22" width="17.3916666666667" style="12" customWidth="1"/>
    <col min="23" max="23" width="24.375" style="12" customWidth="1"/>
    <col min="24" max="24" width="9.58333333333333" style="12" customWidth="1"/>
    <col min="25" max="25" width="13.4333333333333" style="12" customWidth="1"/>
    <col min="26" max="26" width="10.3166666666667" style="12" customWidth="1"/>
    <col min="27" max="27" width="10.5166666666667" style="12" customWidth="1"/>
    <col min="28" max="28" width="9.475" style="12" customWidth="1"/>
    <col min="29" max="29" width="9.375" style="12" customWidth="1"/>
    <col min="30" max="30" width="9" style="12"/>
    <col min="31" max="31" width="10.2083333333333" style="12" customWidth="1"/>
    <col min="32" max="32" width="9" style="12"/>
    <col min="33" max="33" width="9.25" style="12"/>
    <col min="34" max="16384" width="9" style="12"/>
  </cols>
  <sheetData>
    <row r="1" ht="8" customHeight="1"/>
    <row r="2" ht="18" customHeight="1" spans="1:33">
      <c r="A2" s="13" t="s">
        <v>5508</v>
      </c>
      <c r="B2" s="13"/>
      <c r="C2" s="13"/>
      <c r="D2" s="13"/>
      <c r="E2" s="13"/>
      <c r="F2" s="13"/>
      <c r="G2" s="13"/>
      <c r="H2" s="13"/>
      <c r="I2" s="14"/>
      <c r="J2" s="2"/>
      <c r="K2" s="2"/>
      <c r="M2" s="15" t="s">
        <v>5509</v>
      </c>
      <c r="N2" s="16" t="s">
        <v>5510</v>
      </c>
      <c r="O2" s="17" t="s">
        <v>5511</v>
      </c>
      <c r="P2" s="18"/>
      <c r="Q2" s="17" t="s">
        <v>5512</v>
      </c>
      <c r="R2" s="18"/>
      <c r="S2" s="17" t="s">
        <v>5513</v>
      </c>
      <c r="T2" s="19"/>
    </row>
    <row r="3" s="1" customFormat="1" ht="20" customHeight="1" spans="1:33">
      <c r="A3" s="20" t="s">
        <v>5514</v>
      </c>
      <c r="B3" s="21" t="s">
        <v>5515</v>
      </c>
      <c r="C3" s="22" t="s">
        <v>5516</v>
      </c>
      <c r="D3" s="23"/>
      <c r="E3" s="24"/>
      <c r="F3" s="25" t="s">
        <v>5515</v>
      </c>
      <c r="G3" s="22" t="s">
        <v>5516</v>
      </c>
      <c r="H3" s="26"/>
      <c r="I3" s="27"/>
      <c r="J3" s="28"/>
      <c r="K3" s="28"/>
      <c r="L3" s="29" t="s">
        <v>5517</v>
      </c>
      <c r="M3" s="30">
        <v>110.506</v>
      </c>
      <c r="N3" s="31">
        <f>(C5-M3)/M3</f>
        <v>-0.185564584728431</v>
      </c>
      <c r="O3" s="32">
        <v>100</v>
      </c>
      <c r="P3" s="33">
        <f>(O3-M3)/M3</f>
        <v>-0.0950717608093678</v>
      </c>
      <c r="Q3" s="32">
        <v>110</v>
      </c>
      <c r="R3" s="34">
        <f>(Q3-M3)/M3</f>
        <v>-0.0045789368903046</v>
      </c>
      <c r="S3" s="32">
        <v>120</v>
      </c>
      <c r="T3" s="35">
        <f>(S3-M3)/M3</f>
        <v>0.0859138870287586</v>
      </c>
      <c r="U3" s="12"/>
      <c r="V3" s="12"/>
    </row>
    <row r="4" ht="26" customHeight="1" spans="1:33">
      <c r="A4" s="36"/>
      <c r="B4" s="37"/>
      <c r="C4" s="38" t="s">
        <v>5518</v>
      </c>
      <c r="D4" s="39" t="s">
        <v>5519</v>
      </c>
      <c r="E4" s="40"/>
      <c r="F4" s="41"/>
      <c r="G4" s="38" t="s">
        <v>5518</v>
      </c>
      <c r="H4" s="42" t="s">
        <v>5519</v>
      </c>
      <c r="I4" s="14"/>
      <c r="J4" s="2"/>
      <c r="K4" s="2"/>
      <c r="L4" s="43" t="s">
        <v>5520</v>
      </c>
      <c r="M4" s="30">
        <v>26.566</v>
      </c>
      <c r="N4" s="44">
        <f t="shared" ref="N4:N6" si="0">M4*(1+$N$3)</f>
        <v>21.6362912421045</v>
      </c>
      <c r="O4" s="45">
        <f>$M$4*(1+$P$3)</f>
        <v>24.0403236023383</v>
      </c>
      <c r="P4" s="46"/>
      <c r="Q4" s="45">
        <f>ROUND($M$4*(1+$R$3),3)</f>
        <v>26.444</v>
      </c>
      <c r="R4" s="47"/>
      <c r="S4" s="45">
        <f>M4*(1+T3)</f>
        <v>28.848388322806</v>
      </c>
      <c r="T4" s="48"/>
      <c r="V4" s="49" t="s">
        <v>5521</v>
      </c>
      <c r="W4" s="50" t="s">
        <v>5522</v>
      </c>
      <c r="X4" s="50" t="s">
        <v>5523</v>
      </c>
      <c r="Y4" s="51" t="s">
        <v>5524</v>
      </c>
      <c r="Z4" s="52" t="s">
        <v>5525</v>
      </c>
      <c r="AA4" s="50"/>
      <c r="AB4" s="53" t="s">
        <v>5526</v>
      </c>
      <c r="AC4" s="54"/>
      <c r="AD4" s="53" t="s">
        <v>5527</v>
      </c>
      <c r="AE4" s="54"/>
      <c r="AF4" s="53" t="s">
        <v>5528</v>
      </c>
      <c r="AG4" s="55"/>
    </row>
    <row r="5" ht="14.85" customHeight="1" spans="1:33">
      <c r="A5" s="56">
        <v>1</v>
      </c>
      <c r="B5" s="57" t="s">
        <v>5529</v>
      </c>
      <c r="C5" s="58">
        <v>90</v>
      </c>
      <c r="D5" s="59">
        <v>90</v>
      </c>
      <c r="E5" s="40"/>
      <c r="F5" s="60" t="s">
        <v>5530</v>
      </c>
      <c r="G5" s="61">
        <v>15772.86</v>
      </c>
      <c r="H5" s="62">
        <v>15822.95</v>
      </c>
      <c r="I5" s="14"/>
      <c r="J5" s="63"/>
      <c r="K5" s="64"/>
      <c r="L5" s="43" t="str">
        <f>B7</f>
        <v>美国柜装黄铜(不含税)</v>
      </c>
      <c r="M5" s="30">
        <v>64.662</v>
      </c>
      <c r="N5" s="44">
        <f t="shared" si="0"/>
        <v>52.6630228222902</v>
      </c>
      <c r="O5" s="65"/>
      <c r="P5" s="66"/>
      <c r="Q5" s="65"/>
      <c r="R5" s="66"/>
      <c r="S5" s="65"/>
      <c r="T5" s="67"/>
      <c r="V5" s="68" t="s">
        <v>5531</v>
      </c>
      <c r="W5" s="69" t="s">
        <v>5532</v>
      </c>
      <c r="X5" s="70" t="s">
        <v>5533</v>
      </c>
      <c r="Y5" s="71">
        <v>110.506</v>
      </c>
      <c r="Z5" s="72">
        <f>(AA5-Y5)/Y5</f>
        <v>-0.185564584728431</v>
      </c>
      <c r="AA5" s="73">
        <f>D5</f>
        <v>90</v>
      </c>
      <c r="AB5" s="72">
        <f>(AC5-Y5)/Y5</f>
        <v>-0.0950717608093678</v>
      </c>
      <c r="AC5" s="70">
        <v>100</v>
      </c>
      <c r="AD5" s="72">
        <f>(AE5-Y5)/Y5</f>
        <v>-0.0045789368903046</v>
      </c>
      <c r="AE5" s="70">
        <v>110</v>
      </c>
      <c r="AF5" s="72">
        <f>(AG5-Y5)/Y5</f>
        <v>0.0859138870287586</v>
      </c>
      <c r="AG5" s="74">
        <v>120</v>
      </c>
    </row>
    <row r="6" ht="14.85" customHeight="1" spans="1:33">
      <c r="A6" s="56">
        <v>2</v>
      </c>
      <c r="B6" s="57" t="s">
        <v>5534</v>
      </c>
      <c r="C6" s="58">
        <f t="shared" ref="C6:C8" si="1">N4</f>
        <v>21.6362912421045</v>
      </c>
      <c r="D6" s="59">
        <v>21.2262742785538</v>
      </c>
      <c r="E6" s="57"/>
      <c r="F6" s="75" t="s">
        <v>5535</v>
      </c>
      <c r="G6" s="76">
        <v>411.464</v>
      </c>
      <c r="H6" s="62">
        <v>426.488</v>
      </c>
      <c r="I6" s="14"/>
      <c r="J6" s="63"/>
      <c r="K6" s="64"/>
      <c r="L6" s="43" t="str">
        <f>B8</f>
        <v>H65黄铜边料(不含税)</v>
      </c>
      <c r="M6" s="30">
        <v>67.462</v>
      </c>
      <c r="N6" s="44">
        <f t="shared" si="0"/>
        <v>54.9434419850506</v>
      </c>
      <c r="O6" s="65"/>
      <c r="P6" s="66"/>
      <c r="Q6" s="65"/>
      <c r="R6" s="66"/>
      <c r="S6" s="65"/>
      <c r="T6" s="67"/>
      <c r="V6" s="68" t="s">
        <v>5536</v>
      </c>
      <c r="W6" s="69" t="s">
        <v>5537</v>
      </c>
      <c r="X6" s="70" t="s">
        <v>5533</v>
      </c>
      <c r="Y6" s="71">
        <v>26.566</v>
      </c>
      <c r="Z6" s="77"/>
      <c r="AA6" s="78">
        <f>Y6*(1+$Z$5)</f>
        <v>21.6362912421045</v>
      </c>
      <c r="AB6" s="70"/>
      <c r="AC6" s="78">
        <f>Y6*(1+$AB$5)</f>
        <v>24.0403236023383</v>
      </c>
      <c r="AD6" s="70"/>
      <c r="AE6" s="78">
        <f t="shared" ref="AE6:AE12" si="2">Y6*(1+$AD$5)</f>
        <v>26.4443559625722</v>
      </c>
      <c r="AF6" s="70"/>
      <c r="AG6" s="79">
        <f t="shared" ref="AG6:AG12" si="3">Y6*(1+$AF$5)</f>
        <v>28.848388322806</v>
      </c>
    </row>
    <row r="7" ht="14.25" customHeight="1" spans="1:33">
      <c r="A7" s="56">
        <v>3</v>
      </c>
      <c r="B7" s="57" t="s">
        <v>5538</v>
      </c>
      <c r="C7" s="58">
        <f t="shared" si="1"/>
        <v>52.6630228222902</v>
      </c>
      <c r="D7" s="59">
        <v>52.6929384881878</v>
      </c>
      <c r="E7" s="57"/>
      <c r="F7" s="75" t="s">
        <v>5539</v>
      </c>
      <c r="G7" s="76">
        <v>24.26</v>
      </c>
      <c r="H7" s="62">
        <v>23.87</v>
      </c>
      <c r="I7" s="80"/>
      <c r="J7" s="63"/>
      <c r="K7" s="64"/>
      <c r="L7" s="43" t="s">
        <v>5540</v>
      </c>
      <c r="M7" s="30">
        <v>783.864</v>
      </c>
      <c r="N7" s="81" t="s">
        <v>5541</v>
      </c>
      <c r="O7" s="65"/>
      <c r="P7" s="66"/>
      <c r="Q7" s="65"/>
      <c r="R7" s="66"/>
      <c r="S7" s="65"/>
      <c r="T7" s="67"/>
      <c r="V7" s="68" t="s">
        <v>5542</v>
      </c>
      <c r="W7" s="82" t="s">
        <v>5543</v>
      </c>
      <c r="X7" s="70" t="s">
        <v>5533</v>
      </c>
      <c r="Y7" s="71">
        <v>24.26</v>
      </c>
      <c r="Z7" s="83"/>
      <c r="AA7" s="73"/>
      <c r="AB7" s="70"/>
      <c r="AC7" s="70"/>
      <c r="AD7" s="70"/>
      <c r="AE7" s="70"/>
      <c r="AF7" s="70"/>
      <c r="AG7" s="74"/>
    </row>
    <row r="8" ht="14.85" customHeight="1" spans="1:33">
      <c r="A8" s="56">
        <v>4</v>
      </c>
      <c r="B8" s="57" t="s">
        <v>5544</v>
      </c>
      <c r="C8" s="58">
        <f t="shared" si="1"/>
        <v>54.9434419850506</v>
      </c>
      <c r="D8" s="59">
        <v>55.0148343345741</v>
      </c>
      <c r="E8" s="57"/>
      <c r="F8" s="75" t="s">
        <v>5545</v>
      </c>
      <c r="G8" s="76">
        <f t="shared" ref="G8:G12" si="4">I8/1000</f>
        <v>15.73125</v>
      </c>
      <c r="H8" s="62">
        <v>16.1571428571429</v>
      </c>
      <c r="I8" s="84">
        <v>15731.25</v>
      </c>
      <c r="J8" s="63"/>
      <c r="K8" s="64"/>
      <c r="L8" s="43" t="s">
        <v>5540</v>
      </c>
      <c r="M8" s="85">
        <v>824.405</v>
      </c>
      <c r="N8" s="81" t="s">
        <v>5546</v>
      </c>
      <c r="O8" s="65"/>
      <c r="P8" s="66"/>
      <c r="Q8" s="65"/>
      <c r="R8" s="66"/>
      <c r="S8" s="65"/>
      <c r="T8" s="67"/>
      <c r="V8" s="68" t="s">
        <v>5547</v>
      </c>
      <c r="W8" s="82" t="s">
        <v>5548</v>
      </c>
      <c r="X8" s="70" t="s">
        <v>5533</v>
      </c>
      <c r="Y8" s="71">
        <v>15772.86</v>
      </c>
      <c r="Z8" s="83"/>
      <c r="AA8" s="73"/>
      <c r="AB8" s="70"/>
      <c r="AC8" s="70"/>
      <c r="AD8" s="70"/>
      <c r="AE8" s="70"/>
      <c r="AF8" s="70"/>
      <c r="AG8" s="74"/>
    </row>
    <row r="9" ht="14.85" customHeight="1" spans="1:33">
      <c r="A9" s="56">
        <v>5</v>
      </c>
      <c r="B9" s="57" t="s">
        <v>5549</v>
      </c>
      <c r="C9" s="86" t="e">
        <f>((C7*0.6+C8*0.4)*1.08+0.7)/1.13/AA</f>
        <v>#NAME?</v>
      </c>
      <c r="D9" s="86" t="e">
        <v>#NAME?</v>
      </c>
      <c r="E9" s="57"/>
      <c r="F9" s="75" t="s">
        <v>5550</v>
      </c>
      <c r="G9" s="76">
        <f t="shared" si="4"/>
        <v>15.63125</v>
      </c>
      <c r="H9" s="62">
        <v>16.0571428571429</v>
      </c>
      <c r="I9" s="84">
        <v>15631.25</v>
      </c>
      <c r="J9" s="63"/>
      <c r="K9" s="64"/>
      <c r="L9" s="87" t="s">
        <v>5540</v>
      </c>
      <c r="M9" s="88">
        <v>775.909090909091</v>
      </c>
      <c r="N9" s="89" t="s">
        <v>5551</v>
      </c>
      <c r="O9" s="90"/>
      <c r="P9" s="91"/>
      <c r="Q9" s="90"/>
      <c r="R9" s="91"/>
      <c r="S9" s="90"/>
      <c r="T9" s="92"/>
      <c r="V9" s="68" t="s">
        <v>5552</v>
      </c>
      <c r="W9" s="69" t="s">
        <v>5553</v>
      </c>
      <c r="X9" s="70" t="s">
        <v>5533</v>
      </c>
      <c r="Y9" s="71">
        <v>110.506</v>
      </c>
      <c r="Z9" s="93"/>
      <c r="AA9" s="94">
        <f>AA5</f>
        <v>90</v>
      </c>
      <c r="AB9" s="70"/>
      <c r="AC9" s="95">
        <v>100</v>
      </c>
      <c r="AD9" s="70"/>
      <c r="AE9" s="78">
        <f t="shared" si="2"/>
        <v>110</v>
      </c>
      <c r="AF9" s="70"/>
      <c r="AG9" s="79">
        <f t="shared" si="3"/>
        <v>120</v>
      </c>
    </row>
    <row r="10" ht="14.85" customHeight="1" spans="1:33">
      <c r="A10" s="56">
        <v>6</v>
      </c>
      <c r="B10" s="57" t="s">
        <v>5554</v>
      </c>
      <c r="C10" s="86">
        <f>((C5*0.15+C6*0.1+C7*0.75*1.05)*1.02+0.05)/1.13</f>
        <v>51.6181192820347</v>
      </c>
      <c r="D10" s="86">
        <v>51.60237417438</v>
      </c>
      <c r="E10" s="57"/>
      <c r="F10" s="75" t="s">
        <v>5555</v>
      </c>
      <c r="G10" s="76">
        <f t="shared" si="4"/>
        <v>15.53125</v>
      </c>
      <c r="H10" s="62">
        <v>15.9571428571429</v>
      </c>
      <c r="I10" s="84">
        <v>15531.25</v>
      </c>
      <c r="J10" s="63"/>
      <c r="K10" s="64"/>
      <c r="M10" s="12"/>
      <c r="V10" s="68" t="s">
        <v>5556</v>
      </c>
      <c r="W10" s="82" t="s">
        <v>5557</v>
      </c>
      <c r="X10" s="70" t="s">
        <v>5533</v>
      </c>
      <c r="Y10" s="71">
        <v>411.464</v>
      </c>
      <c r="Z10" s="83"/>
      <c r="AA10" s="96"/>
      <c r="AB10" s="70"/>
      <c r="AC10" s="70"/>
      <c r="AD10" s="70"/>
      <c r="AE10" s="70"/>
      <c r="AF10" s="70"/>
      <c r="AG10" s="74"/>
    </row>
    <row r="11" ht="14.85" customHeight="1" spans="1:33">
      <c r="A11" s="56">
        <v>7</v>
      </c>
      <c r="B11" s="57" t="s">
        <v>5558</v>
      </c>
      <c r="C11" s="86" t="e">
        <f>((C7*0.6+C8*0.4)*1.08/1.17*1.13+1.1/1.17*1.13)/1.13/AA</f>
        <v>#NAME?</v>
      </c>
      <c r="D11" s="86" t="e">
        <v>#NAME?</v>
      </c>
      <c r="E11" s="57"/>
      <c r="F11" s="75" t="s">
        <v>5559</v>
      </c>
      <c r="G11" s="76">
        <f t="shared" si="4"/>
        <v>15.53125</v>
      </c>
      <c r="H11" s="62">
        <v>15.9571428571429</v>
      </c>
      <c r="I11" s="84">
        <v>15531.25</v>
      </c>
      <c r="J11" s="63"/>
      <c r="K11" s="64"/>
      <c r="M11" s="12"/>
      <c r="V11" s="97" t="s">
        <v>5498</v>
      </c>
      <c r="W11" s="82" t="s">
        <v>5498</v>
      </c>
      <c r="X11" s="70" t="s">
        <v>5533</v>
      </c>
      <c r="Y11" s="71">
        <v>64.662</v>
      </c>
      <c r="Z11" s="83"/>
      <c r="AA11" s="78">
        <f>Y11*(1+$Z$5)</f>
        <v>52.6630228222902</v>
      </c>
      <c r="AB11" s="70"/>
      <c r="AC11" s="78">
        <f>AA11*(1+$AB$5)</f>
        <v>47.6562565130311</v>
      </c>
      <c r="AD11" s="70"/>
      <c r="AE11" s="78">
        <f t="shared" si="2"/>
        <v>64.3659167827991</v>
      </c>
      <c r="AF11" s="70"/>
      <c r="AG11" s="79">
        <f t="shared" si="3"/>
        <v>70.2173637630536</v>
      </c>
    </row>
    <row r="12" ht="14.85" customHeight="1" spans="1:33">
      <c r="A12" s="56">
        <v>8</v>
      </c>
      <c r="B12" s="57" t="s">
        <v>5560</v>
      </c>
      <c r="C12" s="86">
        <f>(($C$5*0.15+$C$6*0.1+$C$7*0.75*1.05)*1.02+0.45)/1.13</f>
        <v>51.9721015829197</v>
      </c>
      <c r="D12" s="86">
        <v>51.9563564752649</v>
      </c>
      <c r="E12" s="57"/>
      <c r="F12" s="75" t="s">
        <v>5561</v>
      </c>
      <c r="G12" s="76">
        <f t="shared" si="4"/>
        <v>15.43125</v>
      </c>
      <c r="H12" s="62">
        <v>15.8571428571429</v>
      </c>
      <c r="I12" s="98">
        <v>15431.25</v>
      </c>
      <c r="J12" s="63"/>
      <c r="K12" s="64"/>
      <c r="M12" s="12"/>
      <c r="Q12" s="12">
        <f>M4*(1+R3)</f>
        <v>26.4443559625722</v>
      </c>
      <c r="V12" s="97" t="s">
        <v>5562</v>
      </c>
      <c r="W12" s="82" t="s">
        <v>5562</v>
      </c>
      <c r="X12" s="70" t="s">
        <v>5533</v>
      </c>
      <c r="Y12" s="71">
        <v>67.462</v>
      </c>
      <c r="Z12" s="83"/>
      <c r="AA12" s="78">
        <f>Y12*(1+$Z$5)</f>
        <v>54.9434419850506</v>
      </c>
      <c r="AB12" s="70"/>
      <c r="AC12" s="78">
        <f>AA12*(1+$AB$5)</f>
        <v>49.7198722106045</v>
      </c>
      <c r="AD12" s="70"/>
      <c r="AE12" s="78">
        <f t="shared" si="2"/>
        <v>67.1530957595063</v>
      </c>
      <c r="AF12" s="70"/>
      <c r="AG12" s="79">
        <f t="shared" si="3"/>
        <v>73.2579226467341</v>
      </c>
    </row>
    <row r="13" ht="14.85" customHeight="1" spans="1:33">
      <c r="A13" s="56">
        <v>9</v>
      </c>
      <c r="B13" s="57" t="s">
        <v>5563</v>
      </c>
      <c r="C13" s="86">
        <f>(C5*0.59/0.98+C6*0.41/0.95+1.35)/1.13</f>
        <v>57.4083551049662</v>
      </c>
      <c r="D13" s="86">
        <v>57.2517580345835</v>
      </c>
      <c r="E13" s="57"/>
      <c r="F13" s="99" t="s">
        <v>5564</v>
      </c>
      <c r="G13" s="100">
        <v>938.91</v>
      </c>
      <c r="H13" s="62">
        <v>952.52</v>
      </c>
      <c r="I13" s="101"/>
      <c r="J13" s="63"/>
      <c r="K13" s="64"/>
      <c r="M13" s="12"/>
      <c r="V13" s="102" t="s">
        <v>5565</v>
      </c>
      <c r="W13" s="70" t="s">
        <v>5565</v>
      </c>
      <c r="X13" s="70" t="s">
        <v>5566</v>
      </c>
      <c r="Y13" s="71">
        <v>938.91</v>
      </c>
      <c r="Z13" s="103"/>
      <c r="AA13" s="70"/>
      <c r="AB13" s="70"/>
      <c r="AC13" s="70"/>
      <c r="AD13" s="70"/>
      <c r="AE13" s="70"/>
      <c r="AF13" s="70"/>
      <c r="AG13" s="74"/>
    </row>
    <row r="14" ht="14.85" customHeight="1" spans="1:33">
      <c r="A14" s="56">
        <v>10</v>
      </c>
      <c r="B14" s="57" t="s">
        <v>5567</v>
      </c>
      <c r="C14" s="86">
        <f>(C5*0.6/0.98+C6*0.4/0.95+1.7)/1.13</f>
        <v>58.3292550278081</v>
      </c>
      <c r="D14" s="86">
        <v>58.1764773981665</v>
      </c>
      <c r="E14" s="57" t="s">
        <v>5568</v>
      </c>
      <c r="F14" s="99" t="s">
        <v>5569</v>
      </c>
      <c r="G14" s="76">
        <v>4.267</v>
      </c>
      <c r="H14" s="62">
        <v>4.263</v>
      </c>
      <c r="I14" s="14"/>
      <c r="J14" s="63"/>
      <c r="K14" s="64"/>
      <c r="M14" s="12"/>
      <c r="R14" s="104"/>
      <c r="V14" s="105" t="s">
        <v>5569</v>
      </c>
      <c r="W14" s="106" t="s">
        <v>5569</v>
      </c>
      <c r="X14" s="70" t="s">
        <v>5533</v>
      </c>
      <c r="Y14" s="71">
        <v>4.267</v>
      </c>
      <c r="Z14" s="103"/>
      <c r="AA14" s="107"/>
      <c r="AB14" s="70"/>
      <c r="AC14" s="70"/>
      <c r="AD14" s="70"/>
      <c r="AE14" s="70"/>
      <c r="AF14" s="70"/>
      <c r="AG14" s="74"/>
    </row>
    <row r="15" ht="24" customHeight="1" spans="1:33">
      <c r="A15" s="56">
        <v>11</v>
      </c>
      <c r="B15" s="108" t="s">
        <v>5570</v>
      </c>
      <c r="C15" s="86">
        <f>((C5*0.6+C6*0.4)*1.02+0.8)/1.13</f>
        <v>57.2633688732554</v>
      </c>
      <c r="D15" s="86">
        <v>57.1153273501327</v>
      </c>
      <c r="E15" s="57" t="s">
        <v>5571</v>
      </c>
      <c r="F15" s="109" t="s">
        <v>5572</v>
      </c>
      <c r="G15" s="76">
        <f>ROUND(0.35*$M$7+89.835,3)/1.13</f>
        <v>322.289380530974</v>
      </c>
      <c r="H15" s="62">
        <v>334.846902654867</v>
      </c>
      <c r="I15" s="110">
        <f>G15*1.13</f>
        <v>364.187</v>
      </c>
      <c r="J15" s="63"/>
      <c r="K15" s="64"/>
      <c r="M15" s="12"/>
      <c r="V15" s="68" t="s">
        <v>5573</v>
      </c>
      <c r="W15" s="82" t="s">
        <v>5574</v>
      </c>
      <c r="X15" s="70" t="s">
        <v>5575</v>
      </c>
      <c r="Y15" s="71">
        <v>126876</v>
      </c>
      <c r="Z15" s="83"/>
      <c r="AA15" s="111"/>
      <c r="AB15" s="70"/>
      <c r="AC15" s="70"/>
      <c r="AD15" s="70"/>
      <c r="AE15" s="70"/>
      <c r="AF15" s="70"/>
      <c r="AG15" s="74"/>
    </row>
    <row r="16" ht="24" customHeight="1" spans="1:33">
      <c r="A16" s="56">
        <v>12</v>
      </c>
      <c r="B16" s="57" t="s">
        <v>5576</v>
      </c>
      <c r="C16" s="86">
        <f>C13</f>
        <v>57.4083551049662</v>
      </c>
      <c r="D16" s="86">
        <v>57.2517580345835</v>
      </c>
      <c r="E16" s="57" t="s">
        <v>5577</v>
      </c>
      <c r="F16" s="75"/>
      <c r="G16" s="112"/>
      <c r="H16" s="113"/>
      <c r="I16" s="14"/>
      <c r="J16" s="63"/>
      <c r="K16" s="64"/>
      <c r="M16" s="12"/>
      <c r="V16" s="68" t="s">
        <v>5578</v>
      </c>
      <c r="W16" s="114" t="s">
        <v>5579</v>
      </c>
      <c r="X16" s="70" t="s">
        <v>5533</v>
      </c>
      <c r="Y16" s="71">
        <v>115.989</v>
      </c>
      <c r="Z16" s="115"/>
      <c r="AA16" s="111"/>
      <c r="AB16" s="70"/>
      <c r="AC16" s="70"/>
      <c r="AD16" s="70"/>
      <c r="AE16" s="70"/>
      <c r="AF16" s="70"/>
      <c r="AG16" s="74"/>
    </row>
    <row r="17" ht="25" customHeight="1" spans="1:33">
      <c r="A17" s="56">
        <v>13</v>
      </c>
      <c r="B17" s="57" t="s">
        <v>5580</v>
      </c>
      <c r="C17" s="86">
        <f>(C5*0.59/0.98+C6*0.41/0.95+1.3521)/1.13</f>
        <v>57.4102135120458</v>
      </c>
      <c r="D17" s="86">
        <v>57.2536164416632</v>
      </c>
      <c r="E17" s="57"/>
      <c r="F17" s="109" t="s">
        <v>5581</v>
      </c>
      <c r="G17" s="112">
        <f>($C$5+4.6)/1.13</f>
        <v>83.716814159292</v>
      </c>
      <c r="H17" s="113">
        <v>83.716814159292</v>
      </c>
      <c r="I17" s="14"/>
      <c r="J17" s="63"/>
      <c r="K17" s="64"/>
      <c r="M17" s="12"/>
      <c r="V17" s="68" t="s">
        <v>5582</v>
      </c>
      <c r="W17" s="114" t="s">
        <v>5583</v>
      </c>
      <c r="X17" s="70" t="s">
        <v>5533</v>
      </c>
      <c r="Y17" s="71">
        <v>19</v>
      </c>
      <c r="Z17" s="115"/>
      <c r="AA17" s="111"/>
      <c r="AB17" s="70"/>
      <c r="AC17" s="70"/>
      <c r="AD17" s="70"/>
      <c r="AE17" s="70"/>
      <c r="AF17" s="70"/>
      <c r="AG17" s="74"/>
    </row>
    <row r="18" ht="14.85" customHeight="1" spans="1:33">
      <c r="A18" s="56">
        <v>14</v>
      </c>
      <c r="B18" s="57" t="s">
        <v>5584</v>
      </c>
      <c r="C18" s="86">
        <f>((C5*0.65+C6*0.35)*1.04+2.3/1.17*1.13)/1.13</f>
        <v>62.7760863128262</v>
      </c>
      <c r="D18" s="86">
        <v>62.644010052001</v>
      </c>
      <c r="E18" s="57" t="s">
        <v>5585</v>
      </c>
      <c r="F18" s="75" t="s">
        <v>5586</v>
      </c>
      <c r="G18" s="112">
        <f>($C$5+7)/1.13</f>
        <v>85.8407079646018</v>
      </c>
      <c r="H18" s="113">
        <v>85.8407079646018</v>
      </c>
      <c r="I18" s="14"/>
      <c r="J18" s="63"/>
      <c r="K18" s="64"/>
      <c r="M18" s="12"/>
      <c r="V18" s="102" t="s">
        <v>5587</v>
      </c>
      <c r="W18" s="116" t="s">
        <v>5588</v>
      </c>
      <c r="X18" s="70" t="s">
        <v>5533</v>
      </c>
      <c r="Y18" s="71">
        <v>783.864</v>
      </c>
      <c r="Z18" s="117"/>
      <c r="AA18" s="111"/>
      <c r="AB18" s="70"/>
      <c r="AC18" s="70"/>
      <c r="AD18" s="70"/>
      <c r="AE18" s="70"/>
      <c r="AF18" s="70"/>
      <c r="AG18" s="74"/>
    </row>
    <row r="19" ht="14.85" customHeight="1" spans="1:33">
      <c r="A19" s="56">
        <v>15</v>
      </c>
      <c r="B19" s="57" t="s">
        <v>5589</v>
      </c>
      <c r="C19" s="86">
        <f>(C5*0.59/0.98+C6*0.41/0.95+3)/1.13</f>
        <v>58.8685320961166</v>
      </c>
      <c r="D19" s="86">
        <v>58.711935025734</v>
      </c>
      <c r="E19" s="57" t="s">
        <v>5590</v>
      </c>
      <c r="F19" s="75" t="s">
        <v>5591</v>
      </c>
      <c r="G19" s="112">
        <f>(C5+3.55)/1.13</f>
        <v>82.787610619469</v>
      </c>
      <c r="H19" s="113">
        <v>82.787610619469</v>
      </c>
      <c r="I19" s="14" t="s">
        <v>5592</v>
      </c>
      <c r="J19" s="63"/>
      <c r="K19" s="64"/>
      <c r="M19" s="12"/>
      <c r="V19" s="102" t="s">
        <v>5540</v>
      </c>
      <c r="W19" s="118"/>
      <c r="X19" s="70" t="s">
        <v>5533</v>
      </c>
      <c r="Y19" s="119">
        <f>ROUND(0.35*Y18+89.835,3)</f>
        <v>364.187</v>
      </c>
      <c r="Z19" s="70"/>
      <c r="AA19" s="111"/>
      <c r="AB19" s="70"/>
      <c r="AC19" s="70"/>
      <c r="AD19" s="70"/>
      <c r="AE19" s="70"/>
      <c r="AF19" s="70"/>
      <c r="AG19" s="74"/>
    </row>
    <row r="20" ht="14.85" customHeight="1" spans="1:33">
      <c r="A20" s="56">
        <v>16</v>
      </c>
      <c r="B20" s="120" t="s">
        <v>5593</v>
      </c>
      <c r="C20" s="86">
        <f>(C5*0.59/0.98+C6*0.41/0.95+2.1)/1.13</f>
        <v>58.0720719191255</v>
      </c>
      <c r="D20" s="86">
        <v>57.9154748487428</v>
      </c>
      <c r="E20" s="57" t="s">
        <v>5594</v>
      </c>
      <c r="F20" s="75" t="s">
        <v>5595</v>
      </c>
      <c r="G20" s="112">
        <f>(C5+4.6)/1.13</f>
        <v>83.716814159292</v>
      </c>
      <c r="H20" s="113">
        <v>83.716814159292</v>
      </c>
      <c r="I20" s="14" t="s">
        <v>5596</v>
      </c>
      <c r="J20" s="63"/>
      <c r="K20" s="64"/>
      <c r="M20" s="12"/>
      <c r="V20" s="121" t="s">
        <v>5500</v>
      </c>
      <c r="W20" s="122" t="str">
        <f t="shared" ref="W20:Y20" si="5">W7</f>
        <v>A00</v>
      </c>
      <c r="X20" s="122" t="str">
        <f t="shared" si="5"/>
        <v>元/公斤</v>
      </c>
      <c r="Y20" s="123">
        <f t="shared" si="5"/>
        <v>24.26</v>
      </c>
      <c r="Z20" s="124"/>
      <c r="AA20" s="124"/>
      <c r="AB20" s="124"/>
      <c r="AC20" s="124"/>
      <c r="AD20" s="124"/>
      <c r="AE20" s="124"/>
      <c r="AF20" s="124"/>
      <c r="AG20" s="125"/>
    </row>
    <row r="21" ht="26" customHeight="1" spans="1:33">
      <c r="A21" s="56">
        <v>17</v>
      </c>
      <c r="B21" s="57" t="s">
        <v>1479</v>
      </c>
      <c r="C21" s="126">
        <f>($C$5*0.59/0.98+$C$6*0.41/0.95+2.28)/1.13</f>
        <v>58.2313639545237</v>
      </c>
      <c r="D21" s="126">
        <v>58.0747668841411</v>
      </c>
      <c r="E21" s="57" t="s">
        <v>5597</v>
      </c>
      <c r="F21" s="109" t="s">
        <v>5598</v>
      </c>
      <c r="G21" s="112">
        <f>($C$5+4.599)/1.13</f>
        <v>83.7159292035398</v>
      </c>
      <c r="H21" s="113">
        <v>83.7159292035398</v>
      </c>
      <c r="I21" s="14" t="s">
        <v>5599</v>
      </c>
      <c r="J21" s="63"/>
      <c r="K21" s="64"/>
      <c r="M21" s="12"/>
    </row>
    <row r="22" ht="27" customHeight="1" spans="1:33">
      <c r="A22" s="56"/>
      <c r="B22" s="57" t="s">
        <v>5600</v>
      </c>
      <c r="C22" s="126">
        <f>(($C$5*0.6+$C$6*0.4)*1.02+1.7)/1.13</f>
        <v>58.0598290502466</v>
      </c>
      <c r="D22" s="126">
        <v>57.9117875271238</v>
      </c>
      <c r="E22" s="57"/>
      <c r="F22" s="109" t="s">
        <v>5601</v>
      </c>
      <c r="G22" s="112">
        <f>($C$5+4.35)/1.13</f>
        <v>83.4955752212389</v>
      </c>
      <c r="H22" s="113">
        <v>83.4955752212389</v>
      </c>
      <c r="I22" s="14"/>
      <c r="J22" s="63"/>
      <c r="K22" s="64"/>
      <c r="M22" s="12"/>
    </row>
    <row r="23" ht="27" customHeight="1" spans="1:33">
      <c r="A23" s="56"/>
      <c r="B23" s="127" t="s">
        <v>3006</v>
      </c>
      <c r="C23" s="112">
        <f>($C$5+6.277)/1.13</f>
        <v>85.2008849557522</v>
      </c>
      <c r="D23" s="112">
        <v>85.2008849557522</v>
      </c>
      <c r="E23" s="57"/>
      <c r="F23" s="109" t="s">
        <v>1213</v>
      </c>
      <c r="G23" s="112">
        <f>($C$5+3.95)/1.13</f>
        <v>83.141592920354</v>
      </c>
      <c r="H23" s="113">
        <v>83.141592920354</v>
      </c>
      <c r="I23" s="14"/>
      <c r="J23" s="63"/>
      <c r="K23" s="64"/>
      <c r="M23" s="12"/>
    </row>
    <row r="24" ht="27" customHeight="1" spans="1:33">
      <c r="A24" s="56"/>
      <c r="B24" s="127"/>
      <c r="C24" s="112"/>
      <c r="D24" s="112"/>
      <c r="E24" s="57"/>
      <c r="F24" s="127" t="s">
        <v>1638</v>
      </c>
      <c r="G24" s="112">
        <f>($C$5+3.2)/1.13</f>
        <v>82.4778761061947</v>
      </c>
      <c r="H24" s="113">
        <v>82.4778761061947</v>
      </c>
      <c r="I24" s="14"/>
      <c r="J24" s="63"/>
      <c r="K24" s="64"/>
      <c r="M24" s="12"/>
    </row>
    <row r="25" ht="27" customHeight="1" spans="1:33">
      <c r="A25" s="56">
        <v>18</v>
      </c>
      <c r="B25" s="57" t="s">
        <v>5602</v>
      </c>
      <c r="C25" s="86">
        <f>(C5*0.59/0.98+C6*0.41/0.95+2.4)/1.13</f>
        <v>58.3375586447892</v>
      </c>
      <c r="D25" s="86">
        <v>58.1809615744065</v>
      </c>
      <c r="E25" s="57"/>
      <c r="F25" s="109" t="s">
        <v>5603</v>
      </c>
      <c r="G25" s="112">
        <f>($C$5+4.35)/1.13</f>
        <v>83.4955752212389</v>
      </c>
      <c r="H25" s="113">
        <v>83.4955752212389</v>
      </c>
      <c r="I25" s="14"/>
      <c r="J25" s="63"/>
      <c r="K25" s="64"/>
      <c r="M25" s="12"/>
    </row>
    <row r="26" ht="33" customHeight="1" spans="1:33">
      <c r="A26" s="56">
        <v>19</v>
      </c>
      <c r="B26" s="57" t="s">
        <v>5604</v>
      </c>
      <c r="C26" s="86">
        <f>(C5*0.6/0.98+C6*0.4/0.95+2.3)/1.13</f>
        <v>58.8602284791355</v>
      </c>
      <c r="D26" s="86">
        <v>58.7074508494939</v>
      </c>
      <c r="E26" s="57"/>
      <c r="F26" s="109" t="s">
        <v>5605</v>
      </c>
      <c r="G26" s="112">
        <f>(C5+3.73)/1.13</f>
        <v>82.9469026548673</v>
      </c>
      <c r="H26" s="113">
        <v>82.9469026548673</v>
      </c>
      <c r="I26" s="14" t="s">
        <v>5606</v>
      </c>
      <c r="J26" s="63"/>
      <c r="K26" s="64"/>
      <c r="M26" s="12"/>
    </row>
    <row r="27" ht="22" customHeight="1" spans="1:33">
      <c r="A27" s="56">
        <v>20</v>
      </c>
      <c r="B27" s="57" t="s">
        <v>111</v>
      </c>
      <c r="C27" s="128">
        <f>(C7*1.039)/1.13</f>
        <v>48.4220183295217</v>
      </c>
      <c r="D27" s="128">
        <v>48.4495248577231</v>
      </c>
      <c r="E27" s="57"/>
      <c r="F27" s="109" t="s">
        <v>5607</v>
      </c>
      <c r="G27" s="112">
        <f>(C5+5.4)/1.13</f>
        <v>84.424778761062</v>
      </c>
      <c r="H27" s="113">
        <v>84.424778761062</v>
      </c>
      <c r="I27" s="14" t="s">
        <v>5608</v>
      </c>
      <c r="J27" s="63"/>
      <c r="K27" s="64"/>
      <c r="M27" s="12"/>
    </row>
    <row r="28" ht="25" customHeight="1" spans="1:33">
      <c r="A28" s="56">
        <v>21</v>
      </c>
      <c r="B28" s="129" t="s">
        <v>5609</v>
      </c>
      <c r="C28" s="126">
        <f>(C5*0.59/0.98+C6*0.41/0.95+2.8009)/1.13</f>
        <v>58.6923374058511</v>
      </c>
      <c r="D28" s="126">
        <v>58.5357403354685</v>
      </c>
      <c r="E28" s="57" t="s">
        <v>5610</v>
      </c>
      <c r="F28" s="75" t="s">
        <v>5611</v>
      </c>
      <c r="G28" s="128">
        <f>(C5*0.59/0.98+C6*0.41/0.95+3)/1.13</f>
        <v>58.8685320961166</v>
      </c>
      <c r="H28" s="130">
        <v>58.711935025734</v>
      </c>
      <c r="I28" s="14" t="s">
        <v>5608</v>
      </c>
      <c r="J28" s="63"/>
      <c r="K28" s="64"/>
    </row>
    <row r="29" ht="21" customHeight="1" spans="1:33">
      <c r="A29" s="56">
        <v>22</v>
      </c>
      <c r="B29" s="129" t="s">
        <v>5612</v>
      </c>
      <c r="C29" s="128" t="e">
        <f t="array" ref="C29">($C$5*0.59/0.98+$C$6*0.41/0.95+1.6)/1.13/AA</f>
        <v>#NAME?</v>
      </c>
      <c r="D29" s="128" t="e">
        <v>#NAME?</v>
      </c>
      <c r="E29" s="57"/>
      <c r="F29" s="57" t="s">
        <v>5613</v>
      </c>
      <c r="G29" s="131" t="s">
        <v>5614</v>
      </c>
      <c r="H29" s="132" t="s">
        <v>5614</v>
      </c>
      <c r="I29" s="14"/>
      <c r="J29" s="63"/>
      <c r="K29" s="64"/>
    </row>
    <row r="30" ht="26" customHeight="1" spans="1:33">
      <c r="A30" s="56">
        <v>23</v>
      </c>
      <c r="B30" s="57" t="s">
        <v>5615</v>
      </c>
      <c r="C30" s="126">
        <f>($C$5*0.59/0.98+$C$6*0.41/0.95+2.4)/1.13</f>
        <v>58.3375586447892</v>
      </c>
      <c r="D30" s="126">
        <v>58.1809615744065</v>
      </c>
      <c r="E30" s="57"/>
      <c r="F30" s="133" t="s">
        <v>5616</v>
      </c>
      <c r="G30" s="134" t="s">
        <v>5617</v>
      </c>
      <c r="H30" s="135">
        <v>6.7809</v>
      </c>
      <c r="I30" s="14"/>
      <c r="J30" s="63"/>
      <c r="K30" s="64"/>
    </row>
    <row r="31" ht="31" customHeight="1" spans="1:33">
      <c r="A31" s="56">
        <v>24.1</v>
      </c>
      <c r="B31" s="129" t="s">
        <v>5618</v>
      </c>
      <c r="C31" s="128" t="e">
        <f t="array" ref="C31">($C$5*0.59/0.98+$C$6*0.41/0.95+2.28)/1.13/AA</f>
        <v>#NAME?</v>
      </c>
      <c r="D31" s="128" t="e">
        <v>#NAME?</v>
      </c>
      <c r="E31" s="57"/>
      <c r="F31" s="109" t="s">
        <v>5619</v>
      </c>
      <c r="G31" s="134" t="s">
        <v>5617</v>
      </c>
      <c r="H31" s="136">
        <v>0.042031</v>
      </c>
      <c r="I31" s="14"/>
      <c r="J31" s="63"/>
      <c r="K31" s="64"/>
    </row>
    <row r="32" ht="27" customHeight="1" spans="1:33">
      <c r="A32" s="56">
        <v>24.2</v>
      </c>
      <c r="B32" s="129" t="s">
        <v>5620</v>
      </c>
      <c r="C32" s="128" t="e">
        <f t="array" ref="C32">($C$5*0.59/0.98+$C$6*0.41/0.95+2.4)/1.13/AA</f>
        <v>#NAME?</v>
      </c>
      <c r="D32" s="128" t="e">
        <v>#NAME?</v>
      </c>
      <c r="E32" s="57"/>
      <c r="F32" s="137" t="s">
        <v>5621</v>
      </c>
      <c r="G32" s="134" t="s">
        <v>5617</v>
      </c>
      <c r="H32" s="135">
        <v>7.8406</v>
      </c>
      <c r="I32" s="14"/>
      <c r="J32" s="63"/>
      <c r="K32" s="64"/>
    </row>
    <row r="33" ht="29" customHeight="1" spans="1:27">
      <c r="A33" s="56">
        <v>25</v>
      </c>
      <c r="B33" s="57" t="s">
        <v>5622</v>
      </c>
      <c r="C33" s="126">
        <f>((C5*0.61+C6*0.39)*1.05+3.8/1.17*1.13)/1.13</f>
        <v>62.1018997643604</v>
      </c>
      <c r="D33" s="126">
        <v>61.9533139709321</v>
      </c>
      <c r="E33" s="57"/>
      <c r="F33" s="137" t="s">
        <v>5623</v>
      </c>
      <c r="G33" s="134" t="s">
        <v>5617</v>
      </c>
      <c r="H33" s="135">
        <v>0.397978270386437</v>
      </c>
      <c r="I33" s="14"/>
      <c r="J33" s="63"/>
      <c r="K33" s="64"/>
      <c r="V33" s="2"/>
      <c r="W33" s="2"/>
      <c r="X33" s="2"/>
      <c r="Y33" s="2"/>
      <c r="Z33" s="2"/>
      <c r="AA33" s="2"/>
    </row>
    <row r="34" s="2" customFormat="1" ht="17.1" customHeight="1" spans="1:27">
      <c r="A34" s="56">
        <v>26</v>
      </c>
      <c r="B34" s="138" t="s">
        <v>5624</v>
      </c>
      <c r="C34" s="86">
        <f>((C5*0.61+C6*0.38+$G$6*0.01)*1.04+2.9)/1.13</f>
        <v>64.4476884060882</v>
      </c>
      <c r="D34" s="86">
        <v>64.4425653052075</v>
      </c>
      <c r="E34" s="57" t="s">
        <v>5625</v>
      </c>
      <c r="F34" s="138" t="s">
        <v>5626</v>
      </c>
      <c r="G34" s="139">
        <f>((C5*0.76+C6*0.24)*1.05+3.8/1.17*1.13)/1.13</f>
        <v>71.6304697903503</v>
      </c>
      <c r="H34" s="140">
        <v>71.5390323790098</v>
      </c>
      <c r="I34" s="14"/>
      <c r="J34" s="63"/>
      <c r="K34" s="64"/>
      <c r="M34" s="28"/>
    </row>
    <row r="35" s="2" customFormat="1" ht="18" customHeight="1" spans="1:27">
      <c r="A35" s="141"/>
      <c r="B35" s="138" t="s">
        <v>5627</v>
      </c>
      <c r="C35" s="86">
        <f>($C$5+10)/1.13</f>
        <v>88.495575221239</v>
      </c>
      <c r="D35" s="86">
        <v>88.495575221239</v>
      </c>
      <c r="E35" s="57" t="s">
        <v>5628</v>
      </c>
      <c r="F35" s="138" t="s">
        <v>5629</v>
      </c>
      <c r="G35" s="139">
        <f>((C5*0.76+C6*0.24)*1.05+3.6)/1.13</f>
        <v>71.5684472504516</v>
      </c>
      <c r="H35" s="140">
        <v>71.4770098391111</v>
      </c>
      <c r="I35" s="14"/>
      <c r="J35" s="63"/>
      <c r="K35" s="64"/>
      <c r="M35" s="28"/>
    </row>
    <row r="36" s="2" customFormat="1" ht="18" customHeight="1" spans="1:27">
      <c r="A36" s="56">
        <v>27</v>
      </c>
      <c r="B36" s="138" t="s">
        <v>5630</v>
      </c>
      <c r="C36" s="86">
        <f>($C$5+8.5)/1.13</f>
        <v>87.1681415929204</v>
      </c>
      <c r="D36" s="86">
        <v>87.1681415929204</v>
      </c>
      <c r="E36" s="57"/>
      <c r="F36" s="138" t="s">
        <v>5631</v>
      </c>
      <c r="G36" s="139">
        <f>1.311/1.13</f>
        <v>1.16017699115044</v>
      </c>
      <c r="H36" s="140">
        <v>1.16017699115044</v>
      </c>
      <c r="I36" s="14"/>
      <c r="J36" s="63"/>
      <c r="K36" s="64"/>
      <c r="M36" s="28"/>
    </row>
    <row r="37" s="2" customFormat="1" ht="25" customHeight="1" spans="1:27">
      <c r="A37" s="56">
        <v>28</v>
      </c>
      <c r="B37" s="138" t="s">
        <v>5632</v>
      </c>
      <c r="C37" s="86">
        <f>($C$5+12)/1.13</f>
        <v>90.2654867256637</v>
      </c>
      <c r="D37" s="86">
        <v>90.2654867256637</v>
      </c>
      <c r="E37" s="57"/>
      <c r="F37" s="138" t="s">
        <v>5633</v>
      </c>
      <c r="G37" s="139">
        <f>6/1.13</f>
        <v>5.30973451327434</v>
      </c>
      <c r="H37" s="140">
        <v>5.30973451327434</v>
      </c>
      <c r="I37" s="14"/>
      <c r="J37" s="63"/>
      <c r="K37" s="64"/>
      <c r="M37" s="28"/>
    </row>
    <row r="38" s="2" customFormat="1" ht="25" customHeight="1" spans="1:27">
      <c r="A38" s="56"/>
      <c r="B38" s="138" t="s">
        <v>5634</v>
      </c>
      <c r="C38" s="86">
        <f>($C$5+7.1)/1.13</f>
        <v>85.929203539823</v>
      </c>
      <c r="D38" s="86">
        <v>85.929203539823</v>
      </c>
      <c r="E38" s="57"/>
      <c r="F38" s="138"/>
      <c r="G38" s="139"/>
      <c r="H38" s="140"/>
      <c r="I38" s="14"/>
      <c r="J38" s="63"/>
      <c r="K38" s="64"/>
      <c r="M38" s="28"/>
    </row>
    <row r="39" s="2" customFormat="1" ht="26.25" customHeight="1" spans="1:27">
      <c r="A39" s="56">
        <v>29</v>
      </c>
      <c r="B39" s="127" t="s">
        <v>5635</v>
      </c>
      <c r="C39" s="142">
        <f>C7*0.882/1.13</f>
        <v>41.1051204683716</v>
      </c>
      <c r="D39" s="142">
        <v>41.1284705721962</v>
      </c>
      <c r="E39" s="57"/>
      <c r="F39" s="138" t="s">
        <v>5636</v>
      </c>
      <c r="G39" s="139">
        <f>8.47/1.13</f>
        <v>7.49557522123894</v>
      </c>
      <c r="H39" s="140">
        <v>7.49557522123894</v>
      </c>
      <c r="I39" s="14"/>
      <c r="J39" s="63"/>
      <c r="K39" s="64"/>
      <c r="M39" s="28"/>
    </row>
    <row r="40" s="2" customFormat="1" ht="23.25" customHeight="1" spans="1:27">
      <c r="A40" s="56">
        <v>30</v>
      </c>
      <c r="B40" s="143" t="s">
        <v>5637</v>
      </c>
      <c r="C40" s="144" t="s">
        <v>5638</v>
      </c>
      <c r="D40" s="144" t="s">
        <v>5639</v>
      </c>
      <c r="E40" s="57"/>
      <c r="F40" s="127" t="s">
        <v>5640</v>
      </c>
      <c r="G40" s="86">
        <f>5.5/1.13</f>
        <v>4.86725663716814</v>
      </c>
      <c r="H40" s="145">
        <v>4.86725663716814</v>
      </c>
      <c r="I40" s="14"/>
      <c r="J40" s="63"/>
      <c r="K40" s="64"/>
      <c r="M40" s="28"/>
    </row>
    <row r="41" s="2" customFormat="1" ht="22.5" customHeight="1" spans="1:27">
      <c r="A41" s="56">
        <v>31</v>
      </c>
      <c r="B41" s="143" t="s">
        <v>5641</v>
      </c>
      <c r="C41" s="86">
        <f>8.7/1.13</f>
        <v>7.69911504424779</v>
      </c>
      <c r="D41" s="86">
        <v>7.69911504424779</v>
      </c>
      <c r="E41" s="57"/>
      <c r="F41" s="143" t="s">
        <v>176</v>
      </c>
      <c r="G41" s="86">
        <f>$C$5*0.845/1.13</f>
        <v>67.3008849557522</v>
      </c>
      <c r="H41" s="145">
        <v>67.3008849557522</v>
      </c>
      <c r="I41" s="14"/>
      <c r="J41" s="63"/>
      <c r="K41" s="64"/>
      <c r="M41" s="28"/>
    </row>
    <row r="42" s="2" customFormat="1" ht="59" customHeight="1" spans="1:27">
      <c r="A42" s="56">
        <v>32</v>
      </c>
      <c r="B42" s="143" t="s">
        <v>5642</v>
      </c>
      <c r="C42" s="144">
        <f>3.6/1.13</f>
        <v>3.1858407079646</v>
      </c>
      <c r="D42" s="144">
        <v>3.1858407079646</v>
      </c>
      <c r="E42" s="57"/>
      <c r="F42" s="143" t="s">
        <v>5643</v>
      </c>
      <c r="G42" s="86" t="s">
        <v>5644</v>
      </c>
      <c r="H42" s="145" t="s">
        <v>5645</v>
      </c>
      <c r="I42" s="14"/>
      <c r="J42" s="63"/>
      <c r="K42" s="64"/>
      <c r="M42" s="28"/>
    </row>
    <row r="43" s="2" customFormat="1" ht="18" customHeight="1" spans="1:27">
      <c r="A43" s="56">
        <v>33</v>
      </c>
      <c r="B43" s="143" t="s">
        <v>5646</v>
      </c>
      <c r="C43" s="86">
        <f>3.6/1.13</f>
        <v>3.1858407079646</v>
      </c>
      <c r="D43" s="86">
        <v>3.1858407079646</v>
      </c>
      <c r="E43" s="57"/>
      <c r="F43" s="127" t="s">
        <v>5647</v>
      </c>
      <c r="G43" s="86">
        <f>11.5/1.13</f>
        <v>10.1769911504425</v>
      </c>
      <c r="H43" s="145">
        <v>10.1769911504425</v>
      </c>
      <c r="I43" s="14"/>
      <c r="J43" s="63"/>
      <c r="K43" s="64"/>
      <c r="M43" s="28"/>
    </row>
    <row r="44" s="2" customFormat="1" ht="18" customHeight="1" spans="1:27">
      <c r="A44" s="56">
        <v>34</v>
      </c>
      <c r="B44" s="57" t="s">
        <v>5648</v>
      </c>
      <c r="C44" s="86">
        <f>8.55/1.13</f>
        <v>7.56637168141593</v>
      </c>
      <c r="D44" s="86">
        <v>7.56637168141593</v>
      </c>
      <c r="E44" s="57"/>
      <c r="F44" s="127" t="s">
        <v>5649</v>
      </c>
      <c r="G44" s="86">
        <f>4.38/1.13</f>
        <v>3.87610619469027</v>
      </c>
      <c r="H44" s="145">
        <v>3.87610619469027</v>
      </c>
      <c r="I44" s="14"/>
      <c r="J44" s="63"/>
      <c r="K44" s="64"/>
      <c r="M44" s="28"/>
      <c r="V44" s="12"/>
      <c r="W44" s="12"/>
      <c r="X44" s="12"/>
      <c r="Y44" s="12"/>
      <c r="Z44" s="12"/>
      <c r="AA44" s="12"/>
    </row>
    <row r="45" ht="14.85" customHeight="1" spans="1:27">
      <c r="A45" s="56">
        <v>35</v>
      </c>
      <c r="B45" s="57" t="s">
        <v>5650</v>
      </c>
      <c r="C45" s="86">
        <f>8.27/1.13</f>
        <v>7.31858407079646</v>
      </c>
      <c r="D45" s="86">
        <v>7.31858407079646</v>
      </c>
      <c r="E45" s="57"/>
      <c r="F45" s="109" t="s">
        <v>5651</v>
      </c>
      <c r="G45" s="86">
        <f>2.72/1.13</f>
        <v>2.4070796460177</v>
      </c>
      <c r="H45" s="145">
        <v>2.4070796460177</v>
      </c>
      <c r="I45" s="14"/>
      <c r="J45" s="63"/>
      <c r="K45" s="64"/>
    </row>
    <row r="46" ht="14.85" customHeight="1" spans="1:27">
      <c r="A46" s="56">
        <v>36</v>
      </c>
      <c r="B46" s="57" t="s">
        <v>5652</v>
      </c>
      <c r="C46" s="86">
        <f>3.48/1.13</f>
        <v>3.07964601769912</v>
      </c>
      <c r="D46" s="86">
        <v>3.07964601769912</v>
      </c>
      <c r="E46" s="57"/>
      <c r="F46" s="109" t="s">
        <v>948</v>
      </c>
      <c r="G46" s="86">
        <f>1.89/1.13</f>
        <v>1.67256637168142</v>
      </c>
      <c r="H46" s="145">
        <v>1.67256637168142</v>
      </c>
      <c r="I46" s="14"/>
      <c r="J46" s="63"/>
      <c r="K46" s="64"/>
    </row>
    <row r="47" ht="26" customHeight="1" spans="1:27">
      <c r="A47" s="56">
        <v>37</v>
      </c>
      <c r="B47" s="57" t="s">
        <v>5653</v>
      </c>
      <c r="C47" s="86" t="s">
        <v>5654</v>
      </c>
      <c r="D47" s="86" t="s">
        <v>5654</v>
      </c>
      <c r="E47" s="57"/>
      <c r="F47" s="127" t="s">
        <v>89</v>
      </c>
      <c r="G47" s="139">
        <f>19.8/1.13</f>
        <v>17.5221238938053</v>
      </c>
      <c r="H47" s="140">
        <v>17.5221238938053</v>
      </c>
      <c r="I47" s="14"/>
      <c r="J47" s="63"/>
      <c r="K47" s="64"/>
    </row>
    <row r="48" ht="37" customHeight="1" spans="1:27">
      <c r="A48" s="56">
        <v>38</v>
      </c>
      <c r="B48" s="57" t="s">
        <v>5655</v>
      </c>
      <c r="C48" s="146" t="s">
        <v>5656</v>
      </c>
      <c r="D48" s="146" t="s">
        <v>5656</v>
      </c>
      <c r="E48" s="57"/>
      <c r="F48" s="138" t="s">
        <v>5657</v>
      </c>
      <c r="G48" s="139">
        <f>5.5/1.13</f>
        <v>4.86725663716814</v>
      </c>
      <c r="H48" s="140">
        <v>4.86725663716814</v>
      </c>
      <c r="I48" s="14"/>
      <c r="J48" s="63"/>
      <c r="K48" s="64"/>
      <c r="V48" s="2"/>
      <c r="W48" s="2"/>
      <c r="X48" s="2"/>
      <c r="Y48" s="2"/>
      <c r="Z48" s="2"/>
      <c r="AA48" s="2"/>
    </row>
    <row r="49" s="2" customFormat="1" ht="20.1" customHeight="1" spans="1:27">
      <c r="A49" s="56">
        <v>39</v>
      </c>
      <c r="B49" s="147" t="s">
        <v>5658</v>
      </c>
      <c r="C49" s="147">
        <v>11.11</v>
      </c>
      <c r="D49" s="147">
        <v>11.11</v>
      </c>
      <c r="E49" s="148"/>
      <c r="F49" s="109" t="s">
        <v>5659</v>
      </c>
      <c r="G49" s="149">
        <f>($C$5+8.0973)/1.13</f>
        <v>86.8117699115044</v>
      </c>
      <c r="H49" s="150">
        <v>86.8117699115044</v>
      </c>
      <c r="I49" s="14"/>
      <c r="J49" s="63"/>
      <c r="K49" s="64"/>
      <c r="M49" s="28"/>
    </row>
    <row r="50" s="2" customFormat="1" ht="34" customHeight="1" spans="1:27">
      <c r="A50" s="56">
        <v>40</v>
      </c>
      <c r="B50" s="147" t="s">
        <v>5660</v>
      </c>
      <c r="C50" s="151" t="s">
        <v>5661</v>
      </c>
      <c r="D50" s="151" t="s">
        <v>5661</v>
      </c>
      <c r="E50" s="148"/>
      <c r="F50" s="109" t="s">
        <v>5662</v>
      </c>
      <c r="G50" s="149">
        <f>($C$5+10.8183)/1.13</f>
        <v>89.2197345132743</v>
      </c>
      <c r="H50" s="150">
        <v>89.2197345132743</v>
      </c>
      <c r="I50" s="14"/>
      <c r="J50" s="63"/>
      <c r="K50" s="64"/>
      <c r="P50" s="3"/>
    </row>
    <row r="51" s="2" customFormat="1" ht="20.1" customHeight="1" spans="1:27">
      <c r="A51" s="56"/>
      <c r="B51" s="127" t="s">
        <v>5663</v>
      </c>
      <c r="C51" s="151" t="s">
        <v>5664</v>
      </c>
      <c r="D51" s="151" t="s">
        <v>5664</v>
      </c>
      <c r="E51" s="148"/>
      <c r="F51" s="127" t="s">
        <v>5665</v>
      </c>
      <c r="G51" s="149">
        <f>($C$5+12.4187)/1.13</f>
        <v>90.6360176991151</v>
      </c>
      <c r="H51" s="150">
        <v>90.6360176991151</v>
      </c>
      <c r="I51" s="14"/>
      <c r="J51" s="63"/>
    </row>
    <row r="52" s="2" customFormat="1" ht="20.1" customHeight="1" spans="1:27">
      <c r="A52" s="56">
        <v>41</v>
      </c>
      <c r="B52" s="152" t="s">
        <v>5666</v>
      </c>
      <c r="C52" s="86">
        <f>7.79/1.13</f>
        <v>6.89380530973451</v>
      </c>
      <c r="D52" s="86">
        <v>6.89380530973451</v>
      </c>
      <c r="E52" s="148"/>
      <c r="F52" s="127" t="s">
        <v>5667</v>
      </c>
      <c r="G52" s="149">
        <f>($C$5+8.38)/1.13</f>
        <v>87.0619469026549</v>
      </c>
      <c r="H52" s="150">
        <v>87.0619469026549</v>
      </c>
      <c r="I52" s="14"/>
      <c r="J52" s="63"/>
    </row>
    <row r="53" s="2" customFormat="1" ht="25" customHeight="1" spans="1:27">
      <c r="A53" s="56">
        <v>42</v>
      </c>
      <c r="B53" s="153" t="s">
        <v>5668</v>
      </c>
      <c r="C53" s="86">
        <f>($C$5+10)/1.13</f>
        <v>88.495575221239</v>
      </c>
      <c r="D53" s="86">
        <v>88.495575221239</v>
      </c>
      <c r="E53" s="108"/>
      <c r="F53" s="154" t="s">
        <v>5669</v>
      </c>
      <c r="G53" s="155">
        <f>($C$5+8.2577)/1.13</f>
        <v>86.9537168141593</v>
      </c>
      <c r="H53" s="156">
        <v>86.9537168141593</v>
      </c>
      <c r="I53" s="14"/>
      <c r="J53" s="63"/>
    </row>
    <row r="54" s="2" customFormat="1" ht="27" customHeight="1" spans="1:27">
      <c r="A54" s="56">
        <v>43</v>
      </c>
      <c r="B54" s="153" t="s">
        <v>5670</v>
      </c>
      <c r="C54" s="86">
        <f>($C$5+8.5)/1.13</f>
        <v>87.1681415929204</v>
      </c>
      <c r="D54" s="86">
        <v>87.1681415929204</v>
      </c>
      <c r="E54" s="108"/>
      <c r="F54" s="154" t="s">
        <v>5671</v>
      </c>
      <c r="G54" s="155">
        <f>($C$5+8.0276)/1.13</f>
        <v>86.7500884955752</v>
      </c>
      <c r="H54" s="156">
        <v>86.7500884955752</v>
      </c>
      <c r="I54" s="14"/>
      <c r="J54" s="63"/>
      <c r="V54" s="3"/>
      <c r="W54" s="3"/>
      <c r="X54" s="3"/>
      <c r="Y54" s="3"/>
      <c r="Z54" s="3"/>
      <c r="AA54" s="3"/>
    </row>
    <row r="55" s="3" customFormat="1" ht="27" customHeight="1" spans="1:27">
      <c r="A55" s="56">
        <v>44</v>
      </c>
      <c r="B55" s="153" t="s">
        <v>5672</v>
      </c>
      <c r="C55" s="149">
        <f>($C$5+8.1)/1.13</f>
        <v>86.8141592920354</v>
      </c>
      <c r="D55" s="149">
        <v>86.8141592920354</v>
      </c>
      <c r="E55" s="108"/>
      <c r="F55" s="108" t="s">
        <v>5673</v>
      </c>
      <c r="G55" s="157">
        <f>($C$5+14.5)/1.13</f>
        <v>92.4778761061947</v>
      </c>
      <c r="H55" s="158">
        <v>92.4778761061947</v>
      </c>
      <c r="I55" s="159"/>
      <c r="J55" s="63"/>
      <c r="K55" s="160"/>
      <c r="L55" s="2"/>
      <c r="M55" s="2"/>
      <c r="N55" s="2"/>
      <c r="O55" s="2"/>
      <c r="P55" s="2"/>
    </row>
    <row r="56" s="3" customFormat="1" ht="39" customHeight="1" spans="1:27">
      <c r="A56" s="56">
        <v>45</v>
      </c>
      <c r="B56" s="153" t="s">
        <v>5674</v>
      </c>
      <c r="C56" s="149">
        <f>($C$5+7.4964)/1.13</f>
        <v>86.28</v>
      </c>
      <c r="D56" s="149">
        <v>86.28</v>
      </c>
      <c r="E56" s="108"/>
      <c r="F56" s="120" t="s">
        <v>5675</v>
      </c>
      <c r="G56" s="157">
        <f>ROUND(($C$5*0.4+$G$7*0.6+10+29)/1.13,4)</f>
        <v>79.2531</v>
      </c>
      <c r="H56" s="158">
        <v>79.046</v>
      </c>
      <c r="I56" s="161" t="s">
        <v>5676</v>
      </c>
      <c r="J56" s="63"/>
      <c r="K56" s="160"/>
      <c r="L56" s="2"/>
      <c r="V56" s="2"/>
      <c r="W56" s="2"/>
      <c r="X56" s="2"/>
      <c r="Y56" s="2"/>
      <c r="Z56" s="2"/>
      <c r="AA56" s="2"/>
    </row>
    <row r="57" s="2" customFormat="1" ht="30" customHeight="1" spans="1:27">
      <c r="A57" s="56">
        <v>46</v>
      </c>
      <c r="B57" s="153" t="s">
        <v>5677</v>
      </c>
      <c r="C57" s="155">
        <f>($C$5+13.8)/1.13</f>
        <v>91.858407079646</v>
      </c>
      <c r="D57" s="155">
        <v>91.858407079646</v>
      </c>
      <c r="E57" s="108"/>
      <c r="F57" s="57" t="s">
        <v>5678</v>
      </c>
      <c r="G57" s="157">
        <f>($C$5+7.9)/1.13</f>
        <v>86.6371681415929</v>
      </c>
      <c r="H57" s="158">
        <v>86.6371681415929</v>
      </c>
      <c r="I57" s="14"/>
      <c r="J57" s="63"/>
      <c r="K57" s="64"/>
    </row>
    <row r="58" s="2" customFormat="1" ht="20.1" customHeight="1" spans="1:27">
      <c r="A58" s="56">
        <v>47</v>
      </c>
      <c r="B58" s="153" t="s">
        <v>5679</v>
      </c>
      <c r="C58" s="155">
        <f>($C$5+13.8)/1.13</f>
        <v>91.858407079646</v>
      </c>
      <c r="D58" s="155">
        <v>91.858407079646</v>
      </c>
      <c r="E58" s="108"/>
      <c r="F58" s="109" t="s">
        <v>5680</v>
      </c>
      <c r="G58" s="157">
        <f>($C$5+7.9999)/1.13</f>
        <v>86.7255752212389</v>
      </c>
      <c r="H58" s="158">
        <v>86.7255752212389</v>
      </c>
      <c r="I58" s="14"/>
      <c r="J58" s="63"/>
      <c r="K58" s="64"/>
    </row>
    <row r="59" s="2" customFormat="1" ht="20.1" customHeight="1" spans="1:27">
      <c r="A59" s="56">
        <v>48</v>
      </c>
      <c r="B59" s="153" t="s">
        <v>5681</v>
      </c>
      <c r="C59" s="155">
        <f>ROUND((+$G$7+4.7469)/1.13,4)</f>
        <v>25.6698</v>
      </c>
      <c r="D59" s="155">
        <v>25.3247</v>
      </c>
      <c r="E59" s="108"/>
      <c r="F59" s="57" t="s">
        <v>5682</v>
      </c>
      <c r="G59" s="157">
        <f>($C$5+9.1099)/1.13</f>
        <v>87.7078761061947</v>
      </c>
      <c r="H59" s="158">
        <v>87.7078761061947</v>
      </c>
      <c r="I59" s="14"/>
      <c r="J59" s="63"/>
      <c r="K59" s="64"/>
    </row>
    <row r="60" s="2" customFormat="1" ht="20.1" customHeight="1" spans="1:27">
      <c r="A60" s="56">
        <v>49</v>
      </c>
      <c r="B60" s="154" t="s">
        <v>5683</v>
      </c>
      <c r="C60" s="155">
        <f>($C$5+9.2714246)/1.13</f>
        <v>87.8508182300885</v>
      </c>
      <c r="D60" s="155">
        <v>87.8508182300885</v>
      </c>
      <c r="E60" s="108"/>
      <c r="F60" s="127" t="s">
        <v>5684</v>
      </c>
      <c r="G60" s="155">
        <f>($C$5+8.3836)/1.13</f>
        <v>87.0651327433628</v>
      </c>
      <c r="H60" s="156">
        <v>87.0651327433628</v>
      </c>
      <c r="I60" s="14"/>
      <c r="J60" s="63"/>
      <c r="K60" s="64"/>
    </row>
    <row r="61" s="2" customFormat="1" ht="20.1" customHeight="1" spans="1:27">
      <c r="A61" s="56">
        <v>50</v>
      </c>
      <c r="B61" s="154" t="s">
        <v>5685</v>
      </c>
      <c r="C61" s="155">
        <f>($C$5+7.95028)/1.13</f>
        <v>86.6816637168142</v>
      </c>
      <c r="D61" s="155">
        <v>86.6816637168142</v>
      </c>
      <c r="E61" s="108"/>
      <c r="F61" s="138" t="s">
        <v>5686</v>
      </c>
      <c r="G61" s="155">
        <f>($C$5+7.1993)/1.13</f>
        <v>86.0170796460177</v>
      </c>
      <c r="H61" s="156">
        <v>86.0170796460177</v>
      </c>
      <c r="I61" s="14"/>
      <c r="J61" s="63"/>
      <c r="K61" s="64"/>
    </row>
    <row r="62" s="2" customFormat="1" ht="20.1" customHeight="1" spans="1:27">
      <c r="A62" s="56">
        <v>51</v>
      </c>
      <c r="B62" s="154" t="s">
        <v>5687</v>
      </c>
      <c r="C62" s="155">
        <f>($C$5+9.8762)/1.13</f>
        <v>88.386017699115</v>
      </c>
      <c r="D62" s="155">
        <v>88.386017699115</v>
      </c>
      <c r="E62" s="162"/>
      <c r="F62" s="138" t="s">
        <v>5688</v>
      </c>
      <c r="G62" s="155">
        <f>($C$5+7.1993)/1.13</f>
        <v>86.0170796460177</v>
      </c>
      <c r="H62" s="156">
        <v>86.0170796460177</v>
      </c>
      <c r="I62" s="14"/>
      <c r="J62" s="63"/>
      <c r="K62" s="64"/>
      <c r="M62" s="28"/>
    </row>
    <row r="63" s="2" customFormat="1" ht="20.1" customHeight="1" spans="1:27">
      <c r="A63" s="56">
        <v>52</v>
      </c>
      <c r="B63" s="163" t="s">
        <v>5689</v>
      </c>
      <c r="C63" s="155">
        <f>($C$5+6.845)/1.13</f>
        <v>85.7035398230089</v>
      </c>
      <c r="D63" s="155">
        <v>85.7035398230089</v>
      </c>
      <c r="E63" s="162"/>
      <c r="F63" s="127" t="s">
        <v>5690</v>
      </c>
      <c r="G63" s="164">
        <f>8.72/1.13</f>
        <v>7.71681415929204</v>
      </c>
      <c r="H63" s="165">
        <v>7.71681415929204</v>
      </c>
      <c r="I63" s="14"/>
      <c r="J63" s="63"/>
      <c r="K63" s="64"/>
      <c r="M63" s="28"/>
    </row>
    <row r="64" s="2" customFormat="1" ht="23" customHeight="1" spans="1:27">
      <c r="A64" s="56">
        <v>53</v>
      </c>
      <c r="B64" s="154" t="s">
        <v>5691</v>
      </c>
      <c r="C64" s="155">
        <f>($C$5+11.5044*1.13)/1.13</f>
        <v>91.1504176991151</v>
      </c>
      <c r="D64" s="155">
        <v>91.1504176991151</v>
      </c>
      <c r="E64" s="162"/>
      <c r="F64" s="138" t="s">
        <v>5692</v>
      </c>
      <c r="G64" s="155">
        <f>($C$5*0.4+$G$7*0.6+10+40.002)/1.13</f>
        <v>88.9893805309734</v>
      </c>
      <c r="H64" s="156">
        <v>88.7823008849558</v>
      </c>
      <c r="I64" s="14"/>
      <c r="J64" s="63"/>
      <c r="K64" s="64"/>
      <c r="M64" s="28"/>
    </row>
    <row r="65" s="2" customFormat="1" ht="27" customHeight="1" spans="1:13">
      <c r="A65" s="56">
        <v>54</v>
      </c>
      <c r="B65" s="154" t="s">
        <v>5693</v>
      </c>
      <c r="C65" s="155">
        <f>($C$5+7.8)/1.13</f>
        <v>86.5486725663717</v>
      </c>
      <c r="D65" s="155">
        <v>86.5486725663717</v>
      </c>
      <c r="E65" s="166"/>
      <c r="F65" s="138" t="s">
        <v>5694</v>
      </c>
      <c r="G65" s="149">
        <f>($C$5*0.4+$G$7*0.6+10+35.03)/1.13</f>
        <v>84.5893805309735</v>
      </c>
      <c r="H65" s="150">
        <v>84.3823008849558</v>
      </c>
      <c r="I65" s="14"/>
      <c r="J65" s="63"/>
      <c r="K65" s="64"/>
      <c r="M65" s="28"/>
    </row>
    <row r="66" s="2" customFormat="1" ht="27" customHeight="1" spans="1:13">
      <c r="A66" s="56">
        <v>55</v>
      </c>
      <c r="B66" s="154" t="s">
        <v>5695</v>
      </c>
      <c r="C66" s="149">
        <f>($C$5+7.3)/1.13</f>
        <v>86.1061946902655</v>
      </c>
      <c r="D66" s="149">
        <v>86.1061946902655</v>
      </c>
      <c r="E66" s="166"/>
      <c r="F66" s="127" t="s">
        <v>5696</v>
      </c>
      <c r="G66" s="149">
        <f>($C$5*0.4+$G$7*0.6+10+24.7)/1.13</f>
        <v>75.4477876106195</v>
      </c>
      <c r="H66" s="150">
        <v>75.2407079646018</v>
      </c>
      <c r="I66" s="14"/>
      <c r="J66" s="63"/>
      <c r="K66" s="64"/>
      <c r="L66" s="167"/>
      <c r="M66" s="28"/>
    </row>
    <row r="67" s="2" customFormat="1" ht="27" customHeight="1" spans="1:13">
      <c r="A67" s="56">
        <v>56</v>
      </c>
      <c r="B67" s="168" t="s">
        <v>1960</v>
      </c>
      <c r="C67" s="149">
        <f>($C$5+7.99)/1.13</f>
        <v>86.716814159292</v>
      </c>
      <c r="D67" s="149">
        <v>86.716814159292</v>
      </c>
      <c r="E67" s="166"/>
      <c r="F67" s="127" t="s">
        <v>5697</v>
      </c>
      <c r="G67" s="149">
        <f>($C$5*0.4+$G$7*0.6+10+21.5)/1.13</f>
        <v>72.6159292035398</v>
      </c>
      <c r="H67" s="150">
        <v>72.4088495575221</v>
      </c>
      <c r="I67" s="14"/>
      <c r="J67" s="63"/>
      <c r="K67" s="64"/>
      <c r="M67" s="28"/>
    </row>
    <row r="68" s="2" customFormat="1" ht="27" customHeight="1" spans="1:13">
      <c r="A68" s="56">
        <v>57</v>
      </c>
      <c r="B68" s="168" t="s">
        <v>3526</v>
      </c>
      <c r="C68" s="149">
        <f>($C$5+7.6)/1.13</f>
        <v>86.3716814159292</v>
      </c>
      <c r="D68" s="149">
        <v>86.3716814159292</v>
      </c>
      <c r="E68" s="166"/>
      <c r="F68" s="127" t="s">
        <v>5698</v>
      </c>
      <c r="G68" s="149">
        <f>($C$5*0.4+$G$7*0.6+10+23)/1.13</f>
        <v>73.9433628318584</v>
      </c>
      <c r="H68" s="150">
        <v>73.7362831858407</v>
      </c>
      <c r="I68" s="14"/>
      <c r="J68" s="63"/>
      <c r="K68" s="64"/>
      <c r="M68" s="28"/>
    </row>
    <row r="69" s="2" customFormat="1" ht="27" customHeight="1" spans="1:13">
      <c r="A69" s="169">
        <v>58</v>
      </c>
      <c r="B69" s="170"/>
      <c r="C69" s="171"/>
      <c r="D69" s="171"/>
      <c r="E69" s="172"/>
      <c r="F69" s="173" t="s">
        <v>5699</v>
      </c>
      <c r="G69" s="174">
        <f>($C$5*0.4+$G$7*0.6+10+24.2)/1.13</f>
        <v>75.0053097345133</v>
      </c>
      <c r="H69" s="175">
        <v>74.7982300884956</v>
      </c>
      <c r="I69" s="14"/>
      <c r="J69" s="63"/>
      <c r="K69" s="64"/>
      <c r="M69" s="28"/>
    </row>
    <row r="70" s="2" customFormat="1" customHeight="1" spans="1:13">
      <c r="A70" s="176"/>
      <c r="B70" s="177"/>
      <c r="C70" s="178"/>
      <c r="D70" s="178"/>
      <c r="E70" s="179"/>
      <c r="F70" s="180"/>
      <c r="I70" s="14"/>
      <c r="J70" s="63"/>
      <c r="K70" s="64"/>
      <c r="M70" s="28"/>
    </row>
    <row r="71" s="2" customFormat="1" customHeight="1" spans="1:13">
      <c r="A71" s="176"/>
      <c r="B71" s="181"/>
      <c r="C71" s="182" t="s">
        <v>5700</v>
      </c>
      <c r="D71" s="183"/>
      <c r="E71" s="184"/>
      <c r="F71" s="184"/>
      <c r="G71" s="185" t="s">
        <v>5701</v>
      </c>
      <c r="H71" s="186"/>
      <c r="I71" s="14"/>
      <c r="J71" s="63"/>
      <c r="K71" s="64"/>
      <c r="M71" s="28"/>
    </row>
    <row r="72" s="2" customFormat="1" customHeight="1" spans="1:13">
      <c r="A72" s="176"/>
      <c r="B72" s="187" t="s">
        <v>5702</v>
      </c>
      <c r="C72" s="188" t="s">
        <v>5703</v>
      </c>
      <c r="D72" s="189"/>
      <c r="E72" s="179"/>
      <c r="F72" s="179"/>
      <c r="G72" s="190" t="s">
        <v>5704</v>
      </c>
      <c r="H72" s="191"/>
      <c r="I72" s="14"/>
      <c r="J72" s="63"/>
      <c r="K72" s="64"/>
      <c r="M72" s="28"/>
    </row>
    <row r="73" s="2" customFormat="1" ht="17" customHeight="1" spans="1:13">
      <c r="A73" s="176"/>
      <c r="B73" s="192"/>
      <c r="C73" s="188" t="s">
        <v>5705</v>
      </c>
      <c r="D73" s="189"/>
      <c r="E73" s="193"/>
      <c r="F73" s="193"/>
      <c r="G73" s="194" t="s">
        <v>5706</v>
      </c>
      <c r="H73" s="195"/>
      <c r="I73" s="14"/>
      <c r="J73" s="167"/>
      <c r="K73" s="64"/>
      <c r="M73" s="28"/>
    </row>
    <row r="74" s="2" customFormat="1" customHeight="1" spans="1:13">
      <c r="A74" s="176"/>
      <c r="B74" s="196" t="s">
        <v>1101</v>
      </c>
      <c r="C74" s="188" t="s">
        <v>5707</v>
      </c>
      <c r="D74" s="189"/>
      <c r="E74" s="193"/>
      <c r="F74" s="193"/>
      <c r="G74" s="179" t="s">
        <v>5708</v>
      </c>
      <c r="H74" s="197"/>
      <c r="I74" s="14"/>
      <c r="J74" s="63"/>
      <c r="K74" s="64"/>
      <c r="M74" s="28"/>
    </row>
    <row r="75" s="2" customFormat="1" customHeight="1" spans="1:13">
      <c r="A75" s="176"/>
      <c r="B75" s="196"/>
      <c r="C75" s="198" t="s">
        <v>5709</v>
      </c>
      <c r="D75" s="199"/>
      <c r="E75" s="198"/>
      <c r="F75" s="198"/>
      <c r="G75" s="179" t="s">
        <v>5708</v>
      </c>
      <c r="H75" s="197"/>
      <c r="I75" s="14"/>
      <c r="J75" s="63"/>
      <c r="K75" s="64"/>
      <c r="M75" s="28"/>
    </row>
    <row r="76" s="2" customFormat="1" customHeight="1" spans="1:13">
      <c r="A76" s="176"/>
      <c r="B76" s="196"/>
      <c r="C76" s="188" t="s">
        <v>5710</v>
      </c>
      <c r="D76" s="189"/>
      <c r="E76" s="200"/>
      <c r="F76" s="200"/>
      <c r="G76" s="201" t="s">
        <v>5711</v>
      </c>
      <c r="H76" s="202"/>
      <c r="I76" s="14"/>
      <c r="J76" s="63"/>
      <c r="K76" s="64"/>
      <c r="M76" s="28"/>
    </row>
    <row r="77" s="2" customFormat="1" ht="42" customHeight="1" spans="1:13">
      <c r="A77" s="176"/>
      <c r="B77" s="196" t="s">
        <v>1004</v>
      </c>
      <c r="C77" s="198" t="s">
        <v>5712</v>
      </c>
      <c r="D77" s="199"/>
      <c r="E77" s="198"/>
      <c r="F77" s="198"/>
      <c r="G77" s="194" t="s">
        <v>5713</v>
      </c>
      <c r="H77" s="195"/>
      <c r="I77" s="14"/>
      <c r="J77" s="63"/>
      <c r="K77" s="64"/>
      <c r="M77" s="28"/>
    </row>
    <row r="78" s="2" customFormat="1" ht="43" customHeight="1" spans="1:13">
      <c r="A78" s="176"/>
      <c r="B78" s="196"/>
      <c r="C78" s="198" t="s">
        <v>5714</v>
      </c>
      <c r="D78" s="199"/>
      <c r="E78" s="198"/>
      <c r="F78" s="198"/>
      <c r="G78" s="194" t="s">
        <v>5715</v>
      </c>
      <c r="H78" s="195"/>
      <c r="I78" s="14"/>
      <c r="J78" s="63"/>
      <c r="K78" s="64"/>
      <c r="M78" s="28"/>
    </row>
    <row r="79" s="2" customFormat="1" ht="39" customHeight="1" spans="1:13">
      <c r="A79" s="176"/>
      <c r="B79" s="196" t="s">
        <v>5716</v>
      </c>
      <c r="C79" s="198" t="s">
        <v>5717</v>
      </c>
      <c r="D79" s="199"/>
      <c r="E79" s="198"/>
      <c r="F79" s="198"/>
      <c r="G79" s="179" t="s">
        <v>5718</v>
      </c>
      <c r="H79" s="197"/>
      <c r="I79" s="14"/>
      <c r="J79" s="63"/>
      <c r="K79" s="64"/>
      <c r="M79" s="28"/>
    </row>
    <row r="80" s="2" customFormat="1" ht="52" customHeight="1" spans="1:13">
      <c r="A80" s="176"/>
      <c r="B80" s="196"/>
      <c r="C80" s="198" t="s">
        <v>5719</v>
      </c>
      <c r="D80" s="199"/>
      <c r="E80" s="198"/>
      <c r="F80" s="198"/>
      <c r="G80" s="194" t="s">
        <v>5720</v>
      </c>
      <c r="H80" s="195"/>
      <c r="I80" s="14"/>
      <c r="J80" s="63"/>
      <c r="K80" s="64"/>
      <c r="M80" s="28"/>
    </row>
    <row r="81" s="2" customFormat="1" ht="40" customHeight="1" spans="1:13">
      <c r="A81" s="176"/>
      <c r="B81" s="196" t="s">
        <v>5721</v>
      </c>
      <c r="C81" s="198" t="s">
        <v>5722</v>
      </c>
      <c r="D81" s="199"/>
      <c r="E81" s="203"/>
      <c r="F81" s="198"/>
      <c r="G81" s="201" t="s">
        <v>5723</v>
      </c>
      <c r="H81" s="202"/>
      <c r="I81" s="14"/>
      <c r="J81" s="63"/>
      <c r="K81" s="64"/>
      <c r="M81" s="28"/>
    </row>
    <row r="82" s="2" customFormat="1" ht="39" customHeight="1" spans="1:13">
      <c r="A82" s="176"/>
      <c r="B82" s="204" t="s">
        <v>173</v>
      </c>
      <c r="C82" s="205" t="s">
        <v>5724</v>
      </c>
      <c r="D82" s="206"/>
      <c r="E82" s="207"/>
      <c r="F82" s="208"/>
      <c r="G82" s="209" t="s">
        <v>5725</v>
      </c>
      <c r="H82" s="210"/>
      <c r="I82" s="14"/>
      <c r="J82" s="63"/>
      <c r="K82" s="64"/>
      <c r="M82" s="28"/>
    </row>
    <row r="83" s="2" customFormat="1" customHeight="1" spans="1:13">
      <c r="A83" s="176"/>
      <c r="C83" s="211"/>
      <c r="D83" s="212"/>
      <c r="E83" s="8"/>
      <c r="F83" s="213"/>
      <c r="G83" s="214"/>
      <c r="H83" s="214"/>
      <c r="I83" s="14"/>
      <c r="J83" s="215"/>
      <c r="K83" s="216"/>
      <c r="M83" s="28"/>
    </row>
    <row r="84" s="2" customFormat="1" customHeight="1" spans="1:13">
      <c r="A84" s="176"/>
      <c r="B84" s="5"/>
      <c r="C84" s="217"/>
      <c r="D84" s="7"/>
      <c r="E84" s="8"/>
      <c r="F84" s="213"/>
      <c r="G84" s="214"/>
      <c r="H84" s="214"/>
      <c r="I84" s="14"/>
      <c r="J84" s="215"/>
      <c r="K84" s="216"/>
      <c r="M84" s="28"/>
    </row>
    <row r="85" s="2" customFormat="1" customHeight="1" spans="1:13">
      <c r="A85" s="176"/>
      <c r="B85" s="5"/>
      <c r="C85" s="217"/>
      <c r="D85" s="7"/>
      <c r="E85" s="8"/>
      <c r="F85" s="213"/>
      <c r="G85" s="214"/>
      <c r="H85" s="214"/>
      <c r="I85" s="14"/>
      <c r="J85" s="215"/>
      <c r="K85" s="216"/>
      <c r="M85" s="28"/>
    </row>
    <row r="86" s="2" customFormat="1" customHeight="1" spans="1:13">
      <c r="A86" s="176"/>
      <c r="B86" s="5"/>
      <c r="C86" s="217"/>
      <c r="D86" s="7"/>
      <c r="E86" s="8"/>
      <c r="F86" s="213"/>
      <c r="G86" s="214"/>
      <c r="H86" s="214"/>
      <c r="I86" s="14"/>
      <c r="J86" s="215"/>
      <c r="K86" s="216"/>
      <c r="M86" s="28"/>
    </row>
    <row r="87" s="2" customFormat="1" customHeight="1" spans="1:13">
      <c r="A87" s="176"/>
      <c r="B87" s="5"/>
      <c r="C87" s="217"/>
      <c r="D87" s="7"/>
      <c r="E87" s="8"/>
      <c r="F87" s="213"/>
      <c r="G87" s="214"/>
      <c r="H87" s="214"/>
      <c r="I87" s="14"/>
      <c r="J87" s="215"/>
      <c r="K87" s="216"/>
      <c r="M87" s="28"/>
    </row>
    <row r="88" s="2" customFormat="1" customHeight="1" spans="1:13">
      <c r="A88" s="176"/>
      <c r="B88" s="5"/>
      <c r="C88" s="217"/>
      <c r="D88" s="7"/>
      <c r="E88" s="8"/>
      <c r="F88" s="213"/>
      <c r="G88" s="214"/>
      <c r="H88" s="214"/>
      <c r="I88" s="14"/>
      <c r="J88" s="215"/>
      <c r="K88" s="216"/>
      <c r="M88" s="28"/>
    </row>
    <row r="89" s="2" customFormat="1" customHeight="1" spans="1:13">
      <c r="A89" s="176"/>
      <c r="B89" s="5"/>
      <c r="C89" s="217"/>
      <c r="D89" s="7"/>
      <c r="E89" s="8"/>
      <c r="F89" s="213"/>
      <c r="G89" s="214"/>
      <c r="H89" s="214"/>
      <c r="I89" s="14"/>
      <c r="J89" s="215"/>
      <c r="K89" s="216"/>
      <c r="M89" s="28"/>
    </row>
    <row r="90" s="2" customFormat="1" customHeight="1" spans="1:13">
      <c r="A90" s="176"/>
      <c r="B90" s="5"/>
      <c r="C90" s="217"/>
      <c r="D90" s="7"/>
      <c r="E90" s="8"/>
      <c r="F90" s="213"/>
      <c r="G90" s="214"/>
      <c r="H90" s="214"/>
      <c r="I90" s="14"/>
      <c r="J90" s="215"/>
      <c r="K90" s="216"/>
      <c r="M90" s="28"/>
    </row>
    <row r="91" s="2" customFormat="1" customHeight="1" spans="1:13">
      <c r="A91" s="176"/>
      <c r="B91" s="5"/>
      <c r="C91" s="217"/>
      <c r="D91" s="7"/>
      <c r="E91" s="8"/>
      <c r="F91" s="213"/>
      <c r="G91" s="214"/>
      <c r="H91" s="214"/>
      <c r="I91" s="14"/>
      <c r="J91" s="215"/>
      <c r="K91" s="216"/>
      <c r="M91" s="28"/>
    </row>
    <row r="92" s="2" customFormat="1" customHeight="1" spans="1:13">
      <c r="A92" s="176"/>
      <c r="B92" s="5"/>
      <c r="C92" s="217"/>
      <c r="D92" s="7"/>
      <c r="E92" s="8"/>
      <c r="F92" s="213"/>
      <c r="G92" s="214"/>
      <c r="H92" s="214"/>
      <c r="I92" s="14"/>
      <c r="J92" s="215"/>
      <c r="K92" s="216"/>
      <c r="M92" s="28"/>
    </row>
    <row r="93" s="2" customFormat="1" customHeight="1" spans="1:13">
      <c r="A93" s="176"/>
      <c r="B93" s="5"/>
      <c r="C93" s="217"/>
      <c r="D93" s="7"/>
      <c r="E93" s="8"/>
      <c r="F93" s="213"/>
      <c r="G93" s="214"/>
      <c r="H93" s="214"/>
      <c r="I93" s="14"/>
      <c r="J93" s="215"/>
      <c r="K93" s="216"/>
      <c r="M93" s="28"/>
    </row>
    <row r="94" s="2" customFormat="1" customHeight="1" spans="1:13">
      <c r="A94" s="176"/>
      <c r="B94" s="5"/>
      <c r="C94" s="217"/>
      <c r="D94" s="7"/>
      <c r="E94" s="8"/>
      <c r="F94" s="213"/>
      <c r="G94" s="214"/>
      <c r="H94" s="214"/>
      <c r="I94" s="14"/>
      <c r="J94" s="215"/>
      <c r="K94" s="216"/>
      <c r="M94" s="28"/>
    </row>
    <row r="95" s="2" customFormat="1" customHeight="1" spans="1:13">
      <c r="A95" s="176"/>
      <c r="B95" s="5"/>
      <c r="C95" s="217"/>
      <c r="D95" s="7"/>
      <c r="E95" s="8"/>
      <c r="F95" s="213"/>
      <c r="G95" s="214"/>
      <c r="H95" s="214"/>
      <c r="I95" s="14"/>
      <c r="J95" s="215"/>
      <c r="K95" s="216"/>
      <c r="M95" s="28"/>
    </row>
    <row r="96" s="2" customFormat="1" customHeight="1" spans="1:13">
      <c r="A96" s="176"/>
      <c r="B96" s="5"/>
      <c r="C96" s="217"/>
      <c r="D96" s="7"/>
      <c r="E96" s="8"/>
      <c r="F96" s="213"/>
      <c r="G96" s="214"/>
      <c r="H96" s="214"/>
      <c r="I96" s="14"/>
      <c r="J96" s="215"/>
      <c r="K96" s="216"/>
      <c r="M96" s="28"/>
    </row>
    <row r="97" s="2" customFormat="1" customHeight="1" spans="1:27">
      <c r="A97" s="176"/>
      <c r="B97" s="5"/>
      <c r="C97" s="217"/>
      <c r="D97" s="7"/>
      <c r="E97" s="8"/>
      <c r="F97" s="213"/>
      <c r="G97" s="214"/>
      <c r="H97" s="214"/>
      <c r="I97" s="14"/>
      <c r="J97" s="215"/>
      <c r="K97" s="216"/>
      <c r="M97" s="28"/>
    </row>
    <row r="98" s="2" customFormat="1" customHeight="1" spans="1:27">
      <c r="A98" s="176"/>
      <c r="B98" s="5"/>
      <c r="C98" s="217"/>
      <c r="D98" s="7"/>
      <c r="E98" s="8"/>
      <c r="F98" s="213"/>
      <c r="G98" s="214"/>
      <c r="H98" s="214"/>
      <c r="I98" s="14"/>
      <c r="J98" s="215"/>
      <c r="K98" s="216"/>
      <c r="M98" s="28"/>
    </row>
    <row r="99" s="2" customFormat="1" customHeight="1" spans="1:27">
      <c r="A99" s="176"/>
      <c r="B99" s="5"/>
      <c r="C99" s="217"/>
      <c r="D99" s="7"/>
      <c r="E99" s="8"/>
      <c r="F99" s="213"/>
      <c r="G99" s="214"/>
      <c r="H99" s="214"/>
      <c r="I99" s="14"/>
      <c r="J99" s="215"/>
      <c r="K99" s="216"/>
      <c r="M99" s="28"/>
    </row>
    <row r="100" s="2" customFormat="1" customHeight="1" spans="1:27">
      <c r="A100" s="176"/>
      <c r="B100" s="5"/>
      <c r="C100" s="217"/>
      <c r="D100" s="7"/>
      <c r="E100" s="8"/>
      <c r="F100" s="213"/>
      <c r="G100" s="214"/>
      <c r="H100" s="214"/>
      <c r="I100" s="14"/>
      <c r="J100" s="215"/>
      <c r="K100" s="216"/>
      <c r="M100" s="28"/>
    </row>
    <row r="101" s="2" customFormat="1" customHeight="1" spans="1:27">
      <c r="A101" s="176"/>
      <c r="B101" s="5"/>
      <c r="C101" s="217"/>
      <c r="D101" s="7"/>
      <c r="E101" s="8"/>
      <c r="F101" s="213"/>
      <c r="G101" s="214"/>
      <c r="H101" s="214"/>
      <c r="I101" s="14"/>
      <c r="J101" s="215"/>
      <c r="K101" s="216"/>
      <c r="M101" s="28"/>
    </row>
    <row r="102" s="2" customFormat="1" customHeight="1" spans="1:27">
      <c r="A102" s="176"/>
      <c r="B102" s="5"/>
      <c r="C102" s="217"/>
      <c r="D102" s="7"/>
      <c r="E102" s="8"/>
      <c r="F102" s="213"/>
      <c r="G102" s="214"/>
      <c r="H102" s="214"/>
      <c r="I102" s="14"/>
      <c r="J102" s="215"/>
      <c r="K102" s="216"/>
      <c r="M102" s="28"/>
    </row>
    <row r="103" s="2" customFormat="1" customHeight="1" spans="1:27">
      <c r="A103" s="176"/>
      <c r="B103" s="5"/>
      <c r="C103" s="217"/>
      <c r="D103" s="7"/>
      <c r="E103" s="8"/>
      <c r="F103" s="213"/>
      <c r="G103" s="214"/>
      <c r="H103" s="214"/>
      <c r="I103" s="14"/>
      <c r="M103" s="28"/>
    </row>
    <row r="104" s="2" customFormat="1" customHeight="1" spans="1:27">
      <c r="A104" s="176"/>
      <c r="B104" s="5"/>
      <c r="C104" s="217"/>
      <c r="D104" s="7"/>
      <c r="E104" s="8"/>
      <c r="F104" s="9"/>
      <c r="G104" s="10"/>
      <c r="H104" s="10"/>
      <c r="I104" s="14"/>
      <c r="M104" s="28"/>
      <c r="V104" s="12"/>
      <c r="W104" s="12"/>
      <c r="X104" s="12"/>
      <c r="Y104" s="12"/>
      <c r="Z104" s="12"/>
      <c r="AA104" s="12"/>
    </row>
    <row r="105" customHeight="1" spans="1:27">
      <c r="A105" s="176"/>
      <c r="I105" s="14"/>
    </row>
  </sheetData>
  <autoFilter xmlns:etc="http://www.wps.cn/officeDocument/2017/etCustomData" ref="A2:R69" etc:filterBottomFollowUsedRange="0">
    <extLst/>
  </autoFilter>
  <mergeCells count="31">
    <mergeCell ref="A2:H2"/>
    <mergeCell ref="O2:P2"/>
    <mergeCell ref="Q2:R2"/>
    <mergeCell ref="S2:T2"/>
    <mergeCell ref="C3:D3"/>
    <mergeCell ref="G3:H3"/>
    <mergeCell ref="Z4:AA4"/>
    <mergeCell ref="AB4:AC4"/>
    <mergeCell ref="AD4:AE4"/>
    <mergeCell ref="AF4:AG4"/>
    <mergeCell ref="C71:D71"/>
    <mergeCell ref="C72:D72"/>
    <mergeCell ref="C73:D73"/>
    <mergeCell ref="G73:H73"/>
    <mergeCell ref="C74:D74"/>
    <mergeCell ref="G74:H74"/>
    <mergeCell ref="G75:H75"/>
    <mergeCell ref="C76:D76"/>
    <mergeCell ref="G76:H76"/>
    <mergeCell ref="G77:H77"/>
    <mergeCell ref="G78:H78"/>
    <mergeCell ref="G79:H79"/>
    <mergeCell ref="G80:H80"/>
    <mergeCell ref="G81:H81"/>
    <mergeCell ref="G82:H82"/>
    <mergeCell ref="A3:A4"/>
    <mergeCell ref="B3:B4"/>
    <mergeCell ref="B74:B76"/>
    <mergeCell ref="B77:B78"/>
    <mergeCell ref="B79:B80"/>
    <mergeCell ref="F3:F4"/>
  </mergeCells>
  <printOptions horizontalCentered="1"/>
  <pageMargins left="0.156944444444444" right="0.156944444444444" top="0" bottom="0" header="0.156944444444444" footer="0.156944444444444"/>
  <pageSetup paperSize="9" scale="90" orientation="portrait" horizontalDpi="600" verticalDpi="600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e34275-c8f3-46bf-9992-c1b53541b0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原表</vt:lpstr>
      <vt:lpstr>废料清单</vt:lpstr>
      <vt:lpstr>2026.10.1-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三叶草</cp:lastModifiedBy>
  <dcterms:created xsi:type="dcterms:W3CDTF">2026-10-17T05:54:00Z</dcterms:created>
  <dcterms:modified xsi:type="dcterms:W3CDTF">2026-10-17T06:50:42Z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UFIDA_U9App_DataSourceXMLPart">
    <vt:lpwstr>{3fe34275-c8f3-46bf-9992-c1b53541b054}</vt:lpwstr>
  </property>
  <property fmtid="{D5CDD505-2E9C-101B-9397-08002B2CF9AE}" pid="4" name="ICV">
    <vt:lpwstr>A359FD8327824B569513F65691C73CFE_13</vt:lpwstr>
  </property>
  <property fmtid="{D5CDD505-2E9C-101B-9397-08002B2CF9AE}" pid="5" name="KSOProductBuildVer">
    <vt:lpwstr>2052-12.1.0.28505</vt:lpwstr>
  </property>
  <property fmtid="{D5CDD505-2E9C-101B-9397-08002B2CF9AE}" pid="6" name="CalculationRule">
    <vt:i4>0</vt:i4>
  </property>
</Properties>
</file>