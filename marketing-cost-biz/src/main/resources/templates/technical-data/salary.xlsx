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/commen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5420" windowHeight="5505" tabRatio="600" firstSheet="0" activeTab="0" autoFilterDateGrouping="1"/>
  </bookViews>
  <sheets>
    <sheet xmlns:r="http://schemas.openxmlformats.org/officeDocument/2006/relationships" name="Sheet1" sheetId="1" state="visible" r:id="rId1"/>
  </sheets>
  <calcPr calcId="144525" fullCalcOnLoad="1" concurrentCalc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4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1" fillId="16" borderId="0" applyAlignment="1">
      <alignment vertical="center"/>
    </xf>
    <xf numFmtId="0" fontId="9" fillId="6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1" fillId="13" borderId="0" applyAlignment="1">
      <alignment vertical="center"/>
    </xf>
    <xf numFmtId="0" fontId="4" fillId="4" borderId="0" applyAlignment="1">
      <alignment vertical="center"/>
    </xf>
    <xf numFmtId="43" fontId="0" fillId="0" borderId="0" applyAlignment="1">
      <alignment vertical="center"/>
    </xf>
    <xf numFmtId="0" fontId="10" fillId="19" borderId="0" applyAlignment="1">
      <alignment vertical="center"/>
    </xf>
    <xf numFmtId="0" fontId="15" fillId="0" borderId="0" applyAlignment="1">
      <alignment vertical="center"/>
    </xf>
    <xf numFmtId="9" fontId="0" fillId="0" borderId="0" applyAlignment="1">
      <alignment vertical="center"/>
    </xf>
    <xf numFmtId="0" fontId="3" fillId="0" borderId="0" applyAlignment="1">
      <alignment vertical="center"/>
    </xf>
    <xf numFmtId="0" fontId="0" fillId="12" borderId="5" applyAlignment="1">
      <alignment vertical="center"/>
    </xf>
    <xf numFmtId="0" fontId="10" fillId="11" borderId="0" applyAlignment="1">
      <alignment vertical="center"/>
    </xf>
    <xf numFmtId="0" fontId="6" fillId="0" borderId="0" applyAlignment="1">
      <alignment vertical="center"/>
    </xf>
    <xf numFmtId="0" fontId="14" fillId="0" borderId="0" applyAlignment="1">
      <alignment vertical="center"/>
    </xf>
    <xf numFmtId="0" fontId="13" fillId="0" borderId="0" applyAlignment="1">
      <alignment vertical="center"/>
    </xf>
    <xf numFmtId="0" fontId="12" fillId="0" borderId="0" applyAlignment="1">
      <alignment vertical="center"/>
    </xf>
    <xf numFmtId="0" fontId="8" fillId="0" borderId="3" applyAlignment="1">
      <alignment vertical="center"/>
    </xf>
    <xf numFmtId="0" fontId="17" fillId="0" borderId="3" applyAlignment="1">
      <alignment vertical="center"/>
    </xf>
    <xf numFmtId="0" fontId="10" fillId="25" borderId="0" applyAlignment="1">
      <alignment vertical="center"/>
    </xf>
    <xf numFmtId="0" fontId="6" fillId="0" borderId="7" applyAlignment="1">
      <alignment vertical="center"/>
    </xf>
    <xf numFmtId="0" fontId="10" fillId="23" borderId="0" applyAlignment="1">
      <alignment vertical="center"/>
    </xf>
    <xf numFmtId="0" fontId="20" fillId="24" borderId="8" applyAlignment="1">
      <alignment vertical="center"/>
    </xf>
    <xf numFmtId="0" fontId="18" fillId="24" borderId="4" applyAlignment="1">
      <alignment vertical="center"/>
    </xf>
    <xf numFmtId="0" fontId="21" fillId="32" borderId="9" applyAlignment="1">
      <alignment vertical="center"/>
    </xf>
    <xf numFmtId="0" fontId="11" fillId="22" borderId="0" applyAlignment="1">
      <alignment vertical="center"/>
    </xf>
    <xf numFmtId="0" fontId="10" fillId="34" borderId="0" applyAlignment="1">
      <alignment vertical="center"/>
    </xf>
    <xf numFmtId="0" fontId="19" fillId="0" borderId="6" applyAlignment="1">
      <alignment vertical="center"/>
    </xf>
    <xf numFmtId="0" fontId="7" fillId="0" borderId="2" applyAlignment="1">
      <alignment vertical="center"/>
    </xf>
    <xf numFmtId="0" fontId="5" fillId="5" borderId="0" applyAlignment="1">
      <alignment vertical="center"/>
    </xf>
    <xf numFmtId="0" fontId="16" fillId="20" borderId="0" applyAlignment="1">
      <alignment vertical="center"/>
    </xf>
    <xf numFmtId="0" fontId="11" fillId="30" borderId="0" applyAlignment="1">
      <alignment vertical="center"/>
    </xf>
    <xf numFmtId="0" fontId="10" fillId="31" borderId="0" applyAlignment="1">
      <alignment vertical="center"/>
    </xf>
    <xf numFmtId="0" fontId="11" fillId="10" borderId="0" applyAlignment="1">
      <alignment vertical="center"/>
    </xf>
    <xf numFmtId="0" fontId="11" fillId="15" borderId="0" applyAlignment="1">
      <alignment vertical="center"/>
    </xf>
    <xf numFmtId="0" fontId="11" fillId="21" borderId="0" applyAlignment="1">
      <alignment vertical="center"/>
    </xf>
    <xf numFmtId="0" fontId="11" fillId="9" borderId="0" applyAlignment="1">
      <alignment vertical="center"/>
    </xf>
    <xf numFmtId="0" fontId="10" fillId="28" borderId="0" applyAlignment="1">
      <alignment vertical="center"/>
    </xf>
    <xf numFmtId="0" fontId="10" fillId="8" borderId="0" applyAlignment="1">
      <alignment vertical="center"/>
    </xf>
    <xf numFmtId="0" fontId="11" fillId="14" borderId="0" applyAlignment="1">
      <alignment vertical="center"/>
    </xf>
    <xf numFmtId="0" fontId="11" fillId="29" borderId="0" applyAlignment="1">
      <alignment vertical="center"/>
    </xf>
    <xf numFmtId="0" fontId="10" fillId="18" borderId="0" applyAlignment="1">
      <alignment vertical="center"/>
    </xf>
    <xf numFmtId="0" fontId="11" fillId="33" borderId="0" applyAlignment="1">
      <alignment vertical="center"/>
    </xf>
    <xf numFmtId="0" fontId="10" fillId="27" borderId="0" applyAlignment="1">
      <alignment vertical="center"/>
    </xf>
    <xf numFmtId="0" fontId="10" fillId="17" borderId="0" applyAlignment="1">
      <alignment vertical="center"/>
    </xf>
    <xf numFmtId="0" fontId="11" fillId="26" borderId="0" applyAlignment="1">
      <alignment vertical="center"/>
    </xf>
    <xf numFmtId="0" fontId="10" fillId="7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2" borderId="1" applyAlignment="1" applyProtection="1" pivotButton="0" quotePrefix="0" xfId="0">
      <alignment vertical="center"/>
      <protection locked="0" hidden="0"/>
    </xf>
    <xf numFmtId="0" fontId="1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comments/comment1.xml><?xml version="1.0" encoding="utf-8"?>
<comments xmlns="http://schemas.openxmlformats.org/spreadsheetml/2006/main">
  <authors>
    <author>报价系统</author>
  </authors>
  <commentList>
    <comment ref="K2" authorId="0" shapeId="0">
      <text>
        <t>单件工资单位为分。报价系统按模板公式重新计算，合计除以100后计入直接人工工资（元/只）。空白预留行不计入。</t>
      </text>
    </comment>
  </commentList>
</comment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wsDr xmlns="http://schemas.openxmlformats.org/drawingml/2006/spreadsheetDrawing">
  <twoCellAnchor>
    <from>
      <col>12</col>
      <colOff>295275</colOff>
      <row>3</row>
      <rowOff>28575</rowOff>
    </from>
    <to>
      <col>23</col>
      <colOff>199390</colOff>
      <row>54</row>
      <rowOff>103505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01100" y="1076325"/>
          <a:ext cx="7447915" cy="8818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anysvml" Target="../drawings/commentsDrawing1.vml" Type="http://schemas.openxmlformats.org/officeDocument/2006/relationships/vmlDrawing"/><Relationship Id="comments" Target="../comments/comment1.xml" Type="http://schemas.openxmlformats.org/officeDocument/2006/relationships/comments"/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pane ySplit="2" topLeftCell="A3" activePane="bottomLeft" state="frozen"/>
      <selection activeCell="A1" sqref="A1"/>
      <selection pane="bottomLeft" activeCell="H10" sqref="H10"/>
    </sheetView>
  </sheetViews>
  <sheetFormatPr baseColWidth="8" defaultColWidth="9" defaultRowHeight="13.5"/>
  <cols>
    <col min="1" max="10" customWidth="true" style="2" width="9.0" collapsed="false"/>
    <col min="11" max="11" customWidth="true" style="2" width="12.625" collapsed="false"/>
    <col min="12" max="16384" customWidth="true" style="2" width="9.0" collapsed="false"/>
  </cols>
  <sheetData>
    <row r="1" ht="27" customHeight="1" s="11">
      <c r="A1" s="3" t="inlineStr">
        <is>
          <t>2026年工时工资模板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3" t="n"/>
    </row>
    <row r="2" ht="42" customFormat="1" customHeight="1" s="1">
      <c r="A2" s="4" t="inlineStr">
        <is>
          <t>零部件名称</t>
        </is>
      </c>
      <c r="B2" s="4" t="inlineStr">
        <is>
          <t>零部件型号</t>
        </is>
      </c>
      <c r="C2" s="4" t="inlineStr">
        <is>
          <t>加工设备</t>
        </is>
      </c>
      <c r="D2" s="4" t="inlineStr">
        <is>
          <t>工序号</t>
        </is>
      </c>
      <c r="E2" s="4" t="inlineStr">
        <is>
          <t>工序名称</t>
        </is>
      </c>
      <c r="F2" s="4" t="inlineStr">
        <is>
          <t>人员配置</t>
        </is>
      </c>
      <c r="G2" s="4" t="inlineStr">
        <is>
          <t>理论节拍</t>
        </is>
      </c>
      <c r="H2" s="4" t="inlineStr">
        <is>
          <t>小时工资标准</t>
        </is>
      </c>
      <c r="I2" s="7" t="inlineStr">
        <is>
          <t>理论班产</t>
        </is>
      </c>
      <c r="J2" s="7" t="inlineStr">
        <is>
          <t>单件工时</t>
        </is>
      </c>
      <c r="K2" s="7" t="inlineStr">
        <is>
          <t>单件工资</t>
        </is>
      </c>
      <c r="L2" s="8" t="inlineStr">
        <is>
          <t>备注</t>
        </is>
      </c>
    </row>
    <row r="3">
      <c r="A3" s="5" t="inlineStr">
        <is>
          <t>XXX</t>
        </is>
      </c>
      <c r="B3" s="5" t="inlineStr">
        <is>
          <t>XXXX</t>
        </is>
      </c>
      <c r="C3" s="5" t="inlineStr">
        <is>
          <t>XXX</t>
        </is>
      </c>
      <c r="D3" s="5" t="n">
        <v>10</v>
      </c>
      <c r="E3" s="5" t="inlineStr">
        <is>
          <t>XXX</t>
        </is>
      </c>
      <c r="F3" s="5" t="n">
        <v>1</v>
      </c>
      <c r="G3" s="5" t="n">
        <v>10</v>
      </c>
      <c r="H3" s="5" t="n">
        <v>23</v>
      </c>
      <c r="I3" s="9" t="n">
        <f>IF(OR(F3="",G3="",H3=""),"",ROUNDDOWN(25200/G3,0))</f>
        <v>2520.0</v>
      </c>
      <c r="J3" s="9" t="n">
        <f>IF(OR(F3="",G3="",H3=""),"",ROUND(28800/I3*F3,4))</f>
        <v>11.4286</v>
      </c>
      <c r="K3" s="9" t="n">
        <f>IF(OR(F3="",G3="",H3=""),"",ROUND(J3*H3*100*1.03/3600,4))</f>
        <v>7.5207</v>
      </c>
      <c r="L3" s="10" t="n"/>
    </row>
    <row r="4">
      <c r="A4" s="5" t="n"/>
      <c r="B4" s="5" t="n"/>
      <c r="C4" s="5" t="n"/>
      <c r="D4" s="5" t="n">
        <v>20</v>
      </c>
      <c r="E4" s="5" t="n"/>
      <c r="F4" s="5" t="n">
        <v>1</v>
      </c>
      <c r="G4" s="6" t="n">
        <v>10</v>
      </c>
      <c r="H4" s="5" t="n">
        <v>26.5</v>
      </c>
      <c r="I4" s="9" t="n">
        <f>IF(OR(F4="",G4="",H4=""),"",ROUNDDOWN(25200/G4,0))</f>
        <v>2520.0</v>
      </c>
      <c r="J4" s="9" t="n">
        <f>IF(OR(F4="",G4="",H4=""),"",ROUND(28800/I4*F4,4))</f>
        <v>11.4286</v>
      </c>
      <c r="K4" s="9" t="n">
        <f>IF(OR(F4="",G4="",H4=""),"",ROUND(J4*H4*100*1.03/3600,4))</f>
        <v>8.6651</v>
      </c>
      <c r="L4" s="10" t="n"/>
    </row>
    <row r="5">
      <c r="A5" s="5" t="n"/>
      <c r="B5" s="5" t="n"/>
      <c r="C5" s="5" t="n"/>
      <c r="D5" s="5" t="n">
        <v>30</v>
      </c>
      <c r="E5" s="5" t="n"/>
      <c r="F5" s="5" t="n">
        <v>2</v>
      </c>
      <c r="G5" s="6" t="n">
        <v>10</v>
      </c>
      <c r="H5" s="5" t="n">
        <v>23</v>
      </c>
      <c r="I5" s="9" t="n">
        <f>IF(OR(F5="",G5="",H5=""),"",ROUNDDOWN(25200/G5,0))</f>
        <v>2520.0</v>
      </c>
      <c r="J5" s="9" t="n">
        <f>IF(OR(F5="",G5="",H5=""),"",ROUND(28800/I5*F5,4))</f>
        <v>22.8571</v>
      </c>
      <c r="K5" s="9" t="n">
        <f>IF(OR(F5="",G5="",H5=""),"",ROUND(J5*H5*100*1.03/3600,4))</f>
        <v>15.0412</v>
      </c>
      <c r="L5" s="10" t="n"/>
    </row>
    <row r="6">
      <c r="A6" s="5" t="n"/>
      <c r="B6" s="5" t="n"/>
      <c r="C6" s="5" t="n"/>
      <c r="D6" s="5" t="n">
        <v>40</v>
      </c>
      <c r="E6" s="5" t="n"/>
      <c r="F6" s="5" t="n">
        <v>2</v>
      </c>
      <c r="G6" s="6" t="n">
        <v>10</v>
      </c>
      <c r="H6" s="5" t="n">
        <v>26.5</v>
      </c>
      <c r="I6" s="9" t="n">
        <f>IF(OR(F6="",G6="",H6=""),"",ROUNDDOWN(25200/G6,0))</f>
        <v>2520.0</v>
      </c>
      <c r="J6" s="9" t="n">
        <f>IF(OR(F6="",G6="",H6=""),"",ROUND(28800/I6*F6,4))</f>
        <v>22.8571</v>
      </c>
      <c r="K6" s="9" t="n">
        <f>IF(OR(F6="",G6="",H6=""),"",ROUND(J6*H6*100*1.03/3600,4))</f>
        <v>17.3301</v>
      </c>
      <c r="L6" s="10" t="n"/>
    </row>
    <row r="7">
      <c r="A7" s="5" t="n"/>
      <c r="B7" s="5" t="n"/>
      <c r="C7" s="5" t="n"/>
      <c r="D7" s="5" t="n">
        <v>50</v>
      </c>
      <c r="E7" s="5" t="n"/>
      <c r="F7" s="5" t="n">
        <v>0.25</v>
      </c>
      <c r="G7" s="6" t="n">
        <v>10</v>
      </c>
      <c r="H7" s="5" t="n">
        <v>23</v>
      </c>
      <c r="I7" s="9" t="n">
        <f>IF(OR(F7="",G7="",H7=""),"",ROUNDDOWN(25200/G7,0))</f>
        <v>2520.0</v>
      </c>
      <c r="J7" s="9" t="n">
        <f>IF(OR(F7="",G7="",H7=""),"",ROUND(28800/I7*F7,4))</f>
        <v>2.8571</v>
      </c>
      <c r="K7" s="9" t="n">
        <f>IF(OR(F7="",G7="",H7=""),"",ROUND(J7*H7*100*1.03/3600,4))</f>
        <v>1.8801</v>
      </c>
      <c r="L7" s="10" t="n"/>
    </row>
    <row r="8">
      <c r="A8" s="5" t="n"/>
      <c r="B8" s="5" t="n"/>
      <c r="C8" s="5" t="n"/>
      <c r="D8" s="5" t="n"/>
      <c r="E8" s="5" t="n"/>
      <c r="F8" s="5" t="n">
        <v>0.25</v>
      </c>
      <c r="G8" s="6" t="n">
        <v>10</v>
      </c>
      <c r="H8" s="5" t="n">
        <v>26.5</v>
      </c>
      <c r="I8" s="9" t="n">
        <f>IF(OR(F8="",G8="",H8=""),"",ROUNDDOWN(25200/G8,0))</f>
        <v>2520.0</v>
      </c>
      <c r="J8" s="9" t="n">
        <f>IF(OR(F8="",G8="",H8=""),"",ROUND(28800/I8*F8,4))</f>
        <v>2.8571</v>
      </c>
      <c r="K8" s="9" t="n">
        <f>IF(OR(F8="",G8="",H8=""),"",ROUND(J8*H8*100*1.03/3600,4))</f>
        <v>2.1662</v>
      </c>
      <c r="L8" s="10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9" t="str">
        <f>IF(OR(F9="",G9="",H9=""),"",ROUNDDOWN(25200/G9,0))</f>
        <v/>
      </c>
      <c r="J9" s="9" t="str">
        <f>IF(OR(F9="",G9="",H9=""),"",ROUND(28800/I9*F9,4))</f>
        <v/>
      </c>
      <c r="K9" s="9" t="str">
        <f>IF(OR(F9="",G9="",H9=""),"",ROUND(J9*H9*100*1.03/3600,4))</f>
        <v/>
      </c>
      <c r="L9" s="10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9" t="str">
        <f>IF(OR(F10="",G10="",H10=""),"",ROUNDDOWN(25200/G10,0))</f>
        <v/>
      </c>
      <c r="J10" s="9" t="str">
        <f>IF(OR(F10="",G10="",H10=""),"",ROUND(28800/I10*F10,4))</f>
        <v/>
      </c>
      <c r="K10" s="9" t="str">
        <f>IF(OR(F10="",G10="",H10=""),"",ROUND(J10*H10*100*1.03/3600,4))</f>
        <v/>
      </c>
      <c r="L10" s="10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9" t="str">
        <f>IF(OR(F11="",G11="",H11=""),"",ROUNDDOWN(25200/G11,0))</f>
        <v/>
      </c>
      <c r="J11" s="9" t="str">
        <f>IF(OR(F11="",G11="",H11=""),"",ROUND(28800/I11*F11,4))</f>
        <v/>
      </c>
      <c r="K11" s="9" t="str">
        <f>IF(OR(F11="",G11="",H11=""),"",ROUND(J11*H11*100*1.03/3600,4))</f>
        <v/>
      </c>
      <c r="L11" s="10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9" t="str">
        <f>IF(OR(F12="",G12="",H12=""),"",ROUNDDOWN(25200/G12,0))</f>
        <v/>
      </c>
      <c r="J12" s="9" t="str">
        <f>IF(OR(F12="",G12="",H12=""),"",ROUND(28800/I12*F12,4))</f>
        <v/>
      </c>
      <c r="K12" s="9" t="str">
        <f>IF(OR(F12="",G12="",H12=""),"",ROUND(J12*H12*100*1.03/3600,4))</f>
        <v/>
      </c>
      <c r="L12" s="10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9" t="str">
        <f>IF(OR(F13="",G13="",H13=""),"",ROUNDDOWN(25200/G13,0))</f>
        <v/>
      </c>
      <c r="J13" s="9" t="str">
        <f>IF(OR(F13="",G13="",H13=""),"",ROUND(28800/I13*F13,4))</f>
        <v/>
      </c>
      <c r="K13" s="9" t="str">
        <f>IF(OR(F13="",G13="",H13=""),"",ROUND(J13*H13*100*1.03/3600,4))</f>
        <v/>
      </c>
      <c r="L13" s="10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9" t="str">
        <f>IF(OR(F14="",G14="",H14=""),"",ROUNDDOWN(25200/G14,0))</f>
        <v/>
      </c>
      <c r="J14" s="9" t="str">
        <f>IF(OR(F14="",G14="",H14=""),"",ROUND(28800/I14*F14,4))</f>
        <v/>
      </c>
      <c r="K14" s="9" t="str">
        <f>IF(OR(F14="",G14="",H14=""),"",ROUND(J14*H14*100*1.03/3600,4))</f>
        <v/>
      </c>
      <c r="L14" s="10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9" t="str">
        <f>IF(OR(F15="",G15="",H15=""),"",ROUNDDOWN(25200/G15,0))</f>
        <v/>
      </c>
      <c r="J15" s="9" t="str">
        <f>IF(OR(F15="",G15="",H15=""),"",ROUND(28800/I15*F15,4))</f>
        <v/>
      </c>
      <c r="K15" s="9" t="str">
        <f>IF(OR(F15="",G15="",H15=""),"",ROUND(J15*H15*100*1.03/3600,4))</f>
        <v/>
      </c>
      <c r="L15" s="10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9" t="str">
        <f>IF(OR(F16="",G16="",H16=""),"",ROUNDDOWN(25200/G16,0))</f>
        <v/>
      </c>
      <c r="J16" s="9" t="str">
        <f>IF(OR(F16="",G16="",H16=""),"",ROUND(28800/I16*F16,4))</f>
        <v/>
      </c>
      <c r="K16" s="9" t="str">
        <f>IF(OR(F16="",G16="",H16=""),"",ROUND(J16*H16*100*1.03/3600,4))</f>
        <v/>
      </c>
      <c r="L16" s="10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9" t="str">
        <f>IF(OR(F17="",G17="",H17=""),"",ROUNDDOWN(25200/G17,0))</f>
        <v/>
      </c>
      <c r="J17" s="9" t="str">
        <f>IF(OR(F17="",G17="",H17=""),"",ROUND(28800/I17*F17,4))</f>
        <v/>
      </c>
      <c r="K17" s="9" t="str">
        <f>IF(OR(F17="",G17="",H17=""),"",ROUND(J17*H17*100*1.03/3600,4))</f>
        <v/>
      </c>
      <c r="L17" s="10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9" t="str">
        <f>IF(OR(F18="",G18="",H18=""),"",ROUNDDOWN(25200/G18,0))</f>
        <v/>
      </c>
      <c r="J18" s="9" t="str">
        <f>IF(OR(F18="",G18="",H18=""),"",ROUND(28800/I18*F18,4))</f>
        <v/>
      </c>
      <c r="K18" s="9" t="str">
        <f>IF(OR(F18="",G18="",H18=""),"",ROUND(J18*H18*100*1.03/3600,4))</f>
        <v/>
      </c>
      <c r="L18" s="10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9" t="str">
        <f>IF(OR(F19="",G19="",H19=""),"",ROUNDDOWN(25200/G19,0))</f>
        <v/>
      </c>
      <c r="J19" s="9" t="str">
        <f>IF(OR(F19="",G19="",H19=""),"",ROUND(28800/I19*F19,4))</f>
        <v/>
      </c>
      <c r="K19" s="9" t="str">
        <f>IF(OR(F19="",G19="",H19=""),"",ROUND(J19*H19*100*1.03/3600,4))</f>
        <v/>
      </c>
      <c r="L19" s="10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9" t="str">
        <f>IF(OR(F20="",G20="",H20=""),"",ROUNDDOWN(25200/G20,0))</f>
        <v/>
      </c>
      <c r="J20" s="9" t="str">
        <f>IF(OR(F20="",G20="",H20=""),"",ROUND(28800/I20*F20,4))</f>
        <v/>
      </c>
      <c r="K20" s="9" t="str">
        <f>IF(OR(F20="",G20="",H20=""),"",ROUND(J20*H20*100*1.03/3600,4))</f>
        <v/>
      </c>
      <c r="L20" s="10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9" t="str">
        <f>IF(OR(F21="",G21="",H21=""),"",ROUNDDOWN(25200/G21,0))</f>
        <v/>
      </c>
      <c r="J21" s="9" t="str">
        <f>IF(OR(F21="",G21="",H21=""),"",ROUND(28800/I21*F21,4))</f>
        <v/>
      </c>
      <c r="K21" s="9" t="str">
        <f>IF(OR(F21="",G21="",H21=""),"",ROUND(J21*H21*100*1.03/3600,4))</f>
        <v/>
      </c>
      <c r="L21" s="10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9" t="str">
        <f>IF(OR(F22="",G22="",H22=""),"",ROUNDDOWN(25200/G22,0))</f>
        <v/>
      </c>
      <c r="J22" s="9" t="str">
        <f>IF(OR(F22="",G22="",H22=""),"",ROUND(28800/I22*F22,4))</f>
        <v/>
      </c>
      <c r="K22" s="9" t="str">
        <f>IF(OR(F22="",G22="",H22=""),"",ROUND(J22*H22*100*1.03/3600,4))</f>
        <v/>
      </c>
      <c r="L22" s="10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9" t="str">
        <f>IF(OR(F23="",G23="",H23=""),"",ROUNDDOWN(25200/G23,0))</f>
        <v/>
      </c>
      <c r="J23" s="9" t="str">
        <f>IF(OR(F23="",G23="",H23=""),"",ROUND(28800/I23*F23,4))</f>
        <v/>
      </c>
      <c r="K23" s="9" t="str">
        <f>IF(OR(F23="",G23="",H23=""),"",ROUND(J23*H23*100*1.03/3600,4))</f>
        <v/>
      </c>
      <c r="L23" s="10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9" t="str">
        <f>IF(OR(F24="",G24="",H24=""),"",ROUNDDOWN(25200/G24,0))</f>
        <v/>
      </c>
      <c r="J24" s="9" t="str">
        <f>IF(OR(F24="",G24="",H24=""),"",ROUND(28800/I24*F24,4))</f>
        <v/>
      </c>
      <c r="K24" s="9" t="str">
        <f>IF(OR(F24="",G24="",H24=""),"",ROUND(J24*H24*100*1.03/3600,4))</f>
        <v/>
      </c>
      <c r="L24" s="10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9" t="str">
        <f>IF(OR(F25="",G25="",H25=""),"",ROUNDDOWN(25200/G25,0))</f>
        <v/>
      </c>
      <c r="J25" s="9" t="str">
        <f>IF(OR(F25="",G25="",H25=""),"",ROUND(28800/I25*F25,4))</f>
        <v/>
      </c>
      <c r="K25" s="9" t="str">
        <f>IF(OR(F25="",G25="",H25=""),"",ROUND(J25*H25*100*1.03/3600,4))</f>
        <v/>
      </c>
      <c r="L25" s="10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9" t="str">
        <f>IF(OR(F26="",G26="",H26=""),"",ROUNDDOWN(25200/G26,0))</f>
        <v/>
      </c>
      <c r="J26" s="9" t="str">
        <f>IF(OR(F26="",G26="",H26=""),"",ROUND(28800/I26*F26,4))</f>
        <v/>
      </c>
      <c r="K26" s="9" t="str">
        <f>IF(OR(F26="",G26="",H26=""),"",ROUND(J26*H26*100*1.03/3600,4))</f>
        <v/>
      </c>
      <c r="L26" s="10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9" t="str">
        <f>IF(OR(F27="",G27="",H27=""),"",ROUNDDOWN(25200/G27,0))</f>
        <v/>
      </c>
      <c r="J27" s="9" t="str">
        <f>IF(OR(F27="",G27="",H27=""),"",ROUND(28800/I27*F27,4))</f>
        <v/>
      </c>
      <c r="K27" s="9" t="str">
        <f>IF(OR(F27="",G27="",H27=""),"",ROUND(J27*H27*100*1.03/3600,4))</f>
        <v/>
      </c>
      <c r="L27" s="10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9" t="str">
        <f>IF(OR(F28="",G28="",H28=""),"",ROUNDDOWN(25200/G28,0))</f>
        <v/>
      </c>
      <c r="J28" s="9" t="str">
        <f>IF(OR(F28="",G28="",H28=""),"",ROUND(28800/I28*F28,4))</f>
        <v/>
      </c>
      <c r="K28" s="9" t="str">
        <f>IF(OR(F28="",G28="",H28=""),"",ROUND(J28*H28*100*1.03/3600,4))</f>
        <v/>
      </c>
      <c r="L28" s="10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9" t="str">
        <f>IF(OR(F29="",G29="",H29=""),"",ROUNDDOWN(25200/G29,0))</f>
        <v/>
      </c>
      <c r="J29" s="9" t="str">
        <f>IF(OR(F29="",G29="",H29=""),"",ROUND(28800/I29*F29,4))</f>
        <v/>
      </c>
      <c r="K29" s="9" t="str">
        <f>IF(OR(F29="",G29="",H29=""),"",ROUND(J29*H29*100*1.03/3600,4))</f>
        <v/>
      </c>
      <c r="L29" s="10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9" t="str">
        <f>IF(OR(F30="",G30="",H30=""),"",ROUNDDOWN(25200/G30,0))</f>
        <v/>
      </c>
      <c r="J30" s="9" t="str">
        <f>IF(OR(F30="",G30="",H30=""),"",ROUND(28800/I30*F30,4))</f>
        <v/>
      </c>
      <c r="K30" s="9" t="str">
        <f>IF(OR(F30="",G30="",H30=""),"",ROUND(J30*H30*100*1.03/3600,4))</f>
        <v/>
      </c>
      <c r="L30" s="10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9" t="str">
        <f>IF(OR(F31="",G31="",H31=""),"",ROUNDDOWN(25200/G31,0))</f>
        <v/>
      </c>
      <c r="J31" s="9" t="str">
        <f>IF(OR(F31="",G31="",H31=""),"",ROUND(28800/I31*F31,4))</f>
        <v/>
      </c>
      <c r="K31" s="9" t="str">
        <f>IF(OR(F31="",G31="",H31=""),"",ROUND(J31*H31*100*1.03/3600,4))</f>
        <v/>
      </c>
      <c r="L31" s="10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9" t="str">
        <f>IF(OR(F32="",G32="",H32=""),"",ROUNDDOWN(25200/G32,0))</f>
        <v/>
      </c>
      <c r="J32" s="9" t="str">
        <f>IF(OR(F32="",G32="",H32=""),"",ROUND(28800/I32*F32,4))</f>
        <v/>
      </c>
      <c r="K32" s="9" t="str">
        <f>IF(OR(F32="",G32="",H32=""),"",ROUND(J32*H32*100*1.03/3600,4))</f>
        <v/>
      </c>
      <c r="L32" s="10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9" t="str">
        <f>IF(OR(F33="",G33="",H33=""),"",ROUNDDOWN(25200/G33,0))</f>
        <v/>
      </c>
      <c r="J33" s="9" t="str">
        <f>IF(OR(F33="",G33="",H33=""),"",ROUND(28800/I33*F33,4))</f>
        <v/>
      </c>
      <c r="K33" s="9" t="str">
        <f>IF(OR(F33="",G33="",H33=""),"",ROUND(J33*H33*100*1.03/3600,4))</f>
        <v/>
      </c>
      <c r="L33" s="10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9" t="str">
        <f>IF(OR(F34="",G34="",H34=""),"",ROUNDDOWN(25200/G34,0))</f>
        <v/>
      </c>
      <c r="J34" s="9" t="str">
        <f>IF(OR(F34="",G34="",H34=""),"",ROUND(28800/I34*F34,4))</f>
        <v/>
      </c>
      <c r="K34" s="9" t="str">
        <f>IF(OR(F34="",G34="",H34=""),"",ROUND(J34*H34*100*1.03/3600,4))</f>
        <v/>
      </c>
      <c r="L34" s="10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9" t="str">
        <f>IF(OR(F35="",G35="",H35=""),"",ROUNDDOWN(25200/G35,0))</f>
        <v/>
      </c>
      <c r="J35" s="9" t="str">
        <f>IF(OR(F35="",G35="",H35=""),"",ROUND(28800/I35*F35,4))</f>
        <v/>
      </c>
      <c r="K35" s="9" t="str">
        <f>IF(OR(F35="",G35="",H35=""),"",ROUND(J35*H35*100*1.03/3600,4))</f>
        <v/>
      </c>
      <c r="L35" s="10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9" t="str">
        <f>IF(OR(F36="",G36="",H36=""),"",ROUNDDOWN(25200/G36,0))</f>
        <v/>
      </c>
      <c r="J36" s="9" t="str">
        <f>IF(OR(F36="",G36="",H36=""),"",ROUND(28800/I36*F36,4))</f>
        <v/>
      </c>
      <c r="K36" s="9" t="str">
        <f>IF(OR(F36="",G36="",H36=""),"",ROUND(J36*H36*100*1.03/3600,4))</f>
        <v/>
      </c>
      <c r="L36" s="10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9" t="str">
        <f>IF(OR(F37="",G37="",H37=""),"",ROUNDDOWN(25200/G37,0))</f>
        <v/>
      </c>
      <c r="J37" s="9" t="str">
        <f>IF(OR(F37="",G37="",H37=""),"",ROUND(28800/I37*F37,4))</f>
        <v/>
      </c>
      <c r="K37" s="9" t="str">
        <f>IF(OR(F37="",G37="",H37=""),"",ROUND(J37*H37*100*1.03/3600,4))</f>
        <v/>
      </c>
      <c r="L37" s="10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9" t="str">
        <f>IF(OR(F38="",G38="",H38=""),"",ROUNDDOWN(25200/G38,0))</f>
        <v/>
      </c>
      <c r="J38" s="9" t="str">
        <f>IF(OR(F38="",G38="",H38=""),"",ROUND(28800/I38*F38,4))</f>
        <v/>
      </c>
      <c r="K38" s="9" t="str">
        <f>IF(OR(F38="",G38="",H38=""),"",ROUND(J38*H38*100*1.03/3600,4))</f>
        <v/>
      </c>
      <c r="L38" s="10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9" t="str">
        <f>IF(OR(F39="",G39="",H39=""),"",ROUNDDOWN(25200/G39,0))</f>
        <v/>
      </c>
      <c r="J39" s="9" t="str">
        <f>IF(OR(F39="",G39="",H39=""),"",ROUND(28800/I39*F39,4))</f>
        <v/>
      </c>
      <c r="K39" s="9" t="str">
        <f>IF(OR(F39="",G39="",H39=""),"",ROUND(J39*H39*100*1.03/3600,4))</f>
        <v/>
      </c>
      <c r="L39" s="10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9" t="str">
        <f>IF(OR(F40="",G40="",H40=""),"",ROUNDDOWN(25200/G40,0))</f>
        <v/>
      </c>
      <c r="J40" s="9" t="str">
        <f>IF(OR(F40="",G40="",H40=""),"",ROUND(28800/I40*F40,4))</f>
        <v/>
      </c>
      <c r="K40" s="9" t="str">
        <f>IF(OR(F40="",G40="",H40=""),"",ROUND(J40*H40*100*1.03/3600,4))</f>
        <v/>
      </c>
      <c r="L40" s="10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9" t="str">
        <f>IF(OR(F41="",G41="",H41=""),"",ROUNDDOWN(25200/G41,0))</f>
        <v/>
      </c>
      <c r="J41" s="9" t="str">
        <f>IF(OR(F41="",G41="",H41=""),"",ROUND(28800/I41*F41,4))</f>
        <v/>
      </c>
      <c r="K41" s="9" t="str">
        <f>IF(OR(F41="",G41="",H41=""),"",ROUND(J41*H41*100*1.03/3600,4))</f>
        <v/>
      </c>
      <c r="L41" s="10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9" t="str">
        <f>IF(OR(F42="",G42="",H42=""),"",ROUNDDOWN(25200/G42,0))</f>
        <v/>
      </c>
      <c r="J42" s="9" t="str">
        <f>IF(OR(F42="",G42="",H42=""),"",ROUND(28800/I42*F42,4))</f>
        <v/>
      </c>
      <c r="K42" s="9" t="str">
        <f>IF(OR(F42="",G42="",H42=""),"",ROUND(J42*H42*100*1.03/3600,4))</f>
        <v/>
      </c>
      <c r="L42" s="10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9" t="str">
        <f>IF(OR(F43="",G43="",H43=""),"",ROUNDDOWN(25200/G43,0))</f>
        <v/>
      </c>
      <c r="J43" s="9" t="str">
        <f>IF(OR(F43="",G43="",H43=""),"",ROUND(28800/I43*F43,4))</f>
        <v/>
      </c>
      <c r="K43" s="9" t="str">
        <f>IF(OR(F43="",G43="",H43=""),"",ROUND(J43*H43*100*1.03/3600,4))</f>
        <v/>
      </c>
      <c r="L43" s="10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9" t="str">
        <f>IF(OR(F44="",G44="",H44=""),"",ROUNDDOWN(25200/G44,0))</f>
        <v/>
      </c>
      <c r="J44" s="9" t="str">
        <f>IF(OR(F44="",G44="",H44=""),"",ROUND(28800/I44*F44,4))</f>
        <v/>
      </c>
      <c r="K44" s="9" t="str">
        <f>IF(OR(F44="",G44="",H44=""),"",ROUND(J44*H44*100*1.03/3600,4))</f>
        <v/>
      </c>
      <c r="L44" s="10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9" t="str">
        <f>IF(OR(F45="",G45="",H45=""),"",ROUNDDOWN(25200/G45,0))</f>
        <v/>
      </c>
      <c r="J45" s="9" t="str">
        <f>IF(OR(F45="",G45="",H45=""),"",ROUND(28800/I45*F45,4))</f>
        <v/>
      </c>
      <c r="K45" s="9" t="str">
        <f>IF(OR(F45="",G45="",H45=""),"",ROUND(J45*H45*100*1.03/3600,4))</f>
        <v/>
      </c>
      <c r="L45" s="10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9" t="str">
        <f>IF(OR(F46="",G46="",H46=""),"",ROUNDDOWN(25200/G46,0))</f>
        <v/>
      </c>
      <c r="J46" s="9" t="str">
        <f>IF(OR(F46="",G46="",H46=""),"",ROUND(28800/I46*F46,4))</f>
        <v/>
      </c>
      <c r="K46" s="9" t="str">
        <f>IF(OR(F46="",G46="",H46=""),"",ROUND(J46*H46*100*1.03/3600,4))</f>
        <v/>
      </c>
      <c r="L46" s="10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9" t="str">
        <f>IF(OR(F47="",G47="",H47=""),"",ROUNDDOWN(25200/G47,0))</f>
        <v/>
      </c>
      <c r="J47" s="9" t="str">
        <f>IF(OR(F47="",G47="",H47=""),"",ROUND(28800/I47*F47,4))</f>
        <v/>
      </c>
      <c r="K47" s="9" t="str">
        <f>IF(OR(F47="",G47="",H47=""),"",ROUND(J47*H47*100*1.03/3600,4))</f>
        <v/>
      </c>
      <c r="L47" s="10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9" t="str">
        <f>IF(OR(F48="",G48="",H48=""),"",ROUNDDOWN(25200/G48,0))</f>
        <v/>
      </c>
      <c r="J48" s="9" t="str">
        <f>IF(OR(F48="",G48="",H48=""),"",ROUND(28800/I48*F48,4))</f>
        <v/>
      </c>
      <c r="K48" s="9" t="str">
        <f>IF(OR(F48="",G48="",H48=""),"",ROUND(J48*H48*100*1.03/3600,4))</f>
        <v/>
      </c>
      <c r="L48" s="10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9" t="str">
        <f>IF(OR(F49="",G49="",H49=""),"",ROUNDDOWN(25200/G49,0))</f>
        <v/>
      </c>
      <c r="J49" s="9" t="str">
        <f>IF(OR(F49="",G49="",H49=""),"",ROUND(28800/I49*F49,4))</f>
        <v/>
      </c>
      <c r="K49" s="9" t="str">
        <f>IF(OR(F49="",G49="",H49=""),"",ROUND(J49*H49*100*1.03/3600,4))</f>
        <v/>
      </c>
      <c r="L49" s="10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9" t="str">
        <f>IF(OR(F50="",G50="",H50=""),"",ROUNDDOWN(25200/G50,0))</f>
        <v/>
      </c>
      <c r="J50" s="9" t="str">
        <f>IF(OR(F50="",G50="",H50=""),"",ROUND(28800/I50*F50,4))</f>
        <v/>
      </c>
      <c r="K50" s="9" t="str">
        <f>IF(OR(F50="",G50="",H50=""),"",ROUND(J50*H50*100*1.03/3600,4))</f>
        <v/>
      </c>
      <c r="L50" s="10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9" t="str">
        <f>IF(OR(F51="",G51="",H51=""),"",ROUNDDOWN(25200/G51,0))</f>
        <v/>
      </c>
      <c r="J51" s="9" t="str">
        <f>IF(OR(F51="",G51="",H51=""),"",ROUND(28800/I51*F51,4))</f>
        <v/>
      </c>
      <c r="K51" s="9" t="str">
        <f>IF(OR(F51="",G51="",H51=""),"",ROUND(J51*H51*100*1.03/3600,4))</f>
        <v/>
      </c>
      <c r="L51" s="10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9" t="str">
        <f>IF(OR(F52="",G52="",H52=""),"",ROUNDDOWN(25200/G52,0))</f>
        <v/>
      </c>
      <c r="J52" s="9" t="str">
        <f>IF(OR(F52="",G52="",H52=""),"",ROUND(28800/I52*F52,4))</f>
        <v/>
      </c>
      <c r="K52" s="9" t="str">
        <f>IF(OR(F52="",G52="",H52=""),"",ROUND(J52*H52*100*1.03/3600,4))</f>
        <v/>
      </c>
      <c r="L52" s="10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9" t="str">
        <f>IF(OR(F53="",G53="",H53=""),"",ROUNDDOWN(25200/G53,0))</f>
        <v/>
      </c>
      <c r="J53" s="9" t="str">
        <f>IF(OR(F53="",G53="",H53=""),"",ROUND(28800/I53*F53,4))</f>
        <v/>
      </c>
      <c r="K53" s="9" t="str">
        <f>IF(OR(F53="",G53="",H53=""),"",ROUND(J53*H53*100*1.03/3600,4))</f>
        <v/>
      </c>
      <c r="L53" s="10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9" t="str">
        <f>IF(OR(F54="",G54="",H54=""),"",ROUNDDOWN(25200/G54,0))</f>
        <v/>
      </c>
      <c r="J54" s="9" t="str">
        <f>IF(OR(F54="",G54="",H54=""),"",ROUND(28800/I54*F54,4))</f>
        <v/>
      </c>
      <c r="K54" s="9" t="str">
        <f>IF(OR(F54="",G54="",H54=""),"",ROUND(J54*H54*100*1.03/3600,4))</f>
        <v/>
      </c>
      <c r="L54" s="10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9" t="str">
        <f>IF(OR(F55="",G55="",H55=""),"",ROUNDDOWN(25200/G55,0))</f>
        <v/>
      </c>
      <c r="J55" s="9" t="str">
        <f>IF(OR(F55="",G55="",H55=""),"",ROUND(28800/I55*F55,4))</f>
        <v/>
      </c>
      <c r="K55" s="9" t="str">
        <f>IF(OR(F55="",G55="",H55=""),"",ROUND(J55*H55*100*1.03/3600,4))</f>
        <v/>
      </c>
      <c r="L55" s="10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9" t="str">
        <f>IF(OR(F56="",G56="",H56=""),"",ROUNDDOWN(25200/G56,0))</f>
        <v/>
      </c>
      <c r="J56" s="9" t="str">
        <f>IF(OR(F56="",G56="",H56=""),"",ROUND(28800/I56*F56,4))</f>
        <v/>
      </c>
      <c r="K56" s="9" t="str">
        <f>IF(OR(F56="",G56="",H56=""),"",ROUND(J56*H56*100*1.03/3600,4))</f>
        <v/>
      </c>
      <c r="L56" s="10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9" t="str">
        <f>IF(OR(F57="",G57="",H57=""),"",ROUNDDOWN(25200/G57,0))</f>
        <v/>
      </c>
      <c r="J57" s="9" t="str">
        <f>IF(OR(F57="",G57="",H57=""),"",ROUND(28800/I57*F57,4))</f>
        <v/>
      </c>
      <c r="K57" s="9" t="str">
        <f>IF(OR(F57="",G57="",H57=""),"",ROUND(J57*H57*100*1.03/3600,4))</f>
        <v/>
      </c>
      <c r="L57" s="10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9" t="str">
        <f>IF(OR(F58="",G58="",H58=""),"",ROUNDDOWN(25200/G58,0))</f>
        <v/>
      </c>
      <c r="J58" s="9" t="str">
        <f>IF(OR(F58="",G58="",H58=""),"",ROUND(28800/I58*F58,4))</f>
        <v/>
      </c>
      <c r="K58" s="9" t="str">
        <f>IF(OR(F58="",G58="",H58=""),"",ROUND(J58*H58*100*1.03/3600,4))</f>
        <v/>
      </c>
      <c r="L58" s="10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9" t="str">
        <f>IF(OR(F59="",G59="",H59=""),"",ROUNDDOWN(25200/G59,0))</f>
        <v/>
      </c>
      <c r="J59" s="9" t="str">
        <f>IF(OR(F59="",G59="",H59=""),"",ROUND(28800/I59*F59,4))</f>
        <v/>
      </c>
      <c r="K59" s="9" t="str">
        <f>IF(OR(F59="",G59="",H59=""),"",ROUND(J59*H59*100*1.03/3600,4))</f>
        <v/>
      </c>
      <c r="L59" s="10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9" t="str">
        <f>IF(OR(F60="",G60="",H60=""),"",ROUNDDOWN(25200/G60,0))</f>
        <v/>
      </c>
      <c r="J60" s="9" t="str">
        <f>IF(OR(F60="",G60="",H60=""),"",ROUND(28800/I60*F60,4))</f>
        <v/>
      </c>
      <c r="K60" s="9" t="str">
        <f>IF(OR(F60="",G60="",H60=""),"",ROUND(J60*H60*100*1.03/3600,4))</f>
        <v/>
      </c>
      <c r="L60" s="10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9" t="str">
        <f>IF(OR(F61="",G61="",H61=""),"",ROUNDDOWN(25200/G61,0))</f>
        <v/>
      </c>
      <c r="J61" s="9" t="str">
        <f>IF(OR(F61="",G61="",H61=""),"",ROUND(28800/I61*F61,4))</f>
        <v/>
      </c>
      <c r="K61" s="9" t="str">
        <f>IF(OR(F61="",G61="",H61=""),"",ROUND(J61*H61*100*1.03/3600,4))</f>
        <v/>
      </c>
      <c r="L61" s="10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9" t="str">
        <f>IF(OR(F62="",G62="",H62=""),"",ROUNDDOWN(25200/G62,0))</f>
        <v/>
      </c>
      <c r="J62" s="9" t="str">
        <f>IF(OR(F62="",G62="",H62=""),"",ROUND(28800/I62*F62,4))</f>
        <v/>
      </c>
      <c r="K62" s="9" t="str">
        <f>IF(OR(F62="",G62="",H62=""),"",ROUND(J62*H62*100*1.03/3600,4))</f>
        <v/>
      </c>
      <c r="L62" s="10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9" t="str">
        <f>IF(OR(F63="",G63="",H63=""),"",ROUNDDOWN(25200/G63,0))</f>
        <v/>
      </c>
      <c r="J63" s="9" t="str">
        <f>IF(OR(F63="",G63="",H63=""),"",ROUND(28800/I63*F63,4))</f>
        <v/>
      </c>
      <c r="K63" s="9" t="str">
        <f>IF(OR(F63="",G63="",H63=""),"",ROUND(J63*H63*100*1.03/3600,4))</f>
        <v/>
      </c>
      <c r="L63" s="10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9" t="str">
        <f>IF(OR(F64="",G64="",H64=""),"",ROUNDDOWN(25200/G64,0))</f>
        <v/>
      </c>
      <c r="J64" s="9" t="str">
        <f>IF(OR(F64="",G64="",H64=""),"",ROUND(28800/I64*F64,4))</f>
        <v/>
      </c>
      <c r="K64" s="9" t="str">
        <f>IF(OR(F64="",G64="",H64=""),"",ROUND(J64*H64*100*1.03/3600,4))</f>
        <v/>
      </c>
      <c r="L64" s="10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9" t="str">
        <f>IF(OR(F65="",G65="",H65=""),"",ROUNDDOWN(25200/G65,0))</f>
        <v/>
      </c>
      <c r="J65" s="9" t="str">
        <f>IF(OR(F65="",G65="",H65=""),"",ROUND(28800/I65*F65,4))</f>
        <v/>
      </c>
      <c r="K65" s="9" t="str">
        <f>IF(OR(F65="",G65="",H65=""),"",ROUND(J65*H65*100*1.03/3600,4))</f>
        <v/>
      </c>
      <c r="L65" s="10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9" t="str">
        <f>IF(OR(F66="",G66="",H66=""),"",ROUNDDOWN(25200/G66,0))</f>
        <v/>
      </c>
      <c r="J66" s="9" t="str">
        <f>IF(OR(F66="",G66="",H66=""),"",ROUND(28800/I66*F66,4))</f>
        <v/>
      </c>
      <c r="K66" s="9" t="str">
        <f>IF(OR(F66="",G66="",H66=""),"",ROUND(J66*H66*100*1.03/3600,4))</f>
        <v/>
      </c>
      <c r="L66" s="10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9" t="str">
        <f>IF(OR(F67="",G67="",H67=""),"",ROUNDDOWN(25200/G67,0))</f>
        <v/>
      </c>
      <c r="J67" s="9" t="str">
        <f>IF(OR(F67="",G67="",H67=""),"",ROUND(28800/I67*F67,4))</f>
        <v/>
      </c>
      <c r="K67" s="9" t="str">
        <f>IF(OR(F67="",G67="",H67=""),"",ROUND(J67*H67*100*1.03/3600,4))</f>
        <v/>
      </c>
      <c r="L67" s="10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9" t="str">
        <f>IF(OR(F68="",G68="",H68=""),"",ROUNDDOWN(25200/G68,0))</f>
        <v/>
      </c>
      <c r="J68" s="9" t="str">
        <f>IF(OR(F68="",G68="",H68=""),"",ROUND(28800/I68*F68,4))</f>
        <v/>
      </c>
      <c r="K68" s="9" t="str">
        <f>IF(OR(F68="",G68="",H68=""),"",ROUND(J68*H68*100*1.03/3600,4))</f>
        <v/>
      </c>
      <c r="L68" s="10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9" t="str">
        <f>IF(OR(F69="",G69="",H69=""),"",ROUNDDOWN(25200/G69,0))</f>
        <v/>
      </c>
      <c r="J69" s="9" t="str">
        <f>IF(OR(F69="",G69="",H69=""),"",ROUND(28800/I69*F69,4))</f>
        <v/>
      </c>
      <c r="K69" s="9" t="str">
        <f>IF(OR(F69="",G69="",H69=""),"",ROUND(J69*H69*100*1.03/3600,4))</f>
        <v/>
      </c>
      <c r="L69" s="10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9" t="str">
        <f>IF(OR(F70="",G70="",H70=""),"",ROUNDDOWN(25200/G70,0))</f>
        <v/>
      </c>
      <c r="J70" s="9" t="str">
        <f>IF(OR(F70="",G70="",H70=""),"",ROUND(28800/I70*F70,4))</f>
        <v/>
      </c>
      <c r="K70" s="9" t="str">
        <f>IF(OR(F70="",G70="",H70=""),"",ROUND(J70*H70*100*1.03/3600,4))</f>
        <v/>
      </c>
      <c r="L70" s="10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9" t="str">
        <f>IF(OR(F71="",G71="",H71=""),"",ROUNDDOWN(25200/G71,0))</f>
        <v/>
      </c>
      <c r="J71" s="9" t="str">
        <f>IF(OR(F71="",G71="",H71=""),"",ROUND(28800/I71*F71,4))</f>
        <v/>
      </c>
      <c r="K71" s="9" t="str">
        <f>IF(OR(F71="",G71="",H71=""),"",ROUND(J71*H71*100*1.03/3600,4))</f>
        <v/>
      </c>
      <c r="L71" s="10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9" t="str">
        <f>IF(OR(F72="",G72="",H72=""),"",ROUNDDOWN(25200/G72,0))</f>
        <v/>
      </c>
      <c r="J72" s="9" t="str">
        <f>IF(OR(F72="",G72="",H72=""),"",ROUND(28800/I72*F72,4))</f>
        <v/>
      </c>
      <c r="K72" s="9" t="str">
        <f>IF(OR(F72="",G72="",H72=""),"",ROUND(J72*H72*100*1.03/3600,4))</f>
        <v/>
      </c>
      <c r="L72" s="10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9" t="str">
        <f>IF(OR(F73="",G73="",H73=""),"",ROUNDDOWN(25200/G73,0))</f>
        <v/>
      </c>
      <c r="J73" s="9" t="str">
        <f>IF(OR(F73="",G73="",H73=""),"",ROUND(28800/I73*F73,4))</f>
        <v/>
      </c>
      <c r="K73" s="9" t="str">
        <f>IF(OR(F73="",G73="",H73=""),"",ROUND(J73*H73*100*1.03/3600,4))</f>
        <v/>
      </c>
      <c r="L73" s="10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9" t="str">
        <f>IF(OR(F74="",G74="",H74=""),"",ROUNDDOWN(25200/G74,0))</f>
        <v/>
      </c>
      <c r="J74" s="9" t="str">
        <f>IF(OR(F74="",G74="",H74=""),"",ROUND(28800/I74*F74,4))</f>
        <v/>
      </c>
      <c r="K74" s="9" t="str">
        <f>IF(OR(F74="",G74="",H74=""),"",ROUND(J74*H74*100*1.03/3600,4))</f>
        <v/>
      </c>
      <c r="L74" s="10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9" t="str">
        <f>IF(OR(F75="",G75="",H75=""),"",ROUNDDOWN(25200/G75,0))</f>
        <v/>
      </c>
      <c r="J75" s="9" t="str">
        <f>IF(OR(F75="",G75="",H75=""),"",ROUND(28800/I75*F75,4))</f>
        <v/>
      </c>
      <c r="K75" s="9" t="str">
        <f>IF(OR(F75="",G75="",H75=""),"",ROUND(J75*H75*100*1.03/3600,4))</f>
        <v/>
      </c>
      <c r="L75" s="10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9" t="str">
        <f>IF(OR(F76="",G76="",H76=""),"",ROUNDDOWN(25200/G76,0))</f>
        <v/>
      </c>
      <c r="J76" s="9" t="str">
        <f>IF(OR(F76="",G76="",H76=""),"",ROUND(28800/I76*F76,4))</f>
        <v/>
      </c>
      <c r="K76" s="9" t="str">
        <f>IF(OR(F76="",G76="",H76=""),"",ROUND(J76*H76*100*1.03/3600,4))</f>
        <v/>
      </c>
      <c r="L76" s="10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9" t="str">
        <f>IF(OR(F77="",G77="",H77=""),"",ROUNDDOWN(25200/G77,0))</f>
        <v/>
      </c>
      <c r="J77" s="9" t="str">
        <f>IF(OR(F77="",G77="",H77=""),"",ROUND(28800/I77*F77,4))</f>
        <v/>
      </c>
      <c r="K77" s="9" t="str">
        <f>IF(OR(F77="",G77="",H77=""),"",ROUND(J77*H77*100*1.03/3600,4))</f>
        <v/>
      </c>
      <c r="L77" s="10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9" t="str">
        <f>IF(OR(F78="",G78="",H78=""),"",ROUNDDOWN(25200/G78,0))</f>
        <v/>
      </c>
      <c r="J78" s="9" t="str">
        <f>IF(OR(F78="",G78="",H78=""),"",ROUND(28800/I78*F78,4))</f>
        <v/>
      </c>
      <c r="K78" s="9" t="str">
        <f>IF(OR(F78="",G78="",H78=""),"",ROUND(J78*H78*100*1.03/3600,4))</f>
        <v/>
      </c>
      <c r="L78" s="10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9" t="str">
        <f>IF(OR(F79="",G79="",H79=""),"",ROUNDDOWN(25200/G79,0))</f>
        <v/>
      </c>
      <c r="J79" s="9" t="str">
        <f>IF(OR(F79="",G79="",H79=""),"",ROUND(28800/I79*F79,4))</f>
        <v/>
      </c>
      <c r="K79" s="9" t="str">
        <f>IF(OR(F79="",G79="",H79=""),"",ROUND(J79*H79*100*1.03/3600,4))</f>
        <v/>
      </c>
      <c r="L79" s="10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9" t="str">
        <f>IF(OR(F80="",G80="",H80=""),"",ROUNDDOWN(25200/G80,0))</f>
        <v/>
      </c>
      <c r="J80" s="9" t="str">
        <f>IF(OR(F80="",G80="",H80=""),"",ROUND(28800/I80*F80,4))</f>
        <v/>
      </c>
      <c r="K80" s="9" t="str">
        <f>IF(OR(F80="",G80="",H80=""),"",ROUND(J80*H80*100*1.03/3600,4))</f>
        <v/>
      </c>
      <c r="L80" s="10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9" t="str">
        <f>IF(OR(F81="",G81="",H81=""),"",ROUNDDOWN(25200/G81,0))</f>
        <v/>
      </c>
      <c r="J81" s="9" t="str">
        <f>IF(OR(F81="",G81="",H81=""),"",ROUND(28800/I81*F81,4))</f>
        <v/>
      </c>
      <c r="K81" s="9" t="str">
        <f>IF(OR(F81="",G81="",H81=""),"",ROUND(J81*H81*100*1.03/3600,4))</f>
        <v/>
      </c>
      <c r="L81" s="10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9" t="str">
        <f>IF(OR(F82="",G82="",H82=""),"",ROUNDDOWN(25200/G82,0))</f>
        <v/>
      </c>
      <c r="J82" s="9" t="str">
        <f>IF(OR(F82="",G82="",H82=""),"",ROUND(28800/I82*F82,4))</f>
        <v/>
      </c>
      <c r="K82" s="9" t="str">
        <f>IF(OR(F82="",G82="",H82=""),"",ROUND(J82*H82*100*1.03/3600,4))</f>
        <v/>
      </c>
      <c r="L82" s="10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9" t="str">
        <f>IF(OR(F83="",G83="",H83=""),"",ROUNDDOWN(25200/G83,0))</f>
        <v/>
      </c>
      <c r="J83" s="9" t="str">
        <f>IF(OR(F83="",G83="",H83=""),"",ROUND(28800/I83*F83,4))</f>
        <v/>
      </c>
      <c r="K83" s="9" t="str">
        <f>IF(OR(F83="",G83="",H83=""),"",ROUND(J83*H83*100*1.03/3600,4))</f>
        <v/>
      </c>
      <c r="L83" s="10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9" t="str">
        <f>IF(OR(F84="",G84="",H84=""),"",ROUNDDOWN(25200/G84,0))</f>
        <v/>
      </c>
      <c r="J84" s="9" t="str">
        <f>IF(OR(F84="",G84="",H84=""),"",ROUND(28800/I84*F84,4))</f>
        <v/>
      </c>
      <c r="K84" s="9" t="str">
        <f>IF(OR(F84="",G84="",H84=""),"",ROUND(J84*H84*100*1.03/3600,4))</f>
        <v/>
      </c>
      <c r="L84" s="10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9" t="str">
        <f>IF(OR(F85="",G85="",H85=""),"",ROUNDDOWN(25200/G85,0))</f>
        <v/>
      </c>
      <c r="J85" s="9" t="str">
        <f>IF(OR(F85="",G85="",H85=""),"",ROUND(28800/I85*F85,4))</f>
        <v/>
      </c>
      <c r="K85" s="9" t="str">
        <f>IF(OR(F85="",G85="",H85=""),"",ROUND(J85*H85*100*1.03/3600,4))</f>
        <v/>
      </c>
      <c r="L85" s="10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9" t="str">
        <f>IF(OR(F86="",G86="",H86=""),"",ROUNDDOWN(25200/G86,0))</f>
        <v/>
      </c>
      <c r="J86" s="9" t="str">
        <f>IF(OR(F86="",G86="",H86=""),"",ROUND(28800/I86*F86,4))</f>
        <v/>
      </c>
      <c r="K86" s="9" t="str">
        <f>IF(OR(F86="",G86="",H86=""),"",ROUND(J86*H86*100*1.03/3600,4))</f>
        <v/>
      </c>
      <c r="L86" s="10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9" t="str">
        <f>IF(OR(F87="",G87="",H87=""),"",ROUNDDOWN(25200/G87,0))</f>
        <v/>
      </c>
      <c r="J87" s="9" t="str">
        <f>IF(OR(F87="",G87="",H87=""),"",ROUND(28800/I87*F87,4))</f>
        <v/>
      </c>
      <c r="K87" s="9" t="str">
        <f>IF(OR(F87="",G87="",H87=""),"",ROUND(J87*H87*100*1.03/3600,4))</f>
        <v/>
      </c>
      <c r="L87" s="10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9" t="str">
        <f>IF(OR(F88="",G88="",H88=""),"",ROUNDDOWN(25200/G88,0))</f>
        <v/>
      </c>
      <c r="J88" s="9" t="str">
        <f>IF(OR(F88="",G88="",H88=""),"",ROUND(28800/I88*F88,4))</f>
        <v/>
      </c>
      <c r="K88" s="9" t="str">
        <f>IF(OR(F88="",G88="",H88=""),"",ROUND(J88*H88*100*1.03/3600,4))</f>
        <v/>
      </c>
      <c r="L88" s="10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9" t="str">
        <f>IF(OR(F89="",G89="",H89=""),"",ROUNDDOWN(25200/G89,0))</f>
        <v/>
      </c>
      <c r="J89" s="9" t="str">
        <f>IF(OR(F89="",G89="",H89=""),"",ROUND(28800/I89*F89,4))</f>
        <v/>
      </c>
      <c r="K89" s="9" t="str">
        <f>IF(OR(F89="",G89="",H89=""),"",ROUND(J89*H89*100*1.03/3600,4))</f>
        <v/>
      </c>
      <c r="L89" s="10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9" t="str">
        <f>IF(OR(F90="",G90="",H90=""),"",ROUNDDOWN(25200/G90,0))</f>
        <v/>
      </c>
      <c r="J90" s="9" t="str">
        <f>IF(OR(F90="",G90="",H90=""),"",ROUND(28800/I90*F90,4))</f>
        <v/>
      </c>
      <c r="K90" s="9" t="str">
        <f>IF(OR(F90="",G90="",H90=""),"",ROUND(J90*H90*100*1.03/3600,4))</f>
        <v/>
      </c>
      <c r="L90" s="10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9" t="str">
        <f>IF(OR(F91="",G91="",H91=""),"",ROUNDDOWN(25200/G91,0))</f>
        <v/>
      </c>
      <c r="J91" s="9" t="str">
        <f>IF(OR(F91="",G91="",H91=""),"",ROUND(28800/I91*F91,4))</f>
        <v/>
      </c>
      <c r="K91" s="9" t="str">
        <f>IF(OR(F91="",G91="",H91=""),"",ROUND(J91*H91*100*1.03/3600,4))</f>
        <v/>
      </c>
      <c r="L91" s="10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9" t="str">
        <f>IF(OR(F92="",G92="",H92=""),"",ROUNDDOWN(25200/G92,0))</f>
        <v/>
      </c>
      <c r="J92" s="9" t="str">
        <f>IF(OR(F92="",G92="",H92=""),"",ROUND(28800/I92*F92,4))</f>
        <v/>
      </c>
      <c r="K92" s="9" t="str">
        <f>IF(OR(F92="",G92="",H92=""),"",ROUND(J92*H92*100*1.03/3600,4))</f>
        <v/>
      </c>
      <c r="L92" s="10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9" t="str">
        <f>IF(OR(F93="",G93="",H93=""),"",ROUNDDOWN(25200/G93,0))</f>
        <v/>
      </c>
      <c r="J93" s="9" t="str">
        <f>IF(OR(F93="",G93="",H93=""),"",ROUND(28800/I93*F93,4))</f>
        <v/>
      </c>
      <c r="K93" s="9" t="str">
        <f>IF(OR(F93="",G93="",H93=""),"",ROUND(J93*H93*100*1.03/3600,4))</f>
        <v/>
      </c>
      <c r="L93" s="10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9" t="str">
        <f>IF(OR(F94="",G94="",H94=""),"",ROUNDDOWN(25200/G94,0))</f>
        <v/>
      </c>
      <c r="J94" s="9" t="str">
        <f>IF(OR(F94="",G94="",H94=""),"",ROUND(28800/I94*F94,4))</f>
        <v/>
      </c>
      <c r="K94" s="9" t="str">
        <f>IF(OR(F94="",G94="",H94=""),"",ROUND(J94*H94*100*1.03/3600,4))</f>
        <v/>
      </c>
      <c r="L94" s="10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9" t="str">
        <f>IF(OR(F95="",G95="",H95=""),"",ROUNDDOWN(25200/G95,0))</f>
        <v/>
      </c>
      <c r="J95" s="9" t="str">
        <f>IF(OR(F95="",G95="",H95=""),"",ROUND(28800/I95*F95,4))</f>
        <v/>
      </c>
      <c r="K95" s="9" t="str">
        <f>IF(OR(F95="",G95="",H95=""),"",ROUND(J95*H95*100*1.03/3600,4))</f>
        <v/>
      </c>
      <c r="L95" s="10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9" t="str">
        <f>IF(OR(F96="",G96="",H96=""),"",ROUNDDOWN(25200/G96,0))</f>
        <v/>
      </c>
      <c r="J96" s="9" t="str">
        <f>IF(OR(F96="",G96="",H96=""),"",ROUND(28800/I96*F96,4))</f>
        <v/>
      </c>
      <c r="K96" s="9" t="str">
        <f>IF(OR(F96="",G96="",H96=""),"",ROUND(J96*H96*100*1.03/3600,4))</f>
        <v/>
      </c>
      <c r="L96" s="10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9" t="str">
        <f>IF(OR(F97="",G97="",H97=""),"",ROUNDDOWN(25200/G97,0))</f>
        <v/>
      </c>
      <c r="J97" s="9" t="str">
        <f>IF(OR(F97="",G97="",H97=""),"",ROUND(28800/I97*F97,4))</f>
        <v/>
      </c>
      <c r="K97" s="9" t="str">
        <f>IF(OR(F97="",G97="",H97=""),"",ROUND(J97*H97*100*1.03/3600,4))</f>
        <v/>
      </c>
      <c r="L97" s="10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9" t="str">
        <f>IF(OR(F98="",G98="",H98=""),"",ROUNDDOWN(25200/G98,0))</f>
        <v/>
      </c>
      <c r="J98" s="9" t="str">
        <f>IF(OR(F98="",G98="",H98=""),"",ROUND(28800/I98*F98,4))</f>
        <v/>
      </c>
      <c r="K98" s="9" t="str">
        <f>IF(OR(F98="",G98="",H98=""),"",ROUND(J98*H98*100*1.03/3600,4))</f>
        <v/>
      </c>
      <c r="L98" s="10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9" t="str">
        <f>IF(OR(F99="",G99="",H99=""),"",ROUNDDOWN(25200/G99,0))</f>
        <v/>
      </c>
      <c r="J99" s="9" t="str">
        <f>IF(OR(F99="",G99="",H99=""),"",ROUND(28800/I99*F99,4))</f>
        <v/>
      </c>
      <c r="K99" s="9" t="str">
        <f>IF(OR(F99="",G99="",H99=""),"",ROUND(J99*H99*100*1.03/3600,4))</f>
        <v/>
      </c>
      <c r="L99" s="10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9" t="str">
        <f>IF(OR(F100="",G100="",H100=""),"",ROUNDDOWN(25200/G100,0))</f>
        <v/>
      </c>
      <c r="J100" s="9" t="str">
        <f>IF(OR(F100="",G100="",H100=""),"",ROUND(28800/I100*F100,4))</f>
        <v/>
      </c>
      <c r="K100" s="9" t="str">
        <f>IF(OR(F100="",G100="",H100=""),"",ROUND(J100*H100*100*1.03/3600,4))</f>
        <v/>
      </c>
      <c r="L100" s="10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9" t="str">
        <f>IF(OR(F101="",G101="",H101=""),"",ROUNDDOWN(25200/G101,0))</f>
        <v/>
      </c>
      <c r="J101" s="9" t="str">
        <f>IF(OR(F101="",G101="",H101=""),"",ROUND(28800/I101*F101,4))</f>
        <v/>
      </c>
      <c r="K101" s="9" t="str">
        <f>IF(OR(F101="",G101="",H101=""),"",ROUND(J101*H101*100*1.03/3600,4))</f>
        <v/>
      </c>
      <c r="L101" s="10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9" t="str">
        <f>IF(OR(F102="",G102="",H102=""),"",ROUNDDOWN(25200/G102,0))</f>
        <v/>
      </c>
      <c r="J102" s="9" t="str">
        <f>IF(OR(F102="",G102="",H102=""),"",ROUND(28800/I102*F102,4))</f>
        <v/>
      </c>
      <c r="K102" s="9" t="str">
        <f>IF(OR(F102="",G102="",H102=""),"",ROUND(J102*H102*100*1.03/3600,4))</f>
        <v/>
      </c>
      <c r="L102" s="10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9" t="str">
        <f>IF(OR(F103="",G103="",H103=""),"",ROUNDDOWN(25200/G103,0))</f>
        <v/>
      </c>
      <c r="J103" s="9" t="str">
        <f>IF(OR(F103="",G103="",H103=""),"",ROUND(28800/I103*F103,4))</f>
        <v/>
      </c>
      <c r="K103" s="9" t="str">
        <f>IF(OR(F103="",G103="",H103=""),"",ROUND(J103*H103*100*1.03/3600,4))</f>
        <v/>
      </c>
      <c r="L103" s="10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9" t="str">
        <f>IF(OR(F104="",G104="",H104=""),"",ROUNDDOWN(25200/G104,0))</f>
        <v/>
      </c>
      <c r="J104" s="9" t="str">
        <f>IF(OR(F104="",G104="",H104=""),"",ROUND(28800/I104*F104,4))</f>
        <v/>
      </c>
      <c r="K104" s="9" t="str">
        <f>IF(OR(F104="",G104="",H104=""),"",ROUND(J104*H104*100*1.03/3600,4))</f>
        <v/>
      </c>
      <c r="L104" s="10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9" t="str">
        <f>IF(OR(F105="",G105="",H105=""),"",ROUNDDOWN(25200/G105,0))</f>
        <v/>
      </c>
      <c r="J105" s="9" t="str">
        <f>IF(OR(F105="",G105="",H105=""),"",ROUND(28800/I105*F105,4))</f>
        <v/>
      </c>
      <c r="K105" s="9" t="str">
        <f>IF(OR(F105="",G105="",H105=""),"",ROUND(J105*H105*100*1.03/3600,4))</f>
        <v/>
      </c>
      <c r="L105" s="10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9" t="str">
        <f>IF(OR(F106="",G106="",H106=""),"",ROUNDDOWN(25200/G106,0))</f>
        <v/>
      </c>
      <c r="J106" s="9" t="str">
        <f>IF(OR(F106="",G106="",H106=""),"",ROUND(28800/I106*F106,4))</f>
        <v/>
      </c>
      <c r="K106" s="9" t="str">
        <f>IF(OR(F106="",G106="",H106=""),"",ROUND(J106*H106*100*1.03/3600,4))</f>
        <v/>
      </c>
      <c r="L106" s="10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9" t="str">
        <f>IF(OR(F107="",G107="",H107=""),"",ROUNDDOWN(25200/G107,0))</f>
        <v/>
      </c>
      <c r="J107" s="9" t="str">
        <f>IF(OR(F107="",G107="",H107=""),"",ROUND(28800/I107*F107,4))</f>
        <v/>
      </c>
      <c r="K107" s="9" t="str">
        <f>IF(OR(F107="",G107="",H107=""),"",ROUND(J107*H107*100*1.03/3600,4))</f>
        <v/>
      </c>
      <c r="L107" s="10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9" t="str">
        <f>IF(OR(F108="",G108="",H108=""),"",ROUNDDOWN(25200/G108,0))</f>
        <v/>
      </c>
      <c r="J108" s="9" t="str">
        <f>IF(OR(F108="",G108="",H108=""),"",ROUND(28800/I108*F108,4))</f>
        <v/>
      </c>
      <c r="K108" s="9" t="str">
        <f>IF(OR(F108="",G108="",H108=""),"",ROUND(J108*H108*100*1.03/3600,4))</f>
        <v/>
      </c>
      <c r="L108" s="10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9" t="str">
        <f>IF(OR(F109="",G109="",H109=""),"",ROUNDDOWN(25200/G109,0))</f>
        <v/>
      </c>
      <c r="J109" s="9" t="str">
        <f>IF(OR(F109="",G109="",H109=""),"",ROUND(28800/I109*F109,4))</f>
        <v/>
      </c>
      <c r="K109" s="9" t="str">
        <f>IF(OR(F109="",G109="",H109=""),"",ROUND(J109*H109*100*1.03/3600,4))</f>
        <v/>
      </c>
      <c r="L109" s="10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9" t="str">
        <f>IF(OR(F110="",G110="",H110=""),"",ROUNDDOWN(25200/G110,0))</f>
        <v/>
      </c>
      <c r="J110" s="9" t="str">
        <f>IF(OR(F110="",G110="",H110=""),"",ROUND(28800/I110*F110,4))</f>
        <v/>
      </c>
      <c r="K110" s="9" t="str">
        <f>IF(OR(F110="",G110="",H110=""),"",ROUND(J110*H110*100*1.03/3600,4))</f>
        <v/>
      </c>
      <c r="L110" s="10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9" t="str">
        <f>IF(OR(F111="",G111="",H111=""),"",ROUNDDOWN(25200/G111,0))</f>
        <v/>
      </c>
      <c r="J111" s="9" t="str">
        <f>IF(OR(F111="",G111="",H111=""),"",ROUND(28800/I111*F111,4))</f>
        <v/>
      </c>
      <c r="K111" s="9" t="str">
        <f>IF(OR(F111="",G111="",H111=""),"",ROUND(J111*H111*100*1.03/3600,4))</f>
        <v/>
      </c>
      <c r="L111" s="10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9" t="str">
        <f>IF(OR(F112="",G112="",H112=""),"",ROUNDDOWN(25200/G112,0))</f>
        <v/>
      </c>
      <c r="J112" s="9" t="str">
        <f>IF(OR(F112="",G112="",H112=""),"",ROUND(28800/I112*F112,4))</f>
        <v/>
      </c>
      <c r="K112" s="9" t="str">
        <f>IF(OR(F112="",G112="",H112=""),"",ROUND(J112*H112*100*1.03/3600,4))</f>
        <v/>
      </c>
      <c r="L112" s="10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9" t="str">
        <f>IF(OR(F113="",G113="",H113=""),"",ROUNDDOWN(25200/G113,0))</f>
        <v/>
      </c>
      <c r="J113" s="9" t="str">
        <f>IF(OR(F113="",G113="",H113=""),"",ROUND(28800/I113*F113,4))</f>
        <v/>
      </c>
      <c r="K113" s="9" t="str">
        <f>IF(OR(F113="",G113="",H113=""),"",ROUND(J113*H113*100*1.03/3600,4))</f>
        <v/>
      </c>
      <c r="L113" s="10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9" t="str">
        <f>IF(OR(F114="",G114="",H114=""),"",ROUNDDOWN(25200/G114,0))</f>
        <v/>
      </c>
      <c r="J114" s="9" t="str">
        <f>IF(OR(F114="",G114="",H114=""),"",ROUND(28800/I114*F114,4))</f>
        <v/>
      </c>
      <c r="K114" s="9" t="str">
        <f>IF(OR(F114="",G114="",H114=""),"",ROUND(J114*H114*100*1.03/3600,4))</f>
        <v/>
      </c>
      <c r="L114" s="10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9" t="str">
        <f>IF(OR(F115="",G115="",H115=""),"",ROUNDDOWN(25200/G115,0))</f>
        <v/>
      </c>
      <c r="J115" s="9" t="str">
        <f>IF(OR(F115="",G115="",H115=""),"",ROUND(28800/I115*F115,4))</f>
        <v/>
      </c>
      <c r="K115" s="9" t="str">
        <f>IF(OR(F115="",G115="",H115=""),"",ROUND(J115*H115*100*1.03/3600,4))</f>
        <v/>
      </c>
      <c r="L115" s="10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9" t="str">
        <f>IF(OR(F116="",G116="",H116=""),"",ROUNDDOWN(25200/G116,0))</f>
        <v/>
      </c>
      <c r="J116" s="9" t="str">
        <f>IF(OR(F116="",G116="",H116=""),"",ROUND(28800/I116*F116,4))</f>
        <v/>
      </c>
      <c r="K116" s="9" t="str">
        <f>IF(OR(F116="",G116="",H116=""),"",ROUND(J116*H116*100*1.03/3600,4))</f>
        <v/>
      </c>
      <c r="L116" s="10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9" t="str">
        <f>IF(OR(F117="",G117="",H117=""),"",ROUNDDOWN(25200/G117,0))</f>
        <v/>
      </c>
      <c r="J117" s="9" t="str">
        <f>IF(OR(F117="",G117="",H117=""),"",ROUND(28800/I117*F117,4))</f>
        <v/>
      </c>
      <c r="K117" s="9" t="str">
        <f>IF(OR(F117="",G117="",H117=""),"",ROUND(J117*H117*100*1.03/3600,4))</f>
        <v/>
      </c>
      <c r="L117" s="10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9" t="str">
        <f>IF(OR(F118="",G118="",H118=""),"",ROUNDDOWN(25200/G118,0))</f>
        <v/>
      </c>
      <c r="J118" s="9" t="str">
        <f>IF(OR(F118="",G118="",H118=""),"",ROUND(28800/I118*F118,4))</f>
        <v/>
      </c>
      <c r="K118" s="9" t="str">
        <f>IF(OR(F118="",G118="",H118=""),"",ROUND(J118*H118*100*1.03/3600,4))</f>
        <v/>
      </c>
      <c r="L118" s="10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9" t="str">
        <f>IF(OR(F119="",G119="",H119=""),"",ROUNDDOWN(25200/G119,0))</f>
        <v/>
      </c>
      <c r="J119" s="9" t="str">
        <f>IF(OR(F119="",G119="",H119=""),"",ROUND(28800/I119*F119,4))</f>
        <v/>
      </c>
      <c r="K119" s="9" t="str">
        <f>IF(OR(F119="",G119="",H119=""),"",ROUND(J119*H119*100*1.03/3600,4))</f>
        <v/>
      </c>
      <c r="L119" s="10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9" t="str">
        <f>IF(OR(F120="",G120="",H120=""),"",ROUNDDOWN(25200/G120,0))</f>
        <v/>
      </c>
      <c r="J120" s="9" t="str">
        <f>IF(OR(F120="",G120="",H120=""),"",ROUND(28800/I120*F120,4))</f>
        <v/>
      </c>
      <c r="K120" s="9" t="str">
        <f>IF(OR(F120="",G120="",H120=""),"",ROUND(J120*H120*100*1.03/3600,4))</f>
        <v/>
      </c>
      <c r="L120" s="10" t="n"/>
    </row>
  </sheetData>
  <sheetProtection selectLockedCells="0" selectUnlockedCells="0" sheet="1" objects="1" insertRows="0" insertHyperlinks="0" autoFilter="0" scenarios="0" formatColumns="0" deleteColumns="1" insertColumns="1" pivotTables="1" deleteRows="0" formatCells="0" formatRows="0" sort="1"/>
  <mergeCells count="1">
    <mergeCell ref="A1:L1"/>
  </mergeCells>
  <pageMargins left="0.75" right="0.75" top="1" bottom="1" header="0.511805555555556" footer="0.511805555555556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2024-12-16T15:55:00Z</dcterms:created>
  <dc:creator>12000006</dc:creator>
  <dcterms:modified xsi:type="dcterms:W3CDTF">2026-09-17T00:55:38Z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2052-10.8.0.6206</vt:lpwstr>
  </property>
</Properties>
</file>