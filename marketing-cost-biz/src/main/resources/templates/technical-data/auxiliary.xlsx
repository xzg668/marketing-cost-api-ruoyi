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辅料一览表" sheetId="1" r:id="rId1"/>
  </sheets>
  <definedNames>
    <definedName name="_xlnm.Print_Area" localSheetId="0">辅料一览表!$B$1:$L$19</definedName>
  </definedNames>
  <calcPr calcId="144525"/>
</workbook>
</file>

<file path=xl/sharedStrings.xml><?xml version="1.0" encoding="utf-8"?>
<sst xmlns="http://schemas.openxmlformats.org/spreadsheetml/2006/main" count="21" uniqueCount="21">
  <si>
    <r>
      <t>2025年</t>
    </r>
    <r>
      <rPr>
        <b/>
        <u/>
        <sz val="16"/>
        <rFont val="宋体"/>
        <charset val="134"/>
      </rPr>
      <t xml:space="preserve">         </t>
    </r>
    <r>
      <rPr>
        <b/>
        <sz val="16"/>
        <rFont val="宋体"/>
        <charset val="134"/>
      </rPr>
      <t>(产品)辅料一览表</t>
    </r>
  </si>
  <si>
    <t>产品名称:</t>
  </si>
  <si>
    <t>部件名称</t>
  </si>
  <si>
    <t>序号</t>
  </si>
  <si>
    <t>工序名称</t>
  </si>
  <si>
    <t>辅料料号</t>
  </si>
  <si>
    <t>辅料名称</t>
  </si>
  <si>
    <t>辅料价格 元
（不含税）</t>
  </si>
  <si>
    <t>体积/表面积</t>
  </si>
  <si>
    <t>可加工数量
（只）</t>
  </si>
  <si>
    <t>分摊费用
（元/只）</t>
  </si>
  <si>
    <t>归类</t>
  </si>
  <si>
    <t>备注</t>
  </si>
  <si>
    <t>防锈液P-6748</t>
  </si>
  <si>
    <t>清洗类</t>
  </si>
  <si>
    <t>φ10立铣刀</t>
  </si>
  <si>
    <t>刀具类</t>
  </si>
  <si>
    <t>皂化液</t>
  </si>
  <si>
    <t>油脂类</t>
  </si>
  <si>
    <t>...</t>
  </si>
  <si>
    <t>合计</t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</si>
</sst>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[$JPY]\ #,##0.0;[Red][$JPY]\ \-#,##0.0"/>
    <numFmt numFmtId="178" formatCode="0.000_ "/>
    <numFmt numFmtId="179" formatCode="0.00_ "/>
    <numFmt numFmtId="180" formatCode="0_ "/>
    <numFmt numFmtId="181" formatCode="0.00000_ "/>
    <numFmt numFmtId="182" formatCode="0.0000_ "/>
  </numFmts>
  <fonts count="25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u/>
      <sz val="16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8" borderId="16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9" applyNumberFormat="0" applyAlignment="0" applyProtection="0">
      <alignment vertical="center"/>
    </xf>
    <xf numFmtId="0" fontId="18" fillId="12" borderId="15" applyNumberFormat="0" applyAlignment="0" applyProtection="0">
      <alignment vertical="center"/>
    </xf>
    <xf numFmtId="0" fontId="19" fillId="13" borderId="20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177" fontId="1" fillId="0" borderId="0"/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" fillId="0" borderId="0"/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5">
    <xf numFmtId="0" fontId="0" fillId="0" borderId="0" xfId="0">
      <alignment vertical="center"/>
    </xf>
    <xf numFmtId="0" fontId="1" fillId="2" borderId="0" xfId="49" applyFill="1" applyAlignment="1">
      <alignment vertical="center"/>
    </xf>
    <xf numFmtId="0" fontId="2" fillId="2" borderId="0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2" xfId="49" applyFont="1" applyFill="1" applyBorder="1" applyAlignment="1">
      <alignment horizontal="center" vertical="center"/>
    </xf>
    <xf numFmtId="0" fontId="3" fillId="2" borderId="3" xfId="49" applyFont="1" applyFill="1" applyBorder="1" applyAlignment="1">
      <alignment horizontal="center" vertical="center"/>
    </xf>
    <xf numFmtId="0" fontId="3" fillId="2" borderId="4" xfId="49" applyFont="1" applyFill="1" applyBorder="1" applyAlignment="1">
      <alignment horizontal="center" vertical="center" wrapText="1"/>
    </xf>
    <xf numFmtId="0" fontId="3" fillId="2" borderId="5" xfId="49" applyFont="1" applyFill="1" applyBorder="1" applyAlignment="1">
      <alignment horizontal="center" vertical="center" wrapText="1"/>
    </xf>
    <xf numFmtId="0" fontId="3" fillId="2" borderId="6" xfId="52" applyFont="1" applyFill="1" applyBorder="1" applyAlignment="1">
      <alignment horizontal="center" vertical="center" wrapText="1"/>
    </xf>
    <xf numFmtId="0" fontId="3" fillId="2" borderId="5" xfId="53" applyFont="1" applyFill="1" applyBorder="1" applyAlignment="1">
      <alignment horizontal="center" vertical="center" wrapText="1"/>
    </xf>
    <xf numFmtId="176" fontId="3" fillId="2" borderId="5" xfId="49" applyNumberFormat="1" applyFont="1" applyFill="1" applyBorder="1" applyAlignment="1">
      <alignment horizontal="center" vertical="center" wrapText="1" shrinkToFit="1"/>
    </xf>
    <xf numFmtId="0" fontId="3" fillId="2" borderId="7" xfId="52" applyFont="1" applyFill="1" applyBorder="1" applyAlignment="1">
      <alignment horizontal="center" vertical="center" wrapText="1"/>
    </xf>
    <xf numFmtId="178" fontId="3" fillId="2" borderId="5" xfId="52" applyNumberFormat="1" applyFont="1" applyFill="1" applyBorder="1" applyAlignment="1">
      <alignment horizontal="center" vertical="center" wrapText="1"/>
    </xf>
    <xf numFmtId="0" fontId="4" fillId="2" borderId="8" xfId="52" applyFont="1" applyFill="1" applyBorder="1" applyAlignment="1">
      <alignment horizontal="center" vertical="center" wrapText="1"/>
    </xf>
    <xf numFmtId="0" fontId="4" fillId="2" borderId="9" xfId="52" applyFont="1" applyFill="1" applyBorder="1" applyAlignment="1">
      <alignment vertical="center" wrapText="1"/>
    </xf>
    <xf numFmtId="0" fontId="4" fillId="2" borderId="10" xfId="52" applyFont="1" applyFill="1" applyBorder="1" applyAlignment="1">
      <alignment vertical="center" wrapText="1"/>
    </xf>
    <xf numFmtId="0" fontId="3" fillId="2" borderId="11" xfId="49" applyFont="1" applyFill="1" applyBorder="1" applyAlignment="1">
      <alignment horizontal="center" vertical="center"/>
    </xf>
    <xf numFmtId="0" fontId="3" fillId="2" borderId="12" xfId="49" applyFont="1" applyFill="1" applyBorder="1" applyAlignment="1">
      <alignment horizontal="center" vertical="center" wrapText="1" shrinkToFit="1"/>
    </xf>
    <xf numFmtId="179" fontId="3" fillId="2" borderId="12" xfId="52" applyNumberFormat="1" applyFont="1" applyFill="1" applyBorder="1" applyAlignment="1">
      <alignment horizontal="left" vertical="center" wrapText="1"/>
    </xf>
    <xf numFmtId="180" fontId="3" fillId="2" borderId="5" xfId="49" applyNumberFormat="1" applyFont="1" applyFill="1" applyBorder="1" applyAlignment="1">
      <alignment horizontal="center" vertical="center" wrapText="1"/>
    </xf>
    <xf numFmtId="181" fontId="3" fillId="2" borderId="5" xfId="52" applyNumberFormat="1" applyFont="1" applyFill="1" applyBorder="1" applyAlignment="1">
      <alignment horizontal="center" vertical="center" wrapText="1"/>
    </xf>
    <xf numFmtId="179" fontId="4" fillId="2" borderId="12" xfId="52" applyNumberFormat="1" applyFont="1" applyFill="1" applyBorder="1" applyAlignment="1">
      <alignment horizontal="left" vertical="center" wrapText="1"/>
    </xf>
    <xf numFmtId="182" fontId="4" fillId="2" borderId="13" xfId="49" applyNumberFormat="1" applyFont="1" applyFill="1" applyBorder="1" applyAlignment="1">
      <alignment horizontal="center" vertical="center" wrapText="1"/>
    </xf>
    <xf numFmtId="179" fontId="4" fillId="2" borderId="13" xfId="49" applyNumberFormat="1" applyFont="1" applyFill="1" applyBorder="1" applyAlignment="1">
      <alignment horizontal="center" vertical="center" wrapText="1"/>
    </xf>
    <xf numFmtId="0" fontId="4" fillId="2" borderId="14" xfId="49" applyFont="1" applyFill="1" applyBorder="1" applyAlignment="1">
      <alignment horizontal="left" vertical="center" wrapText="1" shrinkToFi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 30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 21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常规 21 2" xfId="49"/>
    <cellStyle name="40% - 强调文字颜色 6" xfId="50" builtinId="51"/>
    <cellStyle name="60% - 强调文字颜色 6" xfId="51" builtinId="52"/>
    <cellStyle name="常规_Sheet6" xfId="52"/>
    <cellStyle name="常规_Sheet5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P14" sqref="P14"/>
    </sheetView>
  </sheetViews>
  <sheetFormatPr defaultColWidth="9" defaultRowHeight="14.25"/>
  <cols>
    <col min="1" max="1" width="2.375" customWidth="1"/>
    <col min="2" max="2" width="12.625" customWidth="1"/>
    <col min="3" max="3" width="8" customWidth="1"/>
    <col min="4" max="12" width="12.625" customWidth="1"/>
    <col min="13" max="13" width="23" customWidth="1"/>
  </cols>
  <sheetData>
    <row r="1" ht="35.25" customHeight="1" spans="1:1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ht="30.75" customHeight="1" spans="1:12">
      <c r="A2" s="1"/>
      <c r="B2" s="3" t="s">
        <v>1</v>
      </c>
      <c r="C2" s="4"/>
      <c r="D2" s="5"/>
      <c r="E2" s="5"/>
      <c r="F2" s="5"/>
      <c r="G2" s="5"/>
      <c r="H2" s="5"/>
      <c r="I2" s="5"/>
      <c r="J2" s="5"/>
      <c r="K2" s="5"/>
      <c r="L2" s="16"/>
      <c r="M2" s="16" t="inlineStr">
        <is>
          <t>财务填写，技术可留空</t>
        </is>
      </c>
    </row>
    <row r="3" ht="44.25" customHeight="1" spans="1:12">
      <c r="A3" s="1"/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17" t="s">
        <v>12</v>
      </c>
      <c r="M3" s="17" t="inlineStr">
        <is>
          <t>二级科目名称</t>
        </is>
      </c>
    </row>
    <row r="4" ht="20.1" customHeight="1" spans="1:12">
      <c r="A4" s="1"/>
      <c r="B4" s="8"/>
      <c r="C4" s="9">
        <v>1</v>
      </c>
      <c r="D4" s="7">
        <v>10</v>
      </c>
      <c r="E4" s="10">
        <v>311034325</v>
      </c>
      <c r="F4" s="10" t="s">
        <v>13</v>
      </c>
      <c r="G4" s="10">
        <v>23.9316</v>
      </c>
      <c r="H4" s="10">
        <v>681693</v>
      </c>
      <c r="I4" s="10">
        <f>IFERROR(1000/0.05/(H4*0.000001*100),"")</f>
        <v>293.3871992231107</v>
      </c>
      <c r="J4" s="10">
        <f>IFERROR(G4/I4,"")</f>
        <v>0.081570020994</v>
      </c>
      <c r="K4" s="10" t="s">
        <v>14</v>
      </c>
      <c r="L4" s="17"/>
    </row>
    <row r="5" ht="20.1" customHeight="1" spans="1:12">
      <c r="A5" s="1"/>
      <c r="B5" s="11"/>
      <c r="C5" s="9">
        <v>2</v>
      </c>
      <c r="D5" s="7">
        <v>20</v>
      </c>
      <c r="E5" s="10">
        <v>337120955</v>
      </c>
      <c r="F5" s="10" t="s">
        <v>15</v>
      </c>
      <c r="G5" s="10">
        <v>100</v>
      </c>
      <c r="H5" s="10"/>
      <c r="I5" s="10">
        <v>400</v>
      </c>
      <c r="J5" s="10">
        <f t="shared" ref="J4:J18" si="0">IFERROR(G5/I5,"")</f>
        <v>0.25</v>
      </c>
      <c r="K5" s="7" t="s">
        <v>16</v>
      </c>
      <c r="L5" s="17"/>
    </row>
    <row r="6" ht="20.1" customHeight="1" spans="1:12">
      <c r="A6" s="1"/>
      <c r="B6" s="11"/>
      <c r="C6" s="9">
        <v>3</v>
      </c>
      <c r="D6" s="7">
        <v>30</v>
      </c>
      <c r="E6" s="10">
        <v>311020150</v>
      </c>
      <c r="F6" s="10" t="s">
        <v>17</v>
      </c>
      <c r="G6" s="10">
        <v>8.7434</v>
      </c>
      <c r="H6" s="10">
        <v>153983</v>
      </c>
      <c r="I6" s="10">
        <f>IFERROR(1000/0.05/(H6*0.000001*100),"")</f>
        <v>1298.8446776592223</v>
      </c>
      <c r="J6" s="10">
        <f t="shared" si="0"/>
        <v>0.006731674810999999</v>
      </c>
      <c r="K6" s="10" t="s">
        <v>18</v>
      </c>
      <c r="L6" s="18"/>
    </row>
    <row r="7" ht="20.1" customHeight="1" spans="1:12">
      <c r="A7" s="1"/>
      <c r="B7" s="11"/>
      <c r="C7" s="9"/>
      <c r="D7" s="7"/>
      <c r="E7" s="7"/>
      <c r="F7" s="7"/>
      <c r="G7" s="12"/>
      <c r="H7" s="12"/>
      <c r="I7" s="19"/>
      <c r="J7" s="20">
        <f t="shared" si="0"/>
        <v/>
      </c>
      <c r="K7" s="10"/>
      <c r="L7" s="18"/>
    </row>
    <row r="8" ht="20.1" customHeight="1" spans="1:12">
      <c r="A8" s="1"/>
      <c r="B8" s="11"/>
      <c r="C8" s="9"/>
      <c r="D8" s="7"/>
      <c r="E8" s="7"/>
      <c r="F8" s="7"/>
      <c r="G8" s="12"/>
      <c r="H8" s="12"/>
      <c r="I8" s="19"/>
      <c r="J8" s="20">
        <f t="shared" si="0"/>
        <v/>
      </c>
      <c r="K8" s="10" t="s">
        <v>19</v>
      </c>
      <c r="L8" s="18"/>
    </row>
    <row r="9" ht="20.1" customHeight="1" spans="1:12">
      <c r="A9" s="1"/>
      <c r="B9" s="11"/>
      <c r="C9" s="9"/>
      <c r="D9" s="7"/>
      <c r="E9" s="7"/>
      <c r="F9" s="7"/>
      <c r="G9" s="12"/>
      <c r="H9" s="12"/>
      <c r="I9" s="19"/>
      <c r="J9" s="20">
        <f t="shared" si="0"/>
        <v/>
      </c>
      <c r="K9" s="10"/>
      <c r="L9" s="18"/>
    </row>
    <row r="10" ht="20.1" customHeight="1" spans="1:12">
      <c r="A10" s="1"/>
      <c r="B10" s="11"/>
      <c r="C10" s="9"/>
      <c r="D10" s="7"/>
      <c r="E10" s="7"/>
      <c r="F10" s="7"/>
      <c r="G10" s="12"/>
      <c r="H10" s="12"/>
      <c r="I10" s="19"/>
      <c r="J10" s="20">
        <f t="shared" si="0"/>
        <v/>
      </c>
      <c r="K10" s="10"/>
      <c r="L10" s="21"/>
    </row>
    <row r="11" ht="20.1" customHeight="1" spans="1:12">
      <c r="A11" s="1"/>
      <c r="B11" s="11"/>
      <c r="C11" s="9"/>
      <c r="D11" s="7"/>
      <c r="E11" s="7"/>
      <c r="F11" s="7"/>
      <c r="G11" s="12"/>
      <c r="H11" s="12"/>
      <c r="I11" s="19"/>
      <c r="J11" s="20">
        <f t="shared" si="0"/>
        <v/>
      </c>
      <c r="K11" s="10"/>
      <c r="L11" s="21"/>
    </row>
    <row r="12" ht="20.1" customHeight="1" spans="1:12">
      <c r="A12" s="1"/>
      <c r="B12" s="11"/>
      <c r="C12" s="9"/>
      <c r="D12" s="7"/>
      <c r="E12" s="7"/>
      <c r="F12" s="7"/>
      <c r="G12" s="12"/>
      <c r="H12" s="12"/>
      <c r="I12" s="19"/>
      <c r="J12" s="20">
        <f t="shared" si="0"/>
        <v/>
      </c>
      <c r="K12" s="10"/>
      <c r="L12" s="21"/>
    </row>
    <row r="13" ht="20.1" customHeight="1" spans="1:12">
      <c r="A13" s="1"/>
      <c r="B13" s="11"/>
      <c r="C13" s="9"/>
      <c r="D13" s="7"/>
      <c r="E13" s="7"/>
      <c r="F13" s="7"/>
      <c r="G13" s="12"/>
      <c r="H13" s="12"/>
      <c r="I13" s="19"/>
      <c r="J13" s="20">
        <f t="shared" si="0"/>
        <v/>
      </c>
      <c r="K13" s="10"/>
      <c r="L13" s="21"/>
    </row>
    <row r="14" ht="20.1" customHeight="1" spans="1:12">
      <c r="A14" s="1"/>
      <c r="B14" s="11"/>
      <c r="C14" s="9"/>
      <c r="D14" s="7"/>
      <c r="E14" s="7"/>
      <c r="F14" s="7"/>
      <c r="G14" s="12"/>
      <c r="H14" s="12"/>
      <c r="I14" s="19"/>
      <c r="J14" s="20">
        <f t="shared" si="0"/>
        <v/>
      </c>
      <c r="K14" s="10"/>
      <c r="L14" s="21"/>
    </row>
    <row r="15" ht="20.1" customHeight="1" spans="1:12">
      <c r="A15" s="1"/>
      <c r="B15" s="11"/>
      <c r="C15" s="9"/>
      <c r="D15" s="7"/>
      <c r="E15" s="7"/>
      <c r="F15" s="7"/>
      <c r="G15" s="12"/>
      <c r="H15" s="12"/>
      <c r="I15" s="19"/>
      <c r="J15" s="20">
        <f t="shared" si="0"/>
        <v/>
      </c>
      <c r="K15" s="10"/>
      <c r="L15" s="21"/>
    </row>
    <row r="16" ht="20.1" customHeight="1" spans="1:12">
      <c r="A16" s="1"/>
      <c r="B16" s="11"/>
      <c r="C16" s="9"/>
      <c r="D16" s="7"/>
      <c r="E16" s="7"/>
      <c r="F16" s="7"/>
      <c r="G16" s="12"/>
      <c r="H16" s="12"/>
      <c r="I16" s="19"/>
      <c r="J16" s="20">
        <f t="shared" si="0"/>
        <v/>
      </c>
      <c r="K16" s="10"/>
      <c r="L16" s="21"/>
    </row>
    <row r="17" ht="20.1" customHeight="1" spans="1:12">
      <c r="A17" s="1"/>
      <c r="B17" s="11"/>
      <c r="C17" s="9"/>
      <c r="D17" s="7"/>
      <c r="E17" s="7"/>
      <c r="F17" s="7"/>
      <c r="G17" s="12"/>
      <c r="H17" s="12"/>
      <c r="I17" s="19"/>
      <c r="J17" s="20">
        <f t="shared" si="0"/>
        <v/>
      </c>
      <c r="K17" s="10"/>
      <c r="L17" s="21"/>
    </row>
    <row r="18" ht="20.1" customHeight="1" spans="1:12">
      <c r="A18" s="1"/>
      <c r="B18" s="11"/>
      <c r="C18" s="9"/>
      <c r="D18" s="7"/>
      <c r="E18" s="7"/>
      <c r="F18" s="7"/>
      <c r="G18" s="12"/>
      <c r="H18" s="12"/>
      <c r="I18" s="19"/>
      <c r="J18" s="20">
        <f t="shared" si="0"/>
        <v/>
      </c>
      <c r="K18" s="10"/>
      <c r="L18" s="18"/>
    </row>
    <row r="19" ht="20.1" customHeight="1" spans="1:12">
      <c r="A19" s="1"/>
      <c r="B19" s="13" t="s">
        <v>20</v>
      </c>
      <c r="C19" s="14"/>
      <c r="D19" s="15"/>
      <c r="E19" s="15"/>
      <c r="F19" s="15"/>
      <c r="G19" s="15"/>
      <c r="H19" s="15"/>
      <c r="I19" s="15"/>
      <c r="J19" s="22">
        <f>IFERROR(SUM(J4:J18),"")</f>
        <v>0.338301695805</v>
      </c>
      <c r="K19" s="23"/>
      <c r="L19" s="24"/>
    </row>
  </sheetData>
  <mergeCells count="4">
    <mergeCell ref="B1:L1"/>
    <mergeCell ref="B2:C2"/>
    <mergeCell ref="D2:L2"/>
    <mergeCell ref="B4:B18"/>
  </mergeCells>
  <pageMargins left="0.34" right="0.18" top="0.11" bottom="0.58" header="0.11" footer="0.5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辅料一览表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12400023</dc:creator>
  <cp:lastModifiedBy>12400023</cp:lastModifiedBy>
  <dcterms:created xsi:type="dcterms:W3CDTF">2026-09-03T09:42:02Z</dcterms:created>
  <dcterms:modified xsi:type="dcterms:W3CDTF">2026-09-03T09:48:10Z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03BAB71298DB45369D1FE3DAE7B38FA8</vt:lpwstr>
  </property>
  <property fmtid="{D5CDD505-2E9C-101B-9397-08002B2CF9AE}" pid="3" name="KSOReadingLayout">
    <vt:bool>true</vt:bool>
  </property>
  <property fmtid="{D5CDD505-2E9C-101B-9397-08002B2CF9AE}" pid="4" name="KSOProductBuildVer">
    <vt:lpwstr>2052-11.1.0.13703</vt:lpwstr>
  </property>
  <property fmtid="{D5CDD505-2E9C-101B-9397-08002B2CF9AE}" pid="5" name="CWM1ea62c40a7fc11f18000133800001238">
    <vt:lpwstr>CWMiEqkCsNj6XdQbRw9fBtmZDz9zU9oFFMgMf/i851r31lnJxsPLYHFVS+gM8KXspXCasA2rbrkvJQ5ulXdgv/dPw==</vt:lpwstr>
  </property>
</Properties>
</file>